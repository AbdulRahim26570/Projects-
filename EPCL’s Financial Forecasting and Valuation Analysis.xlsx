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202300"/>
  <mc:AlternateContent xmlns:mc="http://schemas.openxmlformats.org/markup-compatibility/2006">
    <mc:Choice Requires="x15">
      <x15ac:absPath xmlns:x15ac="http://schemas.microsoft.com/office/spreadsheetml/2010/11/ac" url="C:\Users\Zainab\Desktop\FMod\"/>
    </mc:Choice>
  </mc:AlternateContent>
  <xr:revisionPtr revIDLastSave="0" documentId="13_ncr:1_{6466279F-F36F-44E5-991E-D509D5D5BFC5}" xr6:coauthVersionLast="47" xr6:coauthVersionMax="47" xr10:uidLastSave="{00000000-0000-0000-0000-000000000000}"/>
  <bookViews>
    <workbookView xWindow="-110" yWindow="-110" windowWidth="19420" windowHeight="10300" firstSheet="2" activeTab="2" xr2:uid="{375763AA-F758-4B21-A266-6ABBD2E7B668}"/>
  </bookViews>
  <sheets>
    <sheet name="DETAILS" sheetId="17" r:id="rId1"/>
    <sheet name="Assumptions" sheetId="1" r:id="rId2"/>
    <sheet name="Valuation" sheetId="14" r:id="rId3"/>
    <sheet name="Balance Sheet" sheetId="11" r:id="rId4"/>
    <sheet name="Income Statement" sheetId="9" r:id="rId5"/>
    <sheet name="CashFlow" sheetId="13" r:id="rId6"/>
    <sheet name="Regression" sheetId="4" r:id="rId7"/>
    <sheet name="Loan Schedule" sheetId="10" r:id="rId8"/>
    <sheet name="Depreciation schedule" sheetId="7" r:id="rId9"/>
    <sheet name="IS Assumptions" sheetId="8" r:id="rId10"/>
    <sheet name="KSE-100 data" sheetId="16" r:id="rId11"/>
  </sheets>
  <definedNames>
    <definedName name="chartTableData">#REF!</definedName>
    <definedName name="chartTableHeader">#REF!</definedName>
    <definedName name="chartTableName">#REF!</definedName>
    <definedName name="chartTableTotal">#REF!</definedName>
    <definedName name="CLS">#REF!</definedName>
    <definedName name="DAT">#REF!</definedName>
    <definedName name="filterValues">#REF!</definedName>
    <definedName name="phTableData">#REF!</definedName>
    <definedName name="phTableHeader">#REF!</definedName>
    <definedName name="phTableName">#REF!</definedName>
    <definedName name="sheetHeader">#REF!</definedName>
    <definedName name="statPriceChangeTableData">#REF!</definedName>
    <definedName name="statPriceChangeTableHeader">#REF!</definedName>
    <definedName name="statPriceTableData">#REF!</definedName>
    <definedName name="statPriceTableHeader">#REF!</definedName>
    <definedName name="statTableName">#REF!</definedName>
    <definedName name="statUpDownTableData">#REF!</definedName>
    <definedName name="statUpDownTableHeader">#REF!</definedName>
    <definedName name="statVolumeTableData">#REF!</definedName>
    <definedName name="statVolumeTable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9" l="1"/>
  <c r="C26" i="9"/>
  <c r="D26" i="9"/>
  <c r="E26" i="9"/>
  <c r="F26" i="9"/>
  <c r="G26" i="9"/>
  <c r="H26" i="9"/>
  <c r="I26" i="9"/>
  <c r="J26" i="9"/>
  <c r="K26" i="9"/>
  <c r="B27" i="9"/>
  <c r="C27" i="9"/>
  <c r="D27" i="9"/>
  <c r="E27" i="9"/>
  <c r="F27" i="9"/>
  <c r="G27" i="9"/>
  <c r="H27" i="9"/>
  <c r="I27" i="9"/>
  <c r="J27" i="9"/>
  <c r="K27" i="9"/>
  <c r="A27" i="9"/>
  <c r="A26" i="9"/>
  <c r="C23" i="11"/>
  <c r="B23" i="11"/>
  <c r="B11" i="11"/>
  <c r="H597" i="1" l="1"/>
  <c r="H595" i="1"/>
  <c r="H593" i="1"/>
  <c r="H591" i="1"/>
  <c r="H589" i="1"/>
  <c r="H313" i="1"/>
  <c r="J313" i="1" s="1"/>
  <c r="I313" i="1"/>
  <c r="H42" i="13"/>
  <c r="I42" i="13"/>
  <c r="J42" i="13"/>
  <c r="K42" i="13"/>
  <c r="G43" i="13"/>
  <c r="I236" i="1"/>
  <c r="J236" i="1"/>
  <c r="K236" i="1"/>
  <c r="L236" i="1"/>
  <c r="I237" i="1"/>
  <c r="J237" i="1"/>
  <c r="K237" i="1"/>
  <c r="L237" i="1"/>
  <c r="H236" i="1"/>
  <c r="I424" i="1"/>
  <c r="J424" i="1"/>
  <c r="K424" i="1"/>
  <c r="L424" i="1"/>
  <c r="H424" i="1"/>
  <c r="I604" i="1"/>
  <c r="J604" i="1"/>
  <c r="K604" i="1"/>
  <c r="L604" i="1"/>
  <c r="H604" i="1"/>
  <c r="I603" i="1"/>
  <c r="J603" i="1"/>
  <c r="K603" i="1"/>
  <c r="L603" i="1"/>
  <c r="H603" i="1"/>
  <c r="D620" i="1"/>
  <c r="E620" i="1"/>
  <c r="F620" i="1"/>
  <c r="G620" i="1"/>
  <c r="C620" i="1"/>
  <c r="H617" i="1"/>
  <c r="I611" i="1"/>
  <c r="J611" i="1"/>
  <c r="J433" i="1" s="1"/>
  <c r="K611" i="1"/>
  <c r="L611" i="1"/>
  <c r="H611" i="1"/>
  <c r="H433" i="1" s="1"/>
  <c r="I433" i="1"/>
  <c r="K433" i="1"/>
  <c r="L433" i="1"/>
  <c r="C21" i="9"/>
  <c r="D21" i="9"/>
  <c r="E21" i="9"/>
  <c r="F21" i="9"/>
  <c r="H21" i="9"/>
  <c r="B21" i="9"/>
  <c r="C20" i="9"/>
  <c r="D20" i="9"/>
  <c r="E20" i="9"/>
  <c r="F20" i="9"/>
  <c r="H20" i="9"/>
  <c r="J20" i="9"/>
  <c r="J21" i="9" s="1"/>
  <c r="K20" i="9"/>
  <c r="K21" i="9" s="1"/>
  <c r="B20" i="9"/>
  <c r="H663" i="1"/>
  <c r="D22" i="14"/>
  <c r="E16" i="14"/>
  <c r="F16" i="14"/>
  <c r="G16" i="14"/>
  <c r="H16" i="14"/>
  <c r="D16" i="14"/>
  <c r="I435" i="1"/>
  <c r="J435" i="1"/>
  <c r="K435" i="1"/>
  <c r="L435" i="1"/>
  <c r="H435" i="1"/>
  <c r="F425" i="1"/>
  <c r="O370" i="1"/>
  <c r="H363" i="1"/>
  <c r="H502" i="1"/>
  <c r="I461" i="1"/>
  <c r="J461" i="1"/>
  <c r="K461" i="1"/>
  <c r="L461" i="1"/>
  <c r="H461" i="1"/>
  <c r="H460" i="1"/>
  <c r="C145" i="4"/>
  <c r="C146" i="4"/>
  <c r="C147" i="4"/>
  <c r="C148" i="4"/>
  <c r="C144" i="4"/>
  <c r="K313" i="1" l="1"/>
  <c r="L313" i="1" s="1"/>
  <c r="I20" i="9"/>
  <c r="I21" i="9" s="1"/>
  <c r="G20" i="9"/>
  <c r="G21" i="9" s="1"/>
  <c r="G32" i="11" s="1"/>
  <c r="H32" i="11" s="1"/>
  <c r="I32" i="11" s="1"/>
  <c r="J32" i="11" s="1"/>
  <c r="K32" i="11" s="1"/>
  <c r="D139" i="4"/>
  <c r="E139" i="4"/>
  <c r="D140" i="4"/>
  <c r="E140" i="4"/>
  <c r="D141" i="4"/>
  <c r="E141" i="4"/>
  <c r="D142" i="4"/>
  <c r="E142" i="4"/>
  <c r="D143" i="4"/>
  <c r="E143" i="4"/>
  <c r="D144" i="4"/>
  <c r="E144" i="4"/>
  <c r="D145" i="4"/>
  <c r="E145" i="4"/>
  <c r="D146" i="4"/>
  <c r="E146" i="4"/>
  <c r="D147" i="4"/>
  <c r="E147" i="4"/>
  <c r="D148" i="4"/>
  <c r="E148" i="4"/>
  <c r="E138" i="4"/>
  <c r="D138" i="4"/>
  <c r="H12" i="11"/>
  <c r="I12" i="11"/>
  <c r="J12" i="11"/>
  <c r="K12" i="11"/>
  <c r="G12" i="11"/>
  <c r="G20" i="11"/>
  <c r="H20" i="11"/>
  <c r="I20" i="11"/>
  <c r="J20" i="11"/>
  <c r="K20" i="11"/>
  <c r="L16" i="14"/>
  <c r="O224" i="10"/>
  <c r="P224" i="10" s="1"/>
  <c r="N224" i="10"/>
  <c r="H35" i="11" s="1"/>
  <c r="G35" i="11"/>
  <c r="H44" i="11"/>
  <c r="I44" i="11"/>
  <c r="J44" i="11"/>
  <c r="K44" i="11"/>
  <c r="G44" i="11"/>
  <c r="L14" i="14"/>
  <c r="D31" i="14"/>
  <c r="Q224" i="10" l="1"/>
  <c r="K35" i="11" s="1"/>
  <c r="J35" i="11"/>
  <c r="I35" i="11"/>
  <c r="H11" i="14" l="1"/>
  <c r="L12" i="14"/>
  <c r="L13" i="14" s="1"/>
  <c r="D2003" i="16"/>
  <c r="D2002" i="16"/>
  <c r="D2001" i="16"/>
  <c r="D2000" i="16"/>
  <c r="D1999" i="16"/>
  <c r="D1998" i="16"/>
  <c r="D1997" i="16"/>
  <c r="D1996" i="16"/>
  <c r="D1995" i="16"/>
  <c r="D1994" i="16"/>
  <c r="D1993" i="16"/>
  <c r="D1992" i="16"/>
  <c r="D1991" i="16"/>
  <c r="D1990" i="16"/>
  <c r="D1989" i="16"/>
  <c r="D1988" i="16"/>
  <c r="D1987" i="16"/>
  <c r="D1986" i="16"/>
  <c r="D1985" i="16"/>
  <c r="D1984" i="16"/>
  <c r="D1983" i="16"/>
  <c r="D1982" i="16"/>
  <c r="D1981" i="16"/>
  <c r="D1980" i="16"/>
  <c r="D1979" i="16"/>
  <c r="D1978" i="16"/>
  <c r="D1977" i="16"/>
  <c r="D1976" i="16"/>
  <c r="D1975" i="16"/>
  <c r="D1974" i="16"/>
  <c r="D1973" i="16"/>
  <c r="D1972" i="16"/>
  <c r="D1971" i="16"/>
  <c r="D1970" i="16"/>
  <c r="D1969" i="16"/>
  <c r="D1968" i="16"/>
  <c r="D1967" i="16"/>
  <c r="D1966" i="16"/>
  <c r="D1965" i="16"/>
  <c r="D1964" i="16"/>
  <c r="D1963" i="16"/>
  <c r="D1962" i="16"/>
  <c r="D1961" i="16"/>
  <c r="D1960" i="16"/>
  <c r="D1959" i="16"/>
  <c r="D1958" i="16"/>
  <c r="D1957" i="16"/>
  <c r="D1956" i="16"/>
  <c r="D1955" i="16"/>
  <c r="D1954" i="16"/>
  <c r="D1953" i="16"/>
  <c r="D1952" i="16"/>
  <c r="D1951" i="16"/>
  <c r="D1950" i="16"/>
  <c r="D1949" i="16"/>
  <c r="D1948" i="16"/>
  <c r="D1947" i="16"/>
  <c r="D1946" i="16"/>
  <c r="D1945" i="16"/>
  <c r="D1944" i="16"/>
  <c r="D1943" i="16"/>
  <c r="D1942" i="16"/>
  <c r="D1941" i="16"/>
  <c r="D1940" i="16"/>
  <c r="D1939" i="16"/>
  <c r="D1938" i="16"/>
  <c r="D1937" i="16"/>
  <c r="D1936" i="16"/>
  <c r="D1935" i="16"/>
  <c r="D1934" i="16"/>
  <c r="D1933" i="16"/>
  <c r="D1932" i="16"/>
  <c r="D1931" i="16"/>
  <c r="D1930" i="16"/>
  <c r="D1929" i="16"/>
  <c r="D1928" i="16"/>
  <c r="D1927" i="16"/>
  <c r="D1926" i="16"/>
  <c r="D1925" i="16"/>
  <c r="D1924" i="16"/>
  <c r="D1923" i="16"/>
  <c r="D1922" i="16"/>
  <c r="D1921" i="16"/>
  <c r="D1920" i="16"/>
  <c r="D1919" i="16"/>
  <c r="D1918" i="16"/>
  <c r="D1917" i="16"/>
  <c r="D1916" i="16"/>
  <c r="D1915" i="16"/>
  <c r="D1914" i="16"/>
  <c r="D1913" i="16"/>
  <c r="D1912" i="16"/>
  <c r="D1911" i="16"/>
  <c r="D1910" i="16"/>
  <c r="D1909" i="16"/>
  <c r="D1908" i="16"/>
  <c r="D1907" i="16"/>
  <c r="D1906" i="16"/>
  <c r="D1905" i="16"/>
  <c r="D1904" i="16"/>
  <c r="D1903" i="16"/>
  <c r="D1902" i="16"/>
  <c r="D1901" i="16"/>
  <c r="D1900" i="16"/>
  <c r="D1899" i="16"/>
  <c r="D1898" i="16"/>
  <c r="D1897" i="16"/>
  <c r="D1896" i="16"/>
  <c r="D1895" i="16"/>
  <c r="D1894" i="16"/>
  <c r="D1893" i="16"/>
  <c r="D1892" i="16"/>
  <c r="D1891" i="16"/>
  <c r="D1890" i="16"/>
  <c r="D1889" i="16"/>
  <c r="D1888" i="16"/>
  <c r="D1887" i="16"/>
  <c r="D1886" i="16"/>
  <c r="D1885" i="16"/>
  <c r="D1884" i="16"/>
  <c r="D1883" i="16"/>
  <c r="D1882" i="16"/>
  <c r="D1881" i="16"/>
  <c r="D1880" i="16"/>
  <c r="D1879" i="16"/>
  <c r="D1878" i="16"/>
  <c r="D1877" i="16"/>
  <c r="D1876" i="16"/>
  <c r="D1875" i="16"/>
  <c r="D1874" i="16"/>
  <c r="D1873" i="16"/>
  <c r="D1872" i="16"/>
  <c r="D1871" i="16"/>
  <c r="D1870" i="16"/>
  <c r="D1869" i="16"/>
  <c r="D1868" i="16"/>
  <c r="D1867" i="16"/>
  <c r="D1866" i="16"/>
  <c r="D1865" i="16"/>
  <c r="D1864" i="16"/>
  <c r="D1863" i="16"/>
  <c r="D1862" i="16"/>
  <c r="D1861" i="16"/>
  <c r="D1860" i="16"/>
  <c r="D1859" i="16"/>
  <c r="D1858" i="16"/>
  <c r="D1857" i="16"/>
  <c r="D1856" i="16"/>
  <c r="D1855" i="16"/>
  <c r="D1854" i="16"/>
  <c r="D1853" i="16"/>
  <c r="D1852" i="16"/>
  <c r="D1851" i="16"/>
  <c r="D1850" i="16"/>
  <c r="D1849" i="16"/>
  <c r="D1848" i="16"/>
  <c r="D1847" i="16"/>
  <c r="D1846" i="16"/>
  <c r="D1845" i="16"/>
  <c r="D1844" i="16"/>
  <c r="D1843" i="16"/>
  <c r="D1842" i="16"/>
  <c r="D1841" i="16"/>
  <c r="D1840" i="16"/>
  <c r="D1839" i="16"/>
  <c r="D1838" i="16"/>
  <c r="D1837" i="16"/>
  <c r="D1836" i="16"/>
  <c r="D1835" i="16"/>
  <c r="D1834" i="16"/>
  <c r="D1833" i="16"/>
  <c r="D1832" i="16"/>
  <c r="D1831" i="16"/>
  <c r="D1830" i="16"/>
  <c r="D1829" i="16"/>
  <c r="D1828" i="16"/>
  <c r="D1827" i="16"/>
  <c r="D1826" i="16"/>
  <c r="D1825" i="16"/>
  <c r="D1824" i="16"/>
  <c r="D1823" i="16"/>
  <c r="D1822" i="16"/>
  <c r="D1821" i="16"/>
  <c r="D1820" i="16"/>
  <c r="D1819" i="16"/>
  <c r="D1818" i="16"/>
  <c r="D1817" i="16"/>
  <c r="D1816" i="16"/>
  <c r="D1815" i="16"/>
  <c r="D1814" i="16"/>
  <c r="D1813" i="16"/>
  <c r="D1812" i="16"/>
  <c r="D1811" i="16"/>
  <c r="D1810" i="16"/>
  <c r="D1809" i="16"/>
  <c r="D1808" i="16"/>
  <c r="D1807" i="16"/>
  <c r="D1806" i="16"/>
  <c r="D1805" i="16"/>
  <c r="D1804" i="16"/>
  <c r="D1803" i="16"/>
  <c r="D1802" i="16"/>
  <c r="D1801" i="16"/>
  <c r="D1800" i="16"/>
  <c r="D1799" i="16"/>
  <c r="D1798" i="16"/>
  <c r="D1797" i="16"/>
  <c r="D1796" i="16"/>
  <c r="D1795" i="16"/>
  <c r="D1794" i="16"/>
  <c r="D1793" i="16"/>
  <c r="D1792" i="16"/>
  <c r="D1791" i="16"/>
  <c r="D1790" i="16"/>
  <c r="D1789" i="16"/>
  <c r="D1788" i="16"/>
  <c r="D1787" i="16"/>
  <c r="D1786" i="16"/>
  <c r="D1785" i="16"/>
  <c r="D1784" i="16"/>
  <c r="D1783" i="16"/>
  <c r="D1782" i="16"/>
  <c r="D1781" i="16"/>
  <c r="D1780" i="16"/>
  <c r="D1779" i="16"/>
  <c r="D1778" i="16"/>
  <c r="D1777" i="16"/>
  <c r="D1776" i="16"/>
  <c r="D1775" i="16"/>
  <c r="D1774" i="16"/>
  <c r="D1773" i="16"/>
  <c r="D1772" i="16"/>
  <c r="D1771" i="16"/>
  <c r="D1770" i="16"/>
  <c r="D1769" i="16"/>
  <c r="D1768" i="16"/>
  <c r="D1767" i="16"/>
  <c r="D1766" i="16"/>
  <c r="D1765" i="16"/>
  <c r="D1764" i="16"/>
  <c r="D1763" i="16"/>
  <c r="D1762" i="16"/>
  <c r="D1761" i="16"/>
  <c r="D1760" i="16"/>
  <c r="D1759" i="16"/>
  <c r="D1758" i="16"/>
  <c r="D1757" i="16"/>
  <c r="D1756" i="16"/>
  <c r="D1755" i="16"/>
  <c r="D1754" i="16"/>
  <c r="D1753" i="16"/>
  <c r="D1752" i="16"/>
  <c r="D1751" i="16"/>
  <c r="D1750" i="16"/>
  <c r="D1749" i="16"/>
  <c r="D1748" i="16"/>
  <c r="D1747" i="16"/>
  <c r="D1746" i="16"/>
  <c r="D1745" i="16"/>
  <c r="D1744" i="16"/>
  <c r="D1743" i="16"/>
  <c r="D1742" i="16"/>
  <c r="D1741" i="16"/>
  <c r="D1740" i="16"/>
  <c r="D1739" i="16"/>
  <c r="D1738" i="16"/>
  <c r="D1737" i="16"/>
  <c r="D1736" i="16"/>
  <c r="D1735" i="16"/>
  <c r="D1734" i="16"/>
  <c r="D1733" i="16"/>
  <c r="D1732" i="16"/>
  <c r="D1731" i="16"/>
  <c r="D1730" i="16"/>
  <c r="D1729" i="16"/>
  <c r="D1728" i="16"/>
  <c r="D1727" i="16"/>
  <c r="D1726" i="16"/>
  <c r="D1725" i="16"/>
  <c r="D1724" i="16"/>
  <c r="D1723" i="16"/>
  <c r="D1722" i="16"/>
  <c r="D1721" i="16"/>
  <c r="D1720" i="16"/>
  <c r="D1719" i="16"/>
  <c r="D1718" i="16"/>
  <c r="D1717" i="16"/>
  <c r="D1716" i="16"/>
  <c r="D1715" i="16"/>
  <c r="D1714" i="16"/>
  <c r="D1713" i="16"/>
  <c r="D1712" i="16"/>
  <c r="D1711" i="16"/>
  <c r="D1710" i="16"/>
  <c r="D1709" i="16"/>
  <c r="D1708" i="16"/>
  <c r="D1707" i="16"/>
  <c r="D1706" i="16"/>
  <c r="D1705" i="16"/>
  <c r="D1704" i="16"/>
  <c r="D1703" i="16"/>
  <c r="D1702" i="16"/>
  <c r="D1701" i="16"/>
  <c r="D1700" i="16"/>
  <c r="D1699" i="16"/>
  <c r="D1698" i="16"/>
  <c r="D1697" i="16"/>
  <c r="D1696" i="16"/>
  <c r="D1695" i="16"/>
  <c r="D1694" i="16"/>
  <c r="D1693" i="16"/>
  <c r="D1692" i="16"/>
  <c r="D1691" i="16"/>
  <c r="D1690" i="16"/>
  <c r="D1689" i="16"/>
  <c r="D1688" i="16"/>
  <c r="D1687" i="16"/>
  <c r="D1686" i="16"/>
  <c r="D1685" i="16"/>
  <c r="D1684" i="16"/>
  <c r="D1683" i="16"/>
  <c r="D1682" i="16"/>
  <c r="D1681" i="16"/>
  <c r="D1680" i="16"/>
  <c r="D1679" i="16"/>
  <c r="D1678" i="16"/>
  <c r="D1677" i="16"/>
  <c r="D1676" i="16"/>
  <c r="D1675" i="16"/>
  <c r="D1674" i="16"/>
  <c r="D1673" i="16"/>
  <c r="D1672" i="16"/>
  <c r="D1671" i="16"/>
  <c r="D1670" i="16"/>
  <c r="D1669" i="16"/>
  <c r="D1668" i="16"/>
  <c r="D1667" i="16"/>
  <c r="D1666" i="16"/>
  <c r="D1665" i="16"/>
  <c r="D1664" i="16"/>
  <c r="D1663" i="16"/>
  <c r="D1662" i="16"/>
  <c r="D1661" i="16"/>
  <c r="D1660" i="16"/>
  <c r="D1659" i="16"/>
  <c r="D1658" i="16"/>
  <c r="D1657" i="16"/>
  <c r="D1656" i="16"/>
  <c r="D1655" i="16"/>
  <c r="D1654" i="16"/>
  <c r="D1653" i="16"/>
  <c r="D1652" i="16"/>
  <c r="D1651" i="16"/>
  <c r="D1650" i="16"/>
  <c r="D1649" i="16"/>
  <c r="D1648" i="16"/>
  <c r="D1647" i="16"/>
  <c r="D1646" i="16"/>
  <c r="D1645" i="16"/>
  <c r="D1644" i="16"/>
  <c r="D1643" i="16"/>
  <c r="D1642" i="16"/>
  <c r="D1641" i="16"/>
  <c r="D1640" i="16"/>
  <c r="D1639" i="16"/>
  <c r="D1638" i="16"/>
  <c r="D1637" i="16"/>
  <c r="D1636" i="16"/>
  <c r="D1635" i="16"/>
  <c r="D1634" i="16"/>
  <c r="D1633" i="16"/>
  <c r="D1632" i="16"/>
  <c r="D1631" i="16"/>
  <c r="D1630" i="16"/>
  <c r="D1629" i="16"/>
  <c r="D1628" i="16"/>
  <c r="D1627" i="16"/>
  <c r="D1626" i="16"/>
  <c r="D1625" i="16"/>
  <c r="D1624" i="16"/>
  <c r="D1623" i="16"/>
  <c r="D1622" i="16"/>
  <c r="D1621" i="16"/>
  <c r="D1620" i="16"/>
  <c r="D1619" i="16"/>
  <c r="D1618" i="16"/>
  <c r="D1617" i="16"/>
  <c r="D1616" i="16"/>
  <c r="D1615" i="16"/>
  <c r="D1614" i="16"/>
  <c r="D1613" i="16"/>
  <c r="D1612" i="16"/>
  <c r="D1611" i="16"/>
  <c r="D1610" i="16"/>
  <c r="D1609" i="16"/>
  <c r="D1608" i="16"/>
  <c r="D1607" i="16"/>
  <c r="D1606" i="16"/>
  <c r="D1605" i="16"/>
  <c r="D1604" i="16"/>
  <c r="D1603" i="16"/>
  <c r="D1602" i="16"/>
  <c r="D1601" i="16"/>
  <c r="D1600" i="16"/>
  <c r="D1599" i="16"/>
  <c r="D1598" i="16"/>
  <c r="D1597" i="16"/>
  <c r="D1596" i="16"/>
  <c r="D1595" i="16"/>
  <c r="D1594" i="16"/>
  <c r="D1593" i="16"/>
  <c r="D1592" i="16"/>
  <c r="D1591" i="16"/>
  <c r="D1590" i="16"/>
  <c r="D1589" i="16"/>
  <c r="D1588" i="16"/>
  <c r="D1587" i="16"/>
  <c r="D1586" i="16"/>
  <c r="D1585" i="16"/>
  <c r="D1584" i="16"/>
  <c r="D1583" i="16"/>
  <c r="D1582" i="16"/>
  <c r="D1581" i="16"/>
  <c r="D1580" i="16"/>
  <c r="D1579" i="16"/>
  <c r="D1578" i="16"/>
  <c r="D1577" i="16"/>
  <c r="D1576" i="16"/>
  <c r="D1575" i="16"/>
  <c r="D1574" i="16"/>
  <c r="D1573" i="16"/>
  <c r="D1572" i="16"/>
  <c r="D1571" i="16"/>
  <c r="D1570" i="16"/>
  <c r="D1569" i="16"/>
  <c r="D1568" i="16"/>
  <c r="D1567" i="16"/>
  <c r="D1566" i="16"/>
  <c r="D1565" i="16"/>
  <c r="D1564" i="16"/>
  <c r="D1563" i="16"/>
  <c r="D1562" i="16"/>
  <c r="D1561" i="16"/>
  <c r="D1560" i="16"/>
  <c r="D1559" i="16"/>
  <c r="D1558" i="16"/>
  <c r="D1557" i="16"/>
  <c r="D1556" i="16"/>
  <c r="D1555" i="16"/>
  <c r="D1554" i="16"/>
  <c r="D1553" i="16"/>
  <c r="D1552" i="16"/>
  <c r="D1551" i="16"/>
  <c r="D1550" i="16"/>
  <c r="D1549" i="16"/>
  <c r="D1548" i="16"/>
  <c r="D1547" i="16"/>
  <c r="D1546" i="16"/>
  <c r="D1545" i="16"/>
  <c r="D1544" i="16"/>
  <c r="D1543" i="16"/>
  <c r="D1542" i="16"/>
  <c r="D1541" i="16"/>
  <c r="D1540" i="16"/>
  <c r="D1539" i="16"/>
  <c r="D1538" i="16"/>
  <c r="D1537" i="16"/>
  <c r="D1536" i="16"/>
  <c r="D1535" i="16"/>
  <c r="D1534" i="16"/>
  <c r="D1533" i="16"/>
  <c r="D1532" i="16"/>
  <c r="D1531" i="16"/>
  <c r="D1530" i="16"/>
  <c r="D1529" i="16"/>
  <c r="D1528" i="16"/>
  <c r="D1527" i="16"/>
  <c r="D1526" i="16"/>
  <c r="D1525" i="16"/>
  <c r="D1524" i="16"/>
  <c r="D1523" i="16"/>
  <c r="D1522" i="16"/>
  <c r="D1521" i="16"/>
  <c r="D1520" i="16"/>
  <c r="D1519" i="16"/>
  <c r="D1518" i="16"/>
  <c r="D1517" i="16"/>
  <c r="D1516" i="16"/>
  <c r="D1515" i="16"/>
  <c r="D1514" i="16"/>
  <c r="D1513" i="16"/>
  <c r="D1512" i="16"/>
  <c r="D1511" i="16"/>
  <c r="D1510" i="16"/>
  <c r="D1509" i="16"/>
  <c r="D1508" i="16"/>
  <c r="D1507" i="16"/>
  <c r="D1506" i="16"/>
  <c r="D1505" i="16"/>
  <c r="D1504" i="16"/>
  <c r="D1503" i="16"/>
  <c r="D1502" i="16"/>
  <c r="D1501" i="16"/>
  <c r="D1500" i="16"/>
  <c r="D1499" i="16"/>
  <c r="D1498" i="16"/>
  <c r="D1497" i="16"/>
  <c r="D1496" i="16"/>
  <c r="D1495" i="16"/>
  <c r="D1494" i="16"/>
  <c r="D1493" i="16"/>
  <c r="D1492" i="16"/>
  <c r="D1491" i="16"/>
  <c r="D1490" i="16"/>
  <c r="D1489" i="16"/>
  <c r="D1488" i="16"/>
  <c r="D1487" i="16"/>
  <c r="D1486" i="16"/>
  <c r="D1485" i="16"/>
  <c r="D1484" i="16"/>
  <c r="D1483" i="16"/>
  <c r="D1482" i="16"/>
  <c r="D1481" i="16"/>
  <c r="D1480" i="16"/>
  <c r="D1479" i="16"/>
  <c r="D1478" i="16"/>
  <c r="D1477" i="16"/>
  <c r="D1476" i="16"/>
  <c r="D1475" i="16"/>
  <c r="D1474" i="16"/>
  <c r="D1473" i="16"/>
  <c r="D1472" i="16"/>
  <c r="D1471" i="16"/>
  <c r="D1470" i="16"/>
  <c r="D1469" i="16"/>
  <c r="D1468" i="16"/>
  <c r="D1467" i="16"/>
  <c r="D1466" i="16"/>
  <c r="D1465" i="16"/>
  <c r="D1464" i="16"/>
  <c r="D1463" i="16"/>
  <c r="D1462" i="16"/>
  <c r="D1461" i="16"/>
  <c r="D1460" i="16"/>
  <c r="D1459" i="16"/>
  <c r="D1458" i="16"/>
  <c r="D1457" i="16"/>
  <c r="D1456" i="16"/>
  <c r="D1455" i="16"/>
  <c r="D1454" i="16"/>
  <c r="D1453" i="16"/>
  <c r="D1452" i="16"/>
  <c r="D1451" i="16"/>
  <c r="D1450" i="16"/>
  <c r="D1449" i="16"/>
  <c r="D1448" i="16"/>
  <c r="D1447" i="16"/>
  <c r="D1446" i="16"/>
  <c r="D1445" i="16"/>
  <c r="D1444" i="16"/>
  <c r="D1443" i="16"/>
  <c r="D1442" i="16"/>
  <c r="D1441" i="16"/>
  <c r="D1440" i="16"/>
  <c r="D1439" i="16"/>
  <c r="D1438" i="16"/>
  <c r="D1437" i="16"/>
  <c r="D1436" i="16"/>
  <c r="D1435" i="16"/>
  <c r="D1434" i="16"/>
  <c r="D1433" i="16"/>
  <c r="D1432" i="16"/>
  <c r="D1431" i="16"/>
  <c r="D1430" i="16"/>
  <c r="D1429" i="16"/>
  <c r="D1428" i="16"/>
  <c r="D1427" i="16"/>
  <c r="D1426" i="16"/>
  <c r="D1425" i="16"/>
  <c r="D1424" i="16"/>
  <c r="D1423" i="16"/>
  <c r="D1422" i="16"/>
  <c r="D1421" i="16"/>
  <c r="D1420" i="16"/>
  <c r="D1419" i="16"/>
  <c r="D1418" i="16"/>
  <c r="D1417" i="16"/>
  <c r="D1416" i="16"/>
  <c r="D1415" i="16"/>
  <c r="D1414" i="16"/>
  <c r="D1413" i="16"/>
  <c r="D1412" i="16"/>
  <c r="D1411" i="16"/>
  <c r="D1410" i="16"/>
  <c r="D1409" i="16"/>
  <c r="D1408" i="16"/>
  <c r="D1407" i="16"/>
  <c r="D1406" i="16"/>
  <c r="D1405" i="16"/>
  <c r="D1404" i="16"/>
  <c r="D1403" i="16"/>
  <c r="D1402" i="16"/>
  <c r="D1401" i="16"/>
  <c r="D1400" i="16"/>
  <c r="D1399" i="16"/>
  <c r="D1398" i="16"/>
  <c r="D1397" i="16"/>
  <c r="D1396" i="16"/>
  <c r="D1395" i="16"/>
  <c r="D1394" i="16"/>
  <c r="D1393" i="16"/>
  <c r="D1392" i="16"/>
  <c r="D1391" i="16"/>
  <c r="D1390" i="16"/>
  <c r="D1389" i="16"/>
  <c r="D1388" i="16"/>
  <c r="D1387" i="16"/>
  <c r="D1386" i="16"/>
  <c r="D1385" i="16"/>
  <c r="D1384" i="16"/>
  <c r="D1383" i="16"/>
  <c r="D1382" i="16"/>
  <c r="D1381" i="16"/>
  <c r="D1380" i="16"/>
  <c r="D1379" i="16"/>
  <c r="D1378" i="16"/>
  <c r="D1377" i="16"/>
  <c r="D1376" i="16"/>
  <c r="D1375" i="16"/>
  <c r="D1374" i="16"/>
  <c r="D1373" i="16"/>
  <c r="D1372" i="16"/>
  <c r="D1371" i="16"/>
  <c r="D1370" i="16"/>
  <c r="D1369" i="16"/>
  <c r="D1368" i="16"/>
  <c r="D1367" i="16"/>
  <c r="D1366" i="16"/>
  <c r="D1365" i="16"/>
  <c r="D1364" i="16"/>
  <c r="D1363" i="16"/>
  <c r="D1362" i="16"/>
  <c r="D1361" i="16"/>
  <c r="D1360" i="16"/>
  <c r="D1359" i="16"/>
  <c r="D1358" i="16"/>
  <c r="D1357" i="16"/>
  <c r="D1356" i="16"/>
  <c r="D1355" i="16"/>
  <c r="D1354" i="16"/>
  <c r="D1353" i="16"/>
  <c r="D1352" i="16"/>
  <c r="D1351" i="16"/>
  <c r="D1350" i="16"/>
  <c r="D1349" i="16"/>
  <c r="D1348" i="16"/>
  <c r="D1347" i="16"/>
  <c r="D1346" i="16"/>
  <c r="D1345" i="16"/>
  <c r="D1344" i="16"/>
  <c r="D1343" i="16"/>
  <c r="D1342" i="16"/>
  <c r="D1341" i="16"/>
  <c r="D1340" i="16"/>
  <c r="D1339" i="16"/>
  <c r="D1338" i="16"/>
  <c r="D1337" i="16"/>
  <c r="D1336" i="16"/>
  <c r="D1335" i="16"/>
  <c r="D1334" i="16"/>
  <c r="D1333" i="16"/>
  <c r="D1332" i="16"/>
  <c r="D1331" i="16"/>
  <c r="D1330" i="16"/>
  <c r="D1329" i="16"/>
  <c r="D1328" i="16"/>
  <c r="D1327" i="16"/>
  <c r="D1326" i="16"/>
  <c r="D1325" i="16"/>
  <c r="D1324" i="16"/>
  <c r="D1323" i="16"/>
  <c r="D1322" i="16"/>
  <c r="D1321" i="16"/>
  <c r="D1320" i="16"/>
  <c r="D1319" i="16"/>
  <c r="D1318" i="16"/>
  <c r="D1317" i="16"/>
  <c r="D1316" i="16"/>
  <c r="D1315" i="16"/>
  <c r="D1314" i="16"/>
  <c r="D1313" i="16"/>
  <c r="D1312" i="16"/>
  <c r="D1311" i="16"/>
  <c r="D1310" i="16"/>
  <c r="D1309" i="16"/>
  <c r="D1308" i="16"/>
  <c r="D1307" i="16"/>
  <c r="D1306" i="16"/>
  <c r="D1305" i="16"/>
  <c r="D1304" i="16"/>
  <c r="D1303" i="16"/>
  <c r="D1302" i="16"/>
  <c r="D1301" i="16"/>
  <c r="D1300" i="16"/>
  <c r="D1299" i="16"/>
  <c r="D1298" i="16"/>
  <c r="D1297" i="16"/>
  <c r="D1296" i="16"/>
  <c r="D1295" i="16"/>
  <c r="D1294" i="16"/>
  <c r="D1293" i="16"/>
  <c r="D1292" i="16"/>
  <c r="D1291" i="16"/>
  <c r="D1290" i="16"/>
  <c r="D1289" i="16"/>
  <c r="D1288" i="16"/>
  <c r="D1287" i="16"/>
  <c r="D1286" i="16"/>
  <c r="D1285" i="16"/>
  <c r="D1284" i="16"/>
  <c r="D1283" i="16"/>
  <c r="D1282" i="16"/>
  <c r="D1281" i="16"/>
  <c r="D1280" i="16"/>
  <c r="D1279" i="16"/>
  <c r="D1278" i="16"/>
  <c r="D1277" i="16"/>
  <c r="D1276" i="16"/>
  <c r="D1275" i="16"/>
  <c r="D1274" i="16"/>
  <c r="D1273" i="16"/>
  <c r="D1272" i="16"/>
  <c r="D1271" i="16"/>
  <c r="D1270" i="16"/>
  <c r="D1269" i="16"/>
  <c r="D1268" i="16"/>
  <c r="D1267" i="16"/>
  <c r="D1266" i="16"/>
  <c r="D1265" i="16"/>
  <c r="D1264" i="16"/>
  <c r="D1263" i="16"/>
  <c r="D1262" i="16"/>
  <c r="D1261" i="16"/>
  <c r="D1260" i="16"/>
  <c r="D1259" i="16"/>
  <c r="D1258" i="16"/>
  <c r="D1257" i="16"/>
  <c r="D1256" i="16"/>
  <c r="D1255" i="16"/>
  <c r="D1254" i="16"/>
  <c r="D1253" i="16"/>
  <c r="D1252" i="16"/>
  <c r="D1251" i="16"/>
  <c r="D1250" i="16"/>
  <c r="D1249" i="16"/>
  <c r="D1248" i="16"/>
  <c r="D1247" i="16"/>
  <c r="D1246" i="16"/>
  <c r="D1245" i="16"/>
  <c r="D1244" i="16"/>
  <c r="D1243" i="16"/>
  <c r="D1242" i="16"/>
  <c r="D1241" i="16"/>
  <c r="D1240" i="16"/>
  <c r="D1239" i="16"/>
  <c r="D1238" i="16"/>
  <c r="D1237" i="16"/>
  <c r="D1236" i="16"/>
  <c r="D1235" i="16"/>
  <c r="D1234" i="16"/>
  <c r="D1233" i="16"/>
  <c r="D1232" i="16"/>
  <c r="D1231" i="16"/>
  <c r="D1230" i="16"/>
  <c r="D1229" i="16"/>
  <c r="D1228" i="16"/>
  <c r="D1227" i="16"/>
  <c r="D1226" i="16"/>
  <c r="D1225" i="16"/>
  <c r="D1224" i="16"/>
  <c r="D1223" i="16"/>
  <c r="D1222" i="16"/>
  <c r="D1221" i="16"/>
  <c r="D1220" i="16"/>
  <c r="D1219" i="16"/>
  <c r="D1218" i="16"/>
  <c r="D1217" i="16"/>
  <c r="D1216" i="16"/>
  <c r="D1215" i="16"/>
  <c r="D1214" i="16"/>
  <c r="D1213" i="16"/>
  <c r="D1212" i="16"/>
  <c r="D1211" i="16"/>
  <c r="D1210" i="16"/>
  <c r="D1209" i="16"/>
  <c r="D1208" i="16"/>
  <c r="D1207" i="16"/>
  <c r="D1206" i="16"/>
  <c r="D1205" i="16"/>
  <c r="D1204" i="16"/>
  <c r="D1203" i="16"/>
  <c r="D1202" i="16"/>
  <c r="D1201" i="16"/>
  <c r="D1200" i="16"/>
  <c r="D1199" i="16"/>
  <c r="D1198" i="16"/>
  <c r="D1197" i="16"/>
  <c r="D1196" i="16"/>
  <c r="D1195" i="16"/>
  <c r="D1194" i="16"/>
  <c r="D1193" i="16"/>
  <c r="D1192" i="16"/>
  <c r="D1191" i="16"/>
  <c r="D1190" i="16"/>
  <c r="D1189" i="16"/>
  <c r="D1188" i="16"/>
  <c r="D1187" i="16"/>
  <c r="D1186" i="16"/>
  <c r="D1185" i="16"/>
  <c r="D1184" i="16"/>
  <c r="D1183" i="16"/>
  <c r="D1182" i="16"/>
  <c r="D1181" i="16"/>
  <c r="D1180" i="16"/>
  <c r="D1179" i="16"/>
  <c r="D1178" i="16"/>
  <c r="D1177" i="16"/>
  <c r="D1176" i="16"/>
  <c r="D1175" i="16"/>
  <c r="D1174" i="16"/>
  <c r="D1173" i="16"/>
  <c r="D1172" i="16"/>
  <c r="D1171" i="16"/>
  <c r="D1170" i="16"/>
  <c r="D1169" i="16"/>
  <c r="D1168" i="16"/>
  <c r="D1167" i="16"/>
  <c r="D1166" i="16"/>
  <c r="D1165" i="16"/>
  <c r="D1164" i="16"/>
  <c r="D1163" i="16"/>
  <c r="D1162" i="16"/>
  <c r="D1161" i="16"/>
  <c r="D1160" i="16"/>
  <c r="D1159" i="16"/>
  <c r="D1158" i="16"/>
  <c r="D1157" i="16"/>
  <c r="D1156" i="16"/>
  <c r="D1155" i="16"/>
  <c r="D1154" i="16"/>
  <c r="D1153" i="16"/>
  <c r="D1152" i="16"/>
  <c r="D1151" i="16"/>
  <c r="D1150" i="16"/>
  <c r="D1149" i="16"/>
  <c r="D1148" i="16"/>
  <c r="D1147" i="16"/>
  <c r="D1146" i="16"/>
  <c r="D1145" i="16"/>
  <c r="D1144" i="16"/>
  <c r="D1143" i="16"/>
  <c r="D1142" i="16"/>
  <c r="D1141" i="16"/>
  <c r="D1140" i="16"/>
  <c r="D1139" i="16"/>
  <c r="D1138" i="16"/>
  <c r="D1137" i="16"/>
  <c r="D1136" i="16"/>
  <c r="D1135" i="16"/>
  <c r="D1134" i="16"/>
  <c r="D1133" i="16"/>
  <c r="D1132" i="16"/>
  <c r="D1131" i="16"/>
  <c r="D1130" i="16"/>
  <c r="D1129" i="16"/>
  <c r="D1128" i="16"/>
  <c r="D1127" i="16"/>
  <c r="D1126" i="16"/>
  <c r="D1125" i="16"/>
  <c r="D1124" i="16"/>
  <c r="D1123" i="16"/>
  <c r="D1122" i="16"/>
  <c r="D1121" i="16"/>
  <c r="D1120" i="16"/>
  <c r="D1119" i="16"/>
  <c r="D1118" i="16"/>
  <c r="D1117" i="16"/>
  <c r="D1116" i="16"/>
  <c r="D1115" i="16"/>
  <c r="D1114" i="16"/>
  <c r="D1113" i="16"/>
  <c r="D1112" i="16"/>
  <c r="D1111" i="16"/>
  <c r="D1110" i="16"/>
  <c r="D1109" i="16"/>
  <c r="D1108" i="16"/>
  <c r="D1107" i="16"/>
  <c r="D1106" i="16"/>
  <c r="D1105" i="16"/>
  <c r="D1104" i="16"/>
  <c r="D1103" i="16"/>
  <c r="D1102" i="16"/>
  <c r="D1101" i="16"/>
  <c r="D1100" i="16"/>
  <c r="D1099" i="16"/>
  <c r="D1098" i="16"/>
  <c r="D1097" i="16"/>
  <c r="D1096" i="16"/>
  <c r="D1095" i="16"/>
  <c r="D1094" i="16"/>
  <c r="D1093" i="16"/>
  <c r="D1092" i="16"/>
  <c r="D1091" i="16"/>
  <c r="D1090" i="16"/>
  <c r="D1089" i="16"/>
  <c r="D1088" i="16"/>
  <c r="D1087" i="16"/>
  <c r="D1086" i="16"/>
  <c r="D1085" i="16"/>
  <c r="D1084" i="16"/>
  <c r="D1083" i="16"/>
  <c r="D1082" i="16"/>
  <c r="D1081" i="16"/>
  <c r="D1080" i="16"/>
  <c r="D1079" i="16"/>
  <c r="D1078" i="16"/>
  <c r="D1077" i="16"/>
  <c r="D1076" i="16"/>
  <c r="D1075" i="16"/>
  <c r="D1074" i="16"/>
  <c r="D1073" i="16"/>
  <c r="D1072" i="16"/>
  <c r="D1071" i="16"/>
  <c r="D1070" i="16"/>
  <c r="D1069" i="16"/>
  <c r="D1068" i="16"/>
  <c r="D1067" i="16"/>
  <c r="D1066" i="16"/>
  <c r="D1065" i="16"/>
  <c r="D1064" i="16"/>
  <c r="D1063" i="16"/>
  <c r="D1062" i="16"/>
  <c r="D1061" i="16"/>
  <c r="D1060" i="16"/>
  <c r="D1059" i="16"/>
  <c r="D1058" i="16"/>
  <c r="D1057" i="16"/>
  <c r="D1056" i="16"/>
  <c r="D1055" i="16"/>
  <c r="D1054" i="16"/>
  <c r="D1053" i="16"/>
  <c r="D1052" i="16"/>
  <c r="D1051" i="16"/>
  <c r="D1050" i="16"/>
  <c r="D1049" i="16"/>
  <c r="D1048" i="16"/>
  <c r="D1047" i="16"/>
  <c r="D1046" i="16"/>
  <c r="D1045" i="16"/>
  <c r="D1044" i="16"/>
  <c r="D1043" i="16"/>
  <c r="D1042" i="16"/>
  <c r="D1041" i="16"/>
  <c r="D1040" i="16"/>
  <c r="D1039" i="16"/>
  <c r="D1038" i="16"/>
  <c r="D1037" i="16"/>
  <c r="D1036" i="16"/>
  <c r="D1035" i="16"/>
  <c r="D1034" i="16"/>
  <c r="D1033" i="16"/>
  <c r="D1032" i="16"/>
  <c r="D1031" i="16"/>
  <c r="D1030" i="16"/>
  <c r="D1029" i="16"/>
  <c r="D1028" i="16"/>
  <c r="D1027" i="16"/>
  <c r="D1026" i="16"/>
  <c r="D1025" i="16"/>
  <c r="D1024" i="16"/>
  <c r="D1023" i="16"/>
  <c r="D1022" i="16"/>
  <c r="D1021" i="16"/>
  <c r="D1020" i="16"/>
  <c r="D1019" i="16"/>
  <c r="D1018" i="16"/>
  <c r="D1017" i="16"/>
  <c r="D1016" i="16"/>
  <c r="D1015" i="16"/>
  <c r="D1014" i="16"/>
  <c r="D1013" i="16"/>
  <c r="D1012" i="16"/>
  <c r="D1011" i="16"/>
  <c r="D1010" i="16"/>
  <c r="D1009" i="16"/>
  <c r="D1008" i="16"/>
  <c r="D1007" i="16"/>
  <c r="D1006" i="16"/>
  <c r="D1005" i="16"/>
  <c r="D1004" i="16"/>
  <c r="D1003" i="16"/>
  <c r="D1002" i="16"/>
  <c r="D1001" i="16"/>
  <c r="D1000" i="16"/>
  <c r="D999" i="16"/>
  <c r="D998" i="16"/>
  <c r="D997" i="16"/>
  <c r="D996" i="16"/>
  <c r="D995" i="16"/>
  <c r="D994" i="16"/>
  <c r="D993" i="16"/>
  <c r="D992" i="16"/>
  <c r="D991" i="16"/>
  <c r="D990" i="16"/>
  <c r="D989" i="16"/>
  <c r="D988" i="16"/>
  <c r="D987" i="16"/>
  <c r="D986" i="16"/>
  <c r="D985" i="16"/>
  <c r="D984" i="16"/>
  <c r="D983" i="16"/>
  <c r="D982" i="16"/>
  <c r="D981" i="16"/>
  <c r="D980" i="16"/>
  <c r="D979" i="16"/>
  <c r="D978" i="16"/>
  <c r="D977" i="16"/>
  <c r="D976" i="16"/>
  <c r="D975" i="16"/>
  <c r="D974" i="16"/>
  <c r="D973" i="16"/>
  <c r="D972" i="16"/>
  <c r="D971" i="16"/>
  <c r="D970" i="16"/>
  <c r="D969" i="16"/>
  <c r="D968" i="16"/>
  <c r="D967" i="16"/>
  <c r="D966" i="16"/>
  <c r="D965" i="16"/>
  <c r="D964" i="16"/>
  <c r="D963" i="16"/>
  <c r="D962" i="16"/>
  <c r="D961" i="16"/>
  <c r="D960" i="16"/>
  <c r="D959" i="16"/>
  <c r="D958" i="16"/>
  <c r="D957" i="16"/>
  <c r="D956" i="16"/>
  <c r="D955" i="16"/>
  <c r="D954" i="16"/>
  <c r="D953" i="16"/>
  <c r="D952" i="16"/>
  <c r="D951" i="16"/>
  <c r="D950" i="16"/>
  <c r="D949" i="16"/>
  <c r="D948" i="16"/>
  <c r="D947" i="16"/>
  <c r="D946" i="16"/>
  <c r="D945" i="16"/>
  <c r="D944" i="16"/>
  <c r="D943" i="16"/>
  <c r="D942" i="16"/>
  <c r="D941" i="16"/>
  <c r="D940" i="16"/>
  <c r="D939" i="16"/>
  <c r="D938" i="16"/>
  <c r="D937" i="16"/>
  <c r="D936" i="16"/>
  <c r="D935" i="16"/>
  <c r="D934" i="16"/>
  <c r="D933" i="16"/>
  <c r="D932" i="16"/>
  <c r="D931" i="16"/>
  <c r="D930" i="16"/>
  <c r="D929" i="16"/>
  <c r="D928" i="16"/>
  <c r="D927" i="16"/>
  <c r="D926" i="16"/>
  <c r="D925" i="16"/>
  <c r="D924" i="16"/>
  <c r="D923" i="16"/>
  <c r="D922" i="16"/>
  <c r="D921" i="16"/>
  <c r="D920" i="16"/>
  <c r="D919" i="16"/>
  <c r="D918" i="16"/>
  <c r="D917" i="16"/>
  <c r="D916" i="16"/>
  <c r="D915" i="16"/>
  <c r="D914" i="16"/>
  <c r="D913" i="16"/>
  <c r="D912" i="16"/>
  <c r="D911" i="16"/>
  <c r="D910" i="16"/>
  <c r="D909" i="16"/>
  <c r="D908" i="16"/>
  <c r="D907" i="16"/>
  <c r="D906" i="16"/>
  <c r="D905" i="16"/>
  <c r="D904" i="16"/>
  <c r="D903" i="16"/>
  <c r="D902" i="16"/>
  <c r="D901" i="16"/>
  <c r="D900" i="16"/>
  <c r="D899" i="16"/>
  <c r="D898" i="16"/>
  <c r="D897" i="16"/>
  <c r="D896" i="16"/>
  <c r="D895" i="16"/>
  <c r="D894" i="16"/>
  <c r="D893" i="16"/>
  <c r="D892" i="16"/>
  <c r="D891" i="16"/>
  <c r="D890" i="16"/>
  <c r="D889" i="16"/>
  <c r="D888" i="16"/>
  <c r="D887" i="16"/>
  <c r="D886" i="16"/>
  <c r="D885" i="16"/>
  <c r="D884" i="16"/>
  <c r="D883" i="16"/>
  <c r="D882" i="16"/>
  <c r="D881" i="16"/>
  <c r="D880" i="16"/>
  <c r="D879" i="16"/>
  <c r="D878" i="16"/>
  <c r="D877" i="16"/>
  <c r="D876" i="16"/>
  <c r="D875" i="16"/>
  <c r="D874" i="16"/>
  <c r="D873" i="16"/>
  <c r="D872" i="16"/>
  <c r="D871" i="16"/>
  <c r="D870" i="16"/>
  <c r="D869" i="16"/>
  <c r="D868" i="16"/>
  <c r="D867" i="16"/>
  <c r="D866" i="16"/>
  <c r="D865" i="16"/>
  <c r="D864" i="16"/>
  <c r="D863" i="16"/>
  <c r="D862" i="16"/>
  <c r="D861" i="16"/>
  <c r="D860" i="16"/>
  <c r="D859" i="16"/>
  <c r="D858" i="16"/>
  <c r="D857" i="16"/>
  <c r="D856" i="16"/>
  <c r="D855" i="16"/>
  <c r="D854" i="16"/>
  <c r="D853" i="16"/>
  <c r="D852" i="16"/>
  <c r="D851" i="16"/>
  <c r="D850" i="16"/>
  <c r="D849" i="16"/>
  <c r="D848" i="16"/>
  <c r="D847" i="16"/>
  <c r="D846" i="16"/>
  <c r="D845" i="16"/>
  <c r="D844" i="16"/>
  <c r="D843" i="16"/>
  <c r="D842" i="16"/>
  <c r="D841" i="16"/>
  <c r="D840" i="16"/>
  <c r="D839" i="16"/>
  <c r="D838" i="16"/>
  <c r="D837" i="16"/>
  <c r="D836" i="16"/>
  <c r="D835" i="16"/>
  <c r="D834" i="16"/>
  <c r="D833" i="16"/>
  <c r="D832" i="16"/>
  <c r="D831" i="16"/>
  <c r="D830" i="16"/>
  <c r="D829" i="16"/>
  <c r="D828" i="16"/>
  <c r="D827" i="16"/>
  <c r="D826" i="16"/>
  <c r="D825" i="16"/>
  <c r="D824" i="16"/>
  <c r="D823" i="16"/>
  <c r="D822" i="16"/>
  <c r="D821" i="16"/>
  <c r="D820" i="16"/>
  <c r="D819" i="16"/>
  <c r="D818" i="16"/>
  <c r="D817" i="16"/>
  <c r="D816" i="16"/>
  <c r="D815" i="16"/>
  <c r="D814" i="16"/>
  <c r="D813" i="16"/>
  <c r="D812" i="16"/>
  <c r="D811" i="16"/>
  <c r="D810" i="16"/>
  <c r="D809" i="16"/>
  <c r="D808" i="16"/>
  <c r="D807" i="16"/>
  <c r="D806" i="16"/>
  <c r="D805" i="16"/>
  <c r="D804" i="16"/>
  <c r="D803" i="16"/>
  <c r="D802" i="16"/>
  <c r="D801" i="16"/>
  <c r="D800" i="16"/>
  <c r="D799" i="16"/>
  <c r="D798" i="16"/>
  <c r="D797" i="16"/>
  <c r="D796" i="16"/>
  <c r="D795" i="16"/>
  <c r="D794" i="16"/>
  <c r="D793" i="16"/>
  <c r="D792" i="16"/>
  <c r="D791" i="16"/>
  <c r="D790" i="16"/>
  <c r="D789" i="16"/>
  <c r="D788" i="16"/>
  <c r="D787" i="16"/>
  <c r="D786" i="16"/>
  <c r="D785" i="16"/>
  <c r="D784" i="16"/>
  <c r="D783" i="16"/>
  <c r="D782" i="16"/>
  <c r="D781" i="16"/>
  <c r="D780" i="16"/>
  <c r="D779" i="16"/>
  <c r="D778" i="16"/>
  <c r="D777" i="16"/>
  <c r="D776" i="16"/>
  <c r="D775" i="16"/>
  <c r="D774" i="16"/>
  <c r="D773" i="16"/>
  <c r="D772" i="16"/>
  <c r="D771" i="16"/>
  <c r="D770" i="16"/>
  <c r="D769" i="16"/>
  <c r="D768" i="16"/>
  <c r="D767" i="16"/>
  <c r="D766" i="16"/>
  <c r="D765" i="16"/>
  <c r="D764" i="16"/>
  <c r="D763" i="16"/>
  <c r="D762" i="16"/>
  <c r="D761" i="16"/>
  <c r="D760" i="16"/>
  <c r="D759" i="16"/>
  <c r="D758" i="16"/>
  <c r="D757" i="16"/>
  <c r="D756" i="16"/>
  <c r="D755" i="16"/>
  <c r="D754" i="16"/>
  <c r="D753" i="16"/>
  <c r="D752" i="16"/>
  <c r="D751" i="16"/>
  <c r="D750" i="16"/>
  <c r="D749" i="16"/>
  <c r="D748" i="16"/>
  <c r="D747" i="16"/>
  <c r="D746" i="16"/>
  <c r="D745" i="16"/>
  <c r="D744" i="16"/>
  <c r="D743" i="16"/>
  <c r="D742" i="16"/>
  <c r="D741" i="16"/>
  <c r="D740" i="16"/>
  <c r="D739" i="16"/>
  <c r="D738" i="16"/>
  <c r="D737" i="16"/>
  <c r="D736" i="16"/>
  <c r="D735" i="16"/>
  <c r="D734" i="16"/>
  <c r="D733" i="16"/>
  <c r="D732" i="16"/>
  <c r="D731" i="16"/>
  <c r="D730" i="16"/>
  <c r="D729" i="16"/>
  <c r="D728" i="16"/>
  <c r="D727" i="16"/>
  <c r="D726" i="16"/>
  <c r="D725" i="16"/>
  <c r="D724" i="16"/>
  <c r="D723" i="16"/>
  <c r="D722" i="16"/>
  <c r="D721" i="16"/>
  <c r="D720" i="16"/>
  <c r="D719" i="16"/>
  <c r="D718" i="16"/>
  <c r="D717" i="16"/>
  <c r="D716" i="16"/>
  <c r="D715" i="16"/>
  <c r="D714" i="16"/>
  <c r="D713" i="16"/>
  <c r="D712" i="16"/>
  <c r="D711" i="16"/>
  <c r="D710" i="16"/>
  <c r="D709" i="16"/>
  <c r="D708" i="16"/>
  <c r="D707" i="16"/>
  <c r="D706" i="16"/>
  <c r="D705" i="16"/>
  <c r="D704" i="16"/>
  <c r="D703" i="16"/>
  <c r="D702" i="16"/>
  <c r="D701" i="16"/>
  <c r="D700" i="16"/>
  <c r="D699" i="16"/>
  <c r="D698" i="16"/>
  <c r="D697" i="16"/>
  <c r="D696" i="16"/>
  <c r="D695" i="16"/>
  <c r="D694" i="16"/>
  <c r="D693" i="16"/>
  <c r="D692" i="16"/>
  <c r="D691" i="16"/>
  <c r="D690" i="16"/>
  <c r="D689" i="16"/>
  <c r="D688" i="16"/>
  <c r="D687" i="16"/>
  <c r="D686" i="16"/>
  <c r="D685" i="16"/>
  <c r="D684" i="16"/>
  <c r="D683" i="16"/>
  <c r="D682" i="16"/>
  <c r="D681" i="16"/>
  <c r="D680" i="16"/>
  <c r="D679" i="16"/>
  <c r="D678" i="16"/>
  <c r="D677" i="16"/>
  <c r="D676" i="16"/>
  <c r="D675" i="16"/>
  <c r="D674" i="16"/>
  <c r="D673" i="16"/>
  <c r="D672" i="16"/>
  <c r="D671" i="16"/>
  <c r="D670" i="16"/>
  <c r="D669" i="16"/>
  <c r="D668" i="16"/>
  <c r="D667" i="16"/>
  <c r="D666" i="16"/>
  <c r="D665" i="16"/>
  <c r="D664" i="16"/>
  <c r="D663" i="16"/>
  <c r="D662" i="16"/>
  <c r="D661" i="16"/>
  <c r="D660" i="16"/>
  <c r="D659" i="16"/>
  <c r="D658" i="16"/>
  <c r="D657" i="16"/>
  <c r="D656" i="16"/>
  <c r="D655" i="16"/>
  <c r="D654" i="16"/>
  <c r="D653" i="16"/>
  <c r="D652" i="16"/>
  <c r="D651" i="16"/>
  <c r="D650" i="16"/>
  <c r="D649" i="16"/>
  <c r="D648" i="16"/>
  <c r="D647" i="16"/>
  <c r="D646" i="16"/>
  <c r="D645" i="16"/>
  <c r="D644" i="16"/>
  <c r="D643" i="16"/>
  <c r="D642" i="16"/>
  <c r="D641" i="16"/>
  <c r="D640" i="16"/>
  <c r="D639" i="16"/>
  <c r="D638" i="16"/>
  <c r="D637" i="16"/>
  <c r="D636" i="16"/>
  <c r="D635" i="16"/>
  <c r="D634" i="16"/>
  <c r="D633" i="16"/>
  <c r="D632" i="16"/>
  <c r="D631" i="16"/>
  <c r="D630" i="16"/>
  <c r="D629" i="16"/>
  <c r="D628" i="16"/>
  <c r="D627" i="16"/>
  <c r="D626" i="16"/>
  <c r="D625" i="16"/>
  <c r="D624" i="16"/>
  <c r="D623" i="16"/>
  <c r="D622" i="16"/>
  <c r="D621" i="16"/>
  <c r="D620" i="16"/>
  <c r="D619" i="16"/>
  <c r="D618" i="16"/>
  <c r="D617" i="16"/>
  <c r="D616" i="16"/>
  <c r="D615" i="16"/>
  <c r="D614" i="16"/>
  <c r="D613" i="16"/>
  <c r="D612" i="16"/>
  <c r="D611" i="16"/>
  <c r="D610" i="16"/>
  <c r="D609" i="16"/>
  <c r="D608" i="16"/>
  <c r="D607" i="16"/>
  <c r="D606" i="16"/>
  <c r="D605" i="16"/>
  <c r="D604" i="16"/>
  <c r="D603" i="16"/>
  <c r="D602" i="16"/>
  <c r="D601" i="16"/>
  <c r="D600" i="16"/>
  <c r="D599" i="16"/>
  <c r="D598" i="16"/>
  <c r="D597" i="16"/>
  <c r="D596" i="16"/>
  <c r="D595" i="16"/>
  <c r="D594" i="16"/>
  <c r="D593" i="16"/>
  <c r="D592" i="16"/>
  <c r="D591" i="16"/>
  <c r="D590" i="16"/>
  <c r="D589" i="16"/>
  <c r="D588" i="16"/>
  <c r="D587" i="16"/>
  <c r="D586" i="16"/>
  <c r="D585" i="16"/>
  <c r="D584" i="16"/>
  <c r="D583" i="16"/>
  <c r="D582" i="16"/>
  <c r="D581" i="16"/>
  <c r="D580" i="16"/>
  <c r="D579" i="16"/>
  <c r="D578" i="16"/>
  <c r="D577" i="16"/>
  <c r="D576" i="16"/>
  <c r="D575" i="16"/>
  <c r="D574" i="16"/>
  <c r="D573" i="16"/>
  <c r="D572" i="16"/>
  <c r="D571" i="16"/>
  <c r="D570" i="16"/>
  <c r="D569" i="16"/>
  <c r="D568" i="16"/>
  <c r="D567" i="16"/>
  <c r="D566" i="16"/>
  <c r="D565" i="16"/>
  <c r="D564" i="16"/>
  <c r="D563" i="16"/>
  <c r="D562" i="16"/>
  <c r="D561" i="16"/>
  <c r="D560" i="16"/>
  <c r="D559" i="16"/>
  <c r="D558" i="16"/>
  <c r="D557" i="16"/>
  <c r="D556" i="16"/>
  <c r="D555" i="16"/>
  <c r="D554" i="16"/>
  <c r="D553" i="16"/>
  <c r="D552" i="16"/>
  <c r="D551" i="16"/>
  <c r="D550" i="16"/>
  <c r="D549" i="16"/>
  <c r="D548" i="16"/>
  <c r="D547" i="16"/>
  <c r="D546" i="16"/>
  <c r="D545" i="16"/>
  <c r="D544" i="16"/>
  <c r="D543" i="16"/>
  <c r="D542" i="16"/>
  <c r="D541" i="16"/>
  <c r="D540" i="16"/>
  <c r="D539" i="16"/>
  <c r="D538" i="16"/>
  <c r="D537" i="16"/>
  <c r="D536" i="16"/>
  <c r="D535" i="16"/>
  <c r="D534" i="16"/>
  <c r="D533" i="16"/>
  <c r="D532" i="16"/>
  <c r="D531" i="16"/>
  <c r="D530" i="16"/>
  <c r="D529" i="16"/>
  <c r="D528" i="16"/>
  <c r="D527" i="16"/>
  <c r="D526" i="16"/>
  <c r="D525" i="16"/>
  <c r="D524" i="16"/>
  <c r="D523" i="16"/>
  <c r="D522" i="16"/>
  <c r="D521" i="16"/>
  <c r="D520" i="16"/>
  <c r="D519" i="16"/>
  <c r="D518" i="16"/>
  <c r="D517" i="16"/>
  <c r="D516" i="16"/>
  <c r="D515" i="16"/>
  <c r="D514" i="16"/>
  <c r="D513" i="16"/>
  <c r="D512" i="16"/>
  <c r="D511" i="16"/>
  <c r="D510" i="16"/>
  <c r="D509" i="16"/>
  <c r="D508" i="16"/>
  <c r="D507" i="16"/>
  <c r="D506" i="16"/>
  <c r="D505" i="16"/>
  <c r="D504" i="16"/>
  <c r="D503" i="16"/>
  <c r="D502" i="16"/>
  <c r="D501" i="16"/>
  <c r="D500" i="16"/>
  <c r="D499" i="16"/>
  <c r="D498" i="16"/>
  <c r="D497" i="16"/>
  <c r="D496" i="16"/>
  <c r="D495" i="16"/>
  <c r="D494" i="16"/>
  <c r="D493" i="16"/>
  <c r="D492" i="16"/>
  <c r="D491" i="16"/>
  <c r="D490" i="16"/>
  <c r="D489" i="16"/>
  <c r="D488" i="16"/>
  <c r="D487" i="16"/>
  <c r="D486" i="16"/>
  <c r="D485" i="16"/>
  <c r="D484" i="16"/>
  <c r="D483" i="16"/>
  <c r="D482" i="16"/>
  <c r="D481" i="16"/>
  <c r="D480" i="16"/>
  <c r="D479" i="16"/>
  <c r="D478" i="16"/>
  <c r="D477" i="16"/>
  <c r="D476" i="16"/>
  <c r="D475" i="16"/>
  <c r="D474" i="16"/>
  <c r="D473" i="16"/>
  <c r="D472" i="16"/>
  <c r="D471" i="16"/>
  <c r="D470" i="16"/>
  <c r="D469" i="16"/>
  <c r="D468" i="16"/>
  <c r="D467" i="16"/>
  <c r="D466" i="16"/>
  <c r="D465" i="16"/>
  <c r="D464" i="16"/>
  <c r="D463" i="16"/>
  <c r="D462" i="16"/>
  <c r="D461" i="16"/>
  <c r="D460" i="16"/>
  <c r="D459" i="16"/>
  <c r="D458" i="16"/>
  <c r="D457" i="16"/>
  <c r="D456" i="16"/>
  <c r="D455" i="16"/>
  <c r="D454" i="16"/>
  <c r="D453" i="16"/>
  <c r="D452" i="16"/>
  <c r="D451" i="16"/>
  <c r="D450" i="16"/>
  <c r="D449" i="16"/>
  <c r="D448" i="16"/>
  <c r="D447" i="16"/>
  <c r="D446" i="16"/>
  <c r="D445" i="16"/>
  <c r="D444" i="16"/>
  <c r="D443" i="16"/>
  <c r="D442" i="16"/>
  <c r="D441" i="16"/>
  <c r="D440" i="16"/>
  <c r="D439" i="16"/>
  <c r="D438" i="16"/>
  <c r="D437" i="16"/>
  <c r="D436" i="16"/>
  <c r="D435" i="16"/>
  <c r="D434" i="16"/>
  <c r="D433" i="16"/>
  <c r="D432" i="16"/>
  <c r="D431" i="16"/>
  <c r="D430" i="16"/>
  <c r="D429" i="16"/>
  <c r="D428" i="16"/>
  <c r="D427" i="16"/>
  <c r="D426" i="16"/>
  <c r="D425" i="16"/>
  <c r="D424" i="16"/>
  <c r="D423" i="16"/>
  <c r="D422" i="16"/>
  <c r="D421" i="16"/>
  <c r="D420" i="16"/>
  <c r="D419" i="16"/>
  <c r="D418" i="16"/>
  <c r="D417" i="16"/>
  <c r="D416" i="16"/>
  <c r="D415" i="16"/>
  <c r="D414" i="16"/>
  <c r="D413" i="16"/>
  <c r="D412" i="16"/>
  <c r="D411" i="16"/>
  <c r="D410" i="16"/>
  <c r="D409" i="16"/>
  <c r="D408" i="16"/>
  <c r="D407" i="16"/>
  <c r="D406" i="16"/>
  <c r="D405" i="16"/>
  <c r="D404" i="16"/>
  <c r="D403" i="16"/>
  <c r="D402" i="16"/>
  <c r="D401" i="16"/>
  <c r="D400" i="16"/>
  <c r="D399" i="16"/>
  <c r="D398" i="16"/>
  <c r="D397" i="16"/>
  <c r="D396" i="16"/>
  <c r="D395" i="16"/>
  <c r="D394" i="16"/>
  <c r="D393" i="16"/>
  <c r="D392" i="16"/>
  <c r="D391" i="16"/>
  <c r="D390" i="16"/>
  <c r="D389" i="16"/>
  <c r="D388" i="16"/>
  <c r="D387" i="16"/>
  <c r="D386" i="16"/>
  <c r="D385" i="16"/>
  <c r="D384" i="16"/>
  <c r="D383" i="16"/>
  <c r="D382" i="16"/>
  <c r="D381" i="16"/>
  <c r="D380" i="16"/>
  <c r="D379" i="16"/>
  <c r="D378" i="16"/>
  <c r="D377" i="16"/>
  <c r="D376" i="16"/>
  <c r="D375" i="16"/>
  <c r="D374" i="16"/>
  <c r="D373" i="16"/>
  <c r="D372" i="16"/>
  <c r="D371" i="16"/>
  <c r="D370" i="16"/>
  <c r="D369" i="16"/>
  <c r="D368" i="16"/>
  <c r="D367" i="16"/>
  <c r="D366" i="16"/>
  <c r="D365" i="16"/>
  <c r="D364" i="16"/>
  <c r="D363" i="16"/>
  <c r="D362" i="16"/>
  <c r="D361" i="16"/>
  <c r="D360" i="16"/>
  <c r="D359" i="16"/>
  <c r="D358" i="16"/>
  <c r="D357" i="16"/>
  <c r="D356" i="16"/>
  <c r="D355" i="16"/>
  <c r="D354" i="16"/>
  <c r="D353" i="16"/>
  <c r="D352" i="16"/>
  <c r="D351" i="16"/>
  <c r="D350" i="16"/>
  <c r="D349" i="16"/>
  <c r="D348" i="16"/>
  <c r="D347" i="16"/>
  <c r="D346" i="16"/>
  <c r="D345" i="16"/>
  <c r="D344" i="16"/>
  <c r="D343" i="16"/>
  <c r="D342" i="16"/>
  <c r="D341" i="16"/>
  <c r="D340" i="16"/>
  <c r="D339" i="16"/>
  <c r="D338" i="16"/>
  <c r="D337" i="16"/>
  <c r="D336" i="16"/>
  <c r="D335" i="16"/>
  <c r="D334" i="16"/>
  <c r="D333" i="16"/>
  <c r="D332" i="16"/>
  <c r="D331" i="16"/>
  <c r="D330" i="16"/>
  <c r="D329" i="16"/>
  <c r="D328" i="16"/>
  <c r="D327" i="16"/>
  <c r="D326" i="16"/>
  <c r="D325" i="16"/>
  <c r="D324" i="16"/>
  <c r="D323" i="16"/>
  <c r="D322" i="16"/>
  <c r="D321" i="16"/>
  <c r="D320" i="16"/>
  <c r="D319" i="16"/>
  <c r="D318" i="16"/>
  <c r="D317" i="16"/>
  <c r="D316" i="16"/>
  <c r="D315" i="16"/>
  <c r="D314" i="16"/>
  <c r="D313" i="16"/>
  <c r="D312" i="16"/>
  <c r="D311" i="16"/>
  <c r="D310" i="16"/>
  <c r="D309" i="16"/>
  <c r="D308" i="16"/>
  <c r="D307" i="16"/>
  <c r="D306" i="16"/>
  <c r="D305" i="16"/>
  <c r="D304" i="16"/>
  <c r="D303" i="16"/>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F5" i="16"/>
  <c r="D5" i="16"/>
  <c r="D4" i="16"/>
  <c r="D3" i="16"/>
  <c r="H25" i="13" l="1"/>
  <c r="I25" i="13"/>
  <c r="J25" i="13"/>
  <c r="K25" i="13"/>
  <c r="H26" i="13"/>
  <c r="I26" i="13"/>
  <c r="J26" i="13"/>
  <c r="K26" i="13"/>
  <c r="H39" i="13"/>
  <c r="I39" i="13"/>
  <c r="J39" i="13"/>
  <c r="K39" i="13"/>
  <c r="H40" i="13"/>
  <c r="I40" i="13"/>
  <c r="J40" i="13"/>
  <c r="K40" i="13"/>
  <c r="G25" i="13"/>
  <c r="G26" i="13"/>
  <c r="G39" i="13"/>
  <c r="G40" i="13"/>
  <c r="I610" i="1"/>
  <c r="H36" i="13" s="1"/>
  <c r="J610" i="1"/>
  <c r="I36" i="13" s="1"/>
  <c r="K610" i="1"/>
  <c r="J36" i="13" s="1"/>
  <c r="L610" i="1"/>
  <c r="K36" i="13" s="1"/>
  <c r="H610" i="1"/>
  <c r="G36" i="13" s="1"/>
  <c r="D318" i="1"/>
  <c r="E318" i="1"/>
  <c r="F318" i="1"/>
  <c r="G318" i="1"/>
  <c r="H318" i="1"/>
  <c r="I318" i="1"/>
  <c r="J318" i="1"/>
  <c r="K318" i="1"/>
  <c r="L318" i="1"/>
  <c r="L605" i="1" s="1"/>
  <c r="K31" i="13" s="1"/>
  <c r="C318" i="1"/>
  <c r="G612" i="1"/>
  <c r="F612" i="1"/>
  <c r="E612" i="1"/>
  <c r="D612" i="1"/>
  <c r="C612" i="1"/>
  <c r="I592" i="1"/>
  <c r="H18" i="13" s="1"/>
  <c r="J592" i="1"/>
  <c r="I18" i="13" s="1"/>
  <c r="K592" i="1"/>
  <c r="J18" i="13" s="1"/>
  <c r="L592" i="1"/>
  <c r="K18" i="13" s="1"/>
  <c r="I287" i="1"/>
  <c r="J287" i="1" s="1"/>
  <c r="H287" i="1"/>
  <c r="H594" i="1" s="1"/>
  <c r="G20" i="13" s="1"/>
  <c r="H592" i="1"/>
  <c r="G18" i="13" s="1"/>
  <c r="G210" i="1"/>
  <c r="F210" i="1"/>
  <c r="J25" i="1"/>
  <c r="K25" i="1"/>
  <c r="L25" i="1"/>
  <c r="C682" i="1"/>
  <c r="D682" i="1"/>
  <c r="E682" i="1"/>
  <c r="F682" i="1"/>
  <c r="G598" i="1"/>
  <c r="F598" i="1"/>
  <c r="E598" i="1"/>
  <c r="D598" i="1"/>
  <c r="C598" i="1"/>
  <c r="C615" i="1" s="1"/>
  <c r="C618" i="1" s="1"/>
  <c r="G586" i="1"/>
  <c r="G615" i="1" s="1"/>
  <c r="G618" i="1" s="1"/>
  <c r="F586" i="1"/>
  <c r="E586" i="1"/>
  <c r="D586" i="1"/>
  <c r="C586" i="1"/>
  <c r="I584" i="1"/>
  <c r="H10" i="13" s="1"/>
  <c r="J584" i="1"/>
  <c r="I10" i="13" s="1"/>
  <c r="K584" i="1"/>
  <c r="J10" i="13" s="1"/>
  <c r="L584" i="1"/>
  <c r="K10" i="13" s="1"/>
  <c r="H584" i="1"/>
  <c r="G10" i="13" s="1"/>
  <c r="L606" i="1" l="1"/>
  <c r="K32" i="13" s="1"/>
  <c r="J606" i="1"/>
  <c r="I32" i="13" s="1"/>
  <c r="I606" i="1"/>
  <c r="H32" i="13" s="1"/>
  <c r="K606" i="1"/>
  <c r="J32" i="13" s="1"/>
  <c r="J605" i="1"/>
  <c r="I31" i="13" s="1"/>
  <c r="I605" i="1"/>
  <c r="H31" i="13" s="1"/>
  <c r="E615" i="1"/>
  <c r="E618" i="1" s="1"/>
  <c r="H605" i="1"/>
  <c r="G31" i="13" s="1"/>
  <c r="H606" i="1"/>
  <c r="G32" i="13" s="1"/>
  <c r="K605" i="1"/>
  <c r="J31" i="13" s="1"/>
  <c r="D615" i="1"/>
  <c r="D618" i="1" s="1"/>
  <c r="G19" i="13"/>
  <c r="F615" i="1"/>
  <c r="F618" i="1" s="1"/>
  <c r="J594" i="1"/>
  <c r="I20" i="13" s="1"/>
  <c r="J593" i="1"/>
  <c r="I19" i="13" s="1"/>
  <c r="I593" i="1"/>
  <c r="H19" i="13" s="1"/>
  <c r="K287" i="1"/>
  <c r="L287" i="1" s="1"/>
  <c r="I594" i="1"/>
  <c r="H20" i="13" s="1"/>
  <c r="L594" i="1" l="1"/>
  <c r="K20" i="13" s="1"/>
  <c r="L593" i="1"/>
  <c r="K19" i="13" s="1"/>
  <c r="K593" i="1"/>
  <c r="J19" i="13" s="1"/>
  <c r="K594" i="1"/>
  <c r="J20" i="13" s="1"/>
  <c r="F38" i="13" l="1"/>
  <c r="E38" i="13"/>
  <c r="D38" i="13"/>
  <c r="C38" i="13"/>
  <c r="B38" i="13"/>
  <c r="F24" i="13"/>
  <c r="E24" i="13"/>
  <c r="D24" i="13"/>
  <c r="C24" i="13"/>
  <c r="B24" i="13"/>
  <c r="F12" i="13"/>
  <c r="E12" i="13"/>
  <c r="D12" i="13"/>
  <c r="C12" i="13"/>
  <c r="B12" i="13"/>
  <c r="D41" i="13" l="1"/>
  <c r="D44" i="13" s="1"/>
  <c r="F41" i="13"/>
  <c r="F44" i="13" s="1"/>
  <c r="B41" i="13"/>
  <c r="C41" i="13"/>
  <c r="C44" i="13" s="1"/>
  <c r="B44" i="13"/>
  <c r="E41" i="13"/>
  <c r="E44" i="13" s="1"/>
  <c r="H652" i="1" l="1"/>
  <c r="I652" i="1" s="1"/>
  <c r="J652" i="1" s="1"/>
  <c r="I651" i="1"/>
  <c r="J651" i="1"/>
  <c r="K651" i="1"/>
  <c r="L651" i="1"/>
  <c r="D656" i="1"/>
  <c r="H651" i="1"/>
  <c r="H553" i="1"/>
  <c r="H646" i="1" s="1"/>
  <c r="H552" i="1" a="1"/>
  <c r="H552" i="1" s="1"/>
  <c r="H644" i="1" s="1"/>
  <c r="I632" i="1"/>
  <c r="J632" i="1"/>
  <c r="K632" i="1"/>
  <c r="L632" i="1"/>
  <c r="H632" i="1"/>
  <c r="G102" i="8"/>
  <c r="K71" i="8"/>
  <c r="I218" i="1"/>
  <c r="J218" i="1"/>
  <c r="K218" i="1"/>
  <c r="L218" i="1"/>
  <c r="I219" i="1"/>
  <c r="J219" i="1"/>
  <c r="K219" i="1"/>
  <c r="L219" i="1"/>
  <c r="I143" i="1"/>
  <c r="J143" i="1"/>
  <c r="K143" i="1"/>
  <c r="L143" i="1"/>
  <c r="I144" i="1"/>
  <c r="J144" i="1"/>
  <c r="J146" i="1" s="1"/>
  <c r="J630" i="1" s="1"/>
  <c r="K144" i="1"/>
  <c r="L144" i="1"/>
  <c r="I145" i="1"/>
  <c r="J145" i="1"/>
  <c r="K145" i="1"/>
  <c r="L145" i="1"/>
  <c r="H145" i="1"/>
  <c r="H144" i="1"/>
  <c r="H143" i="1"/>
  <c r="H548" i="1"/>
  <c r="G50" i="11"/>
  <c r="H430" i="1"/>
  <c r="I430" i="1" s="1"/>
  <c r="H429" i="1"/>
  <c r="H366" i="1"/>
  <c r="G45" i="11" s="1"/>
  <c r="F365" i="1"/>
  <c r="F367" i="1" s="1"/>
  <c r="G365" i="1"/>
  <c r="H364" i="1"/>
  <c r="H550" i="1" s="1"/>
  <c r="I363" i="1"/>
  <c r="J363" i="1" s="1"/>
  <c r="L370" i="1"/>
  <c r="L372" i="1" s="1"/>
  <c r="K37" i="11" s="1"/>
  <c r="J370" i="1"/>
  <c r="J372" i="1" s="1"/>
  <c r="I37" i="11" s="1"/>
  <c r="U370" i="1"/>
  <c r="U369" i="1"/>
  <c r="S375" i="1"/>
  <c r="S376" i="1" s="1"/>
  <c r="R375" i="1"/>
  <c r="R376" i="1" s="1"/>
  <c r="R372" i="1"/>
  <c r="R373" i="1" s="1"/>
  <c r="S372" i="1"/>
  <c r="T369" i="1"/>
  <c r="T370" i="1" s="1"/>
  <c r="O371" i="1" s="1"/>
  <c r="G14" i="11"/>
  <c r="H14" i="11"/>
  <c r="I14" i="11"/>
  <c r="J14" i="11"/>
  <c r="K14" i="11"/>
  <c r="G29" i="11"/>
  <c r="H29" i="11"/>
  <c r="I29" i="11"/>
  <c r="J29" i="11"/>
  <c r="K29" i="11"/>
  <c r="G30" i="11"/>
  <c r="H30" i="11"/>
  <c r="I30" i="11"/>
  <c r="J30" i="11"/>
  <c r="K30" i="11"/>
  <c r="G31" i="11"/>
  <c r="H31" i="11"/>
  <c r="I31" i="11"/>
  <c r="J31" i="11"/>
  <c r="K31" i="11"/>
  <c r="H46" i="11"/>
  <c r="I46" i="11"/>
  <c r="J46" i="11"/>
  <c r="K46" i="11"/>
  <c r="I146" i="1" l="1"/>
  <c r="I630" i="1" s="1"/>
  <c r="K146" i="1"/>
  <c r="K630" i="1" s="1"/>
  <c r="L146" i="1"/>
  <c r="L630" i="1" s="1"/>
  <c r="H146" i="1"/>
  <c r="H630" i="1" s="1"/>
  <c r="I364" i="1"/>
  <c r="J364" i="1" s="1"/>
  <c r="J550" i="1" s="1"/>
  <c r="K644" i="1"/>
  <c r="L644" i="1"/>
  <c r="I553" i="1"/>
  <c r="J644" i="1"/>
  <c r="I644" i="1"/>
  <c r="K652" i="1"/>
  <c r="L652" i="1" s="1"/>
  <c r="H645" i="1"/>
  <c r="J547" i="1"/>
  <c r="J648" i="1" s="1"/>
  <c r="H431" i="1"/>
  <c r="G48" i="11" s="1"/>
  <c r="L547" i="1"/>
  <c r="L648" i="1" s="1"/>
  <c r="I429" i="1"/>
  <c r="J429" i="1" s="1"/>
  <c r="J430" i="1"/>
  <c r="K430" i="1" s="1"/>
  <c r="L430" i="1" s="1"/>
  <c r="W376" i="1"/>
  <c r="T371" i="1"/>
  <c r="O372" i="1" s="1"/>
  <c r="Q372" i="1" s="1"/>
  <c r="U371" i="1" s="1"/>
  <c r="I366" i="1"/>
  <c r="J366" i="1" s="1"/>
  <c r="I45" i="11" s="1"/>
  <c r="K363" i="1"/>
  <c r="L363" i="1" s="1"/>
  <c r="I550" i="1" l="1"/>
  <c r="J553" i="1"/>
  <c r="I646" i="1"/>
  <c r="I645" i="1"/>
  <c r="K364" i="1"/>
  <c r="L364" i="1" s="1"/>
  <c r="L550" i="1" s="1"/>
  <c r="J431" i="1"/>
  <c r="I48" i="11" s="1"/>
  <c r="H45" i="11"/>
  <c r="K429" i="1"/>
  <c r="L429" i="1" s="1"/>
  <c r="L431" i="1" s="1"/>
  <c r="K48" i="11" s="1"/>
  <c r="I431" i="1"/>
  <c r="H48" i="11" s="1"/>
  <c r="T372" i="1"/>
  <c r="O373" i="1" s="1"/>
  <c r="K366" i="1"/>
  <c r="H50" i="11"/>
  <c r="K431" i="1" l="1"/>
  <c r="J48" i="11" s="1"/>
  <c r="K550" i="1"/>
  <c r="J646" i="1"/>
  <c r="J645" i="1"/>
  <c r="K553" i="1"/>
  <c r="H370" i="1"/>
  <c r="Q373" i="1"/>
  <c r="U372" i="1" s="1"/>
  <c r="I50" i="11"/>
  <c r="L366" i="1"/>
  <c r="K45" i="11" s="1"/>
  <c r="J45" i="11"/>
  <c r="H547" i="1" l="1"/>
  <c r="H648" i="1" s="1"/>
  <c r="L553" i="1"/>
  <c r="K646" i="1"/>
  <c r="K645" i="1"/>
  <c r="S373" i="1"/>
  <c r="T373" i="1" s="1"/>
  <c r="O374" i="1" s="1"/>
  <c r="J50" i="11"/>
  <c r="K50" i="11"/>
  <c r="H371" i="1"/>
  <c r="G46" i="11" s="1"/>
  <c r="L646" i="1" l="1"/>
  <c r="L645" i="1"/>
  <c r="H372" i="1"/>
  <c r="G37" i="11" s="1"/>
  <c r="Q374" i="1"/>
  <c r="T374" i="1" s="1"/>
  <c r="O375" i="1" s="1"/>
  <c r="Q375" i="1" s="1"/>
  <c r="T375" i="1" s="1"/>
  <c r="O376" i="1" s="1"/>
  <c r="Q376" i="1" s="1"/>
  <c r="T376" i="1" s="1"/>
  <c r="I370" i="1"/>
  <c r="I372" i="1" l="1"/>
  <c r="H37" i="11" s="1"/>
  <c r="I547" i="1"/>
  <c r="I648" i="1" s="1"/>
  <c r="K370" i="1"/>
  <c r="U373" i="1"/>
  <c r="K372" i="1" l="1"/>
  <c r="J37" i="11" s="1"/>
  <c r="K547" i="1"/>
  <c r="K648" i="1" s="1"/>
  <c r="B51" i="11" l="1"/>
  <c r="C14" i="11"/>
  <c r="D14" i="11"/>
  <c r="E14" i="11"/>
  <c r="F14" i="11"/>
  <c r="B14" i="11"/>
  <c r="C20" i="11"/>
  <c r="D20" i="11"/>
  <c r="E20" i="11"/>
  <c r="F20" i="11"/>
  <c r="B20" i="11"/>
  <c r="E49" i="11"/>
  <c r="F49" i="11"/>
  <c r="C46" i="11"/>
  <c r="D46" i="11"/>
  <c r="E46" i="11"/>
  <c r="F46" i="11"/>
  <c r="B46" i="11"/>
  <c r="E44" i="11"/>
  <c r="F44" i="11"/>
  <c r="D45" i="11"/>
  <c r="C45" i="11"/>
  <c r="E45" i="11"/>
  <c r="F45" i="11"/>
  <c r="B45" i="11"/>
  <c r="C30" i="11"/>
  <c r="D30" i="11"/>
  <c r="E30" i="11"/>
  <c r="F30" i="11"/>
  <c r="B30" i="11"/>
  <c r="C29" i="11"/>
  <c r="D29" i="11"/>
  <c r="E29" i="11"/>
  <c r="F29" i="11"/>
  <c r="B29" i="11"/>
  <c r="C31" i="11"/>
  <c r="D31" i="11"/>
  <c r="E31" i="11"/>
  <c r="F31" i="11"/>
  <c r="C32" i="11"/>
  <c r="D32" i="11"/>
  <c r="E32" i="11"/>
  <c r="F32" i="11"/>
  <c r="C36" i="11"/>
  <c r="C37" i="11"/>
  <c r="C43" i="11"/>
  <c r="D43" i="11"/>
  <c r="E43" i="11"/>
  <c r="F43" i="11"/>
  <c r="C47" i="11"/>
  <c r="D47" i="11"/>
  <c r="C49" i="11"/>
  <c r="D49" i="11"/>
  <c r="C50" i="11"/>
  <c r="D50" i="11"/>
  <c r="E50" i="11"/>
  <c r="F50" i="11"/>
  <c r="C52" i="11"/>
  <c r="D52" i="11"/>
  <c r="E52" i="11"/>
  <c r="F52" i="11"/>
  <c r="E8" i="11"/>
  <c r="F8" i="11"/>
  <c r="B52" i="11"/>
  <c r="B50" i="11"/>
  <c r="B49" i="11"/>
  <c r="C357" i="1"/>
  <c r="B44" i="11" s="1"/>
  <c r="D357" i="1"/>
  <c r="C44" i="11" s="1"/>
  <c r="E357" i="1"/>
  <c r="D44" i="11" s="1"/>
  <c r="C350" i="1"/>
  <c r="B43" i="11"/>
  <c r="B37" i="11"/>
  <c r="B36" i="11"/>
  <c r="B32" i="11"/>
  <c r="B31" i="11"/>
  <c r="D327" i="1"/>
  <c r="E327" i="1"/>
  <c r="F327" i="1"/>
  <c r="G327" i="1"/>
  <c r="H327" i="1"/>
  <c r="I327" i="1"/>
  <c r="J327" i="1"/>
  <c r="K327" i="1"/>
  <c r="L327" i="1"/>
  <c r="C327" i="1"/>
  <c r="H423" i="1" a="1"/>
  <c r="H423" i="1" s="1"/>
  <c r="H422" i="1" a="1"/>
  <c r="H422" i="1" s="1"/>
  <c r="H421" i="1" a="1"/>
  <c r="G425" i="1"/>
  <c r="F47" i="11" s="1"/>
  <c r="G153" i="8"/>
  <c r="G154" i="8" s="1"/>
  <c r="H153" i="8"/>
  <c r="I153" i="8"/>
  <c r="I154" i="8" s="1"/>
  <c r="J153" i="8"/>
  <c r="K153" i="8"/>
  <c r="H154" i="8"/>
  <c r="J154" i="8"/>
  <c r="K154" i="8"/>
  <c r="K149" i="8"/>
  <c r="G149" i="8"/>
  <c r="H149" i="8"/>
  <c r="I149" i="8"/>
  <c r="J149" i="8"/>
  <c r="G151" i="8"/>
  <c r="H151" i="8" s="1"/>
  <c r="G152" i="8"/>
  <c r="H152" i="8" s="1"/>
  <c r="G148" i="8"/>
  <c r="H148" i="8"/>
  <c r="J148" i="8" s="1"/>
  <c r="I148" i="8"/>
  <c r="H147" i="8"/>
  <c r="I147" i="8" s="1"/>
  <c r="J147" i="8" s="1"/>
  <c r="G147" i="8"/>
  <c r="H421" i="1" l="1"/>
  <c r="H672" i="1" s="1"/>
  <c r="L672" i="1"/>
  <c r="I672" i="1"/>
  <c r="J672" i="1"/>
  <c r="K672" i="1"/>
  <c r="D33" i="11"/>
  <c r="H425" i="1"/>
  <c r="B33" i="11"/>
  <c r="K425" i="1"/>
  <c r="J425" i="1"/>
  <c r="I425" i="1"/>
  <c r="E33" i="11"/>
  <c r="C33" i="11"/>
  <c r="L425" i="1"/>
  <c r="F33" i="11"/>
  <c r="I152" i="8"/>
  <c r="K152" i="8" s="1"/>
  <c r="J152" i="8"/>
  <c r="I151" i="8"/>
  <c r="K148" i="8"/>
  <c r="K147" i="8"/>
  <c r="J47" i="11" l="1"/>
  <c r="F11" i="14" s="1"/>
  <c r="G47" i="11"/>
  <c r="I47" i="11"/>
  <c r="E11" i="14" s="1"/>
  <c r="K47" i="11"/>
  <c r="G11" i="14" s="1"/>
  <c r="H47" i="11"/>
  <c r="D11" i="14" s="1"/>
  <c r="J151" i="8"/>
  <c r="K151" i="8" s="1"/>
  <c r="M403" i="1" l="1"/>
  <c r="E396" i="1"/>
  <c r="F396" i="1"/>
  <c r="G396" i="1"/>
  <c r="E397" i="1"/>
  <c r="F397" i="1"/>
  <c r="G397" i="1"/>
  <c r="D396" i="1"/>
  <c r="C396" i="1"/>
  <c r="H311" i="1" a="1"/>
  <c r="H311" i="1" s="1"/>
  <c r="E398" i="1" l="1"/>
  <c r="E381" i="1" s="1"/>
  <c r="D39" i="11" s="1"/>
  <c r="H396" i="1" a="1"/>
  <c r="H396" i="1" s="1"/>
  <c r="G398" i="1"/>
  <c r="G381" i="1" s="1"/>
  <c r="F39" i="11" s="1"/>
  <c r="F398" i="1"/>
  <c r="F381" i="1" s="1"/>
  <c r="E39" i="11" s="1"/>
  <c r="G395" i="1" l="1"/>
  <c r="H395" i="1"/>
  <c r="F395" i="1"/>
  <c r="H412" i="1" l="1"/>
  <c r="I412" i="1" s="1"/>
  <c r="H413" i="1"/>
  <c r="I413" i="1" s="1"/>
  <c r="H410" i="1"/>
  <c r="I410" i="1" s="1"/>
  <c r="J410" i="1" s="1"/>
  <c r="K410" i="1" s="1"/>
  <c r="H411" i="1"/>
  <c r="I411" i="1" s="1"/>
  <c r="J411" i="1" s="1"/>
  <c r="K411" i="1" s="1"/>
  <c r="L411" i="1" s="1"/>
  <c r="H406" i="1"/>
  <c r="I406" i="1" s="1"/>
  <c r="J406" i="1" s="1"/>
  <c r="H407" i="1"/>
  <c r="I407" i="1" s="1"/>
  <c r="J407" i="1" s="1"/>
  <c r="H408" i="1"/>
  <c r="I408" i="1" s="1"/>
  <c r="H409" i="1"/>
  <c r="I409" i="1" s="1"/>
  <c r="H443" i="1"/>
  <c r="I443" i="1" s="1"/>
  <c r="I378" i="1" s="1"/>
  <c r="H52" i="11" s="1"/>
  <c r="G444" i="1"/>
  <c r="H442" i="1"/>
  <c r="I442" i="1" s="1"/>
  <c r="I377" i="1" s="1"/>
  <c r="H441" i="1"/>
  <c r="I441" i="1" s="1"/>
  <c r="I376" i="1" s="1"/>
  <c r="H376" i="1" l="1"/>
  <c r="H444" i="1"/>
  <c r="H377" i="1"/>
  <c r="I379" i="1"/>
  <c r="H38" i="11" s="1"/>
  <c r="J412" i="1"/>
  <c r="K412" i="1" s="1"/>
  <c r="L412" i="1" s="1"/>
  <c r="J443" i="1"/>
  <c r="J378" i="1" s="1"/>
  <c r="I52" i="11" s="1"/>
  <c r="H378" i="1"/>
  <c r="G52" i="11" s="1"/>
  <c r="J409" i="1"/>
  <c r="J441" i="1"/>
  <c r="J376" i="1" s="1"/>
  <c r="I444" i="1"/>
  <c r="J442" i="1"/>
  <c r="J408" i="1"/>
  <c r="K408" i="1" s="1"/>
  <c r="L408" i="1" s="1"/>
  <c r="J413" i="1"/>
  <c r="K407" i="1"/>
  <c r="L407" i="1" s="1"/>
  <c r="L410" i="1"/>
  <c r="K406" i="1"/>
  <c r="L406" i="1" s="1"/>
  <c r="H379" i="1" l="1"/>
  <c r="G38" i="11" s="1"/>
  <c r="K441" i="1"/>
  <c r="K376" i="1" s="1"/>
  <c r="K413" i="1"/>
  <c r="L413" i="1" s="1"/>
  <c r="K442" i="1"/>
  <c r="J377" i="1"/>
  <c r="J379" i="1" s="1"/>
  <c r="I38" i="11" s="1"/>
  <c r="K443" i="1"/>
  <c r="J444" i="1"/>
  <c r="K409" i="1"/>
  <c r="L409" i="1" s="1"/>
  <c r="H303" i="1"/>
  <c r="H306" i="1"/>
  <c r="H305" i="1"/>
  <c r="I305" i="1" s="1"/>
  <c r="J305" i="1" s="1"/>
  <c r="G237" i="1"/>
  <c r="F12" i="11" s="1"/>
  <c r="H286" i="1"/>
  <c r="I284" i="1"/>
  <c r="J284" i="1"/>
  <c r="K284" i="1"/>
  <c r="L284" i="1"/>
  <c r="H284" i="1"/>
  <c r="C126" i="4"/>
  <c r="C127" i="4"/>
  <c r="C128" i="4"/>
  <c r="C129" i="4"/>
  <c r="C125" i="4"/>
  <c r="H282" i="1"/>
  <c r="I282" i="1" s="1"/>
  <c r="J282" i="1" s="1"/>
  <c r="I279" i="1"/>
  <c r="J279" i="1"/>
  <c r="K279" i="1"/>
  <c r="L279" i="1"/>
  <c r="H279" i="1"/>
  <c r="C107" i="4"/>
  <c r="C108" i="4"/>
  <c r="C109" i="4"/>
  <c r="C110" i="4"/>
  <c r="C106" i="4"/>
  <c r="H237" i="1" l="1"/>
  <c r="I286" i="1"/>
  <c r="J286" i="1" s="1"/>
  <c r="I306" i="1"/>
  <c r="H670" i="1"/>
  <c r="L441" i="1"/>
  <c r="L376" i="1" s="1"/>
  <c r="H308" i="1"/>
  <c r="G22" i="11" s="1"/>
  <c r="L443" i="1"/>
  <c r="L378" i="1" s="1"/>
  <c r="K52" i="11" s="1"/>
  <c r="K378" i="1"/>
  <c r="J52" i="11" s="1"/>
  <c r="L442" i="1"/>
  <c r="L377" i="1" s="1"/>
  <c r="K377" i="1"/>
  <c r="K444" i="1"/>
  <c r="I303" i="1"/>
  <c r="K305" i="1"/>
  <c r="L305" i="1" s="1"/>
  <c r="K282" i="1"/>
  <c r="L282" i="1" s="1"/>
  <c r="K286" i="1" l="1"/>
  <c r="L286" i="1" s="1"/>
  <c r="J306" i="1"/>
  <c r="I670" i="1"/>
  <c r="K379" i="1"/>
  <c r="J38" i="11" s="1"/>
  <c r="L444" i="1"/>
  <c r="L379" i="1"/>
  <c r="K38" i="11" s="1"/>
  <c r="J303" i="1"/>
  <c r="I308" i="1"/>
  <c r="H22" i="11" s="1"/>
  <c r="D102" i="4"/>
  <c r="D103" i="4"/>
  <c r="D104" i="4"/>
  <c r="D105" i="4"/>
  <c r="D106" i="4"/>
  <c r="D107" i="4"/>
  <c r="D108" i="4"/>
  <c r="D109" i="4"/>
  <c r="D110" i="4"/>
  <c r="D101" i="4"/>
  <c r="H243" i="1"/>
  <c r="H244" i="1" s="1"/>
  <c r="H418" i="1"/>
  <c r="H16" i="8"/>
  <c r="I16" i="8"/>
  <c r="J16" i="8"/>
  <c r="K16" i="8"/>
  <c r="G16" i="8"/>
  <c r="C76" i="4"/>
  <c r="C77" i="4"/>
  <c r="C78" i="4"/>
  <c r="C79" i="4"/>
  <c r="C75" i="4"/>
  <c r="D71" i="4"/>
  <c r="E71" i="4"/>
  <c r="F71" i="4"/>
  <c r="D72" i="4"/>
  <c r="E72" i="4"/>
  <c r="F72" i="4"/>
  <c r="D73" i="4"/>
  <c r="E73" i="4"/>
  <c r="F73" i="4"/>
  <c r="D74" i="4"/>
  <c r="E74" i="4"/>
  <c r="F74" i="4"/>
  <c r="D75" i="4"/>
  <c r="E75" i="4"/>
  <c r="F75" i="4"/>
  <c r="D76" i="4"/>
  <c r="E76" i="4"/>
  <c r="F76" i="4"/>
  <c r="D77" i="4"/>
  <c r="E77" i="4"/>
  <c r="F77" i="4"/>
  <c r="D78" i="4"/>
  <c r="E78" i="4"/>
  <c r="F78" i="4"/>
  <c r="D79" i="4"/>
  <c r="E79" i="4"/>
  <c r="F79" i="4"/>
  <c r="F70" i="4"/>
  <c r="E70" i="4"/>
  <c r="D70" i="4"/>
  <c r="H15" i="8"/>
  <c r="I15" i="8"/>
  <c r="J15" i="8"/>
  <c r="K15" i="8"/>
  <c r="G15" i="8"/>
  <c r="C52" i="4"/>
  <c r="F44" i="4"/>
  <c r="F45" i="4"/>
  <c r="F46" i="4"/>
  <c r="F47" i="4"/>
  <c r="F48" i="4"/>
  <c r="F49" i="4"/>
  <c r="C49" i="4" s="1"/>
  <c r="F50" i="4"/>
  <c r="F51" i="4"/>
  <c r="F52" i="4"/>
  <c r="F43" i="4"/>
  <c r="D44" i="4"/>
  <c r="D45" i="4"/>
  <c r="D46" i="4"/>
  <c r="D47" i="4"/>
  <c r="D48" i="4"/>
  <c r="D49" i="4"/>
  <c r="D50" i="4"/>
  <c r="D51" i="4"/>
  <c r="D52" i="4"/>
  <c r="D43" i="4"/>
  <c r="E44" i="4"/>
  <c r="E45" i="4"/>
  <c r="E46" i="4"/>
  <c r="E47" i="4"/>
  <c r="E48" i="4"/>
  <c r="E49" i="4"/>
  <c r="E50" i="4"/>
  <c r="E51" i="4"/>
  <c r="E52" i="4"/>
  <c r="E43" i="4"/>
  <c r="H4" i="8"/>
  <c r="I4" i="8"/>
  <c r="J4" i="8"/>
  <c r="K4" i="8"/>
  <c r="G4" i="8"/>
  <c r="G10" i="8"/>
  <c r="J453" i="1"/>
  <c r="I9" i="8" s="1"/>
  <c r="C37" i="4"/>
  <c r="L453" i="1" s="1"/>
  <c r="K9" i="8" s="1"/>
  <c r="C34" i="4"/>
  <c r="I453" i="1" s="1"/>
  <c r="H9" i="8" s="1"/>
  <c r="C35" i="4"/>
  <c r="C36" i="4"/>
  <c r="K453" i="1" s="1"/>
  <c r="J9" i="8" s="1"/>
  <c r="C33" i="4"/>
  <c r="H453" i="1" s="1"/>
  <c r="G9" i="8" s="1"/>
  <c r="C12" i="4"/>
  <c r="C13" i="4"/>
  <c r="C14" i="4"/>
  <c r="C15" i="4"/>
  <c r="C11" i="4"/>
  <c r="H447" i="1" s="1"/>
  <c r="J670" i="1" l="1"/>
  <c r="K306" i="1"/>
  <c r="I418" i="1"/>
  <c r="H43" i="11" s="1"/>
  <c r="G43" i="11"/>
  <c r="J308" i="1"/>
  <c r="I22" i="11" s="1"/>
  <c r="K303" i="1"/>
  <c r="K308" i="1" s="1"/>
  <c r="J22" i="11" s="1"/>
  <c r="I243" i="1"/>
  <c r="I244" i="1" s="1"/>
  <c r="G3" i="8"/>
  <c r="H450" i="1"/>
  <c r="G6" i="8" s="1"/>
  <c r="H449" i="1"/>
  <c r="G5" i="8" s="1"/>
  <c r="J418" i="1" l="1"/>
  <c r="L306" i="1"/>
  <c r="L670" i="1" s="1"/>
  <c r="K670" i="1"/>
  <c r="K418" i="1"/>
  <c r="J43" i="11" s="1"/>
  <c r="I43" i="11"/>
  <c r="J243" i="1"/>
  <c r="K243" i="1" s="1"/>
  <c r="K244" i="1" s="1"/>
  <c r="L303" i="1"/>
  <c r="H362" i="1"/>
  <c r="H365" i="1" s="1"/>
  <c r="H358" i="1" s="1"/>
  <c r="H293" i="1"/>
  <c r="I293" i="1"/>
  <c r="J293" i="1"/>
  <c r="K293" i="1"/>
  <c r="L293" i="1"/>
  <c r="H296" i="1"/>
  <c r="I296" i="1"/>
  <c r="J296" i="1"/>
  <c r="K296" i="1"/>
  <c r="L296" i="1"/>
  <c r="G15" i="9"/>
  <c r="H127" i="8"/>
  <c r="I127" i="8"/>
  <c r="J127" i="8"/>
  <c r="K127" i="8"/>
  <c r="G127" i="8"/>
  <c r="F222" i="10"/>
  <c r="L418" i="1" l="1"/>
  <c r="K43" i="11" s="1"/>
  <c r="L308" i="1"/>
  <c r="K22" i="11" s="1"/>
  <c r="H367" i="1"/>
  <c r="G36" i="11" s="1"/>
  <c r="I362" i="1"/>
  <c r="I365" i="1" s="1"/>
  <c r="I358" i="1" s="1"/>
  <c r="J244" i="1"/>
  <c r="L243" i="1"/>
  <c r="L244" i="1" s="1"/>
  <c r="G222" i="10"/>
  <c r="H222" i="10"/>
  <c r="I222" i="10"/>
  <c r="J222" i="10"/>
  <c r="K222" i="10"/>
  <c r="L222" i="10"/>
  <c r="M222" i="10"/>
  <c r="F223" i="10"/>
  <c r="G223" i="10"/>
  <c r="H223" i="10"/>
  <c r="I223" i="10"/>
  <c r="J223" i="10"/>
  <c r="K223" i="10"/>
  <c r="L223" i="10"/>
  <c r="M223" i="10"/>
  <c r="F224" i="10"/>
  <c r="G224" i="10"/>
  <c r="H224" i="10"/>
  <c r="I224" i="10"/>
  <c r="J224" i="10"/>
  <c r="K224" i="10"/>
  <c r="L224" i="10"/>
  <c r="M224" i="10"/>
  <c r="F225" i="10"/>
  <c r="G225" i="10"/>
  <c r="H225" i="10"/>
  <c r="I225" i="10"/>
  <c r="J225" i="10"/>
  <c r="K225" i="10"/>
  <c r="L225" i="10"/>
  <c r="M225" i="10"/>
  <c r="F226" i="10"/>
  <c r="G226" i="10"/>
  <c r="H226" i="10"/>
  <c r="I226" i="10"/>
  <c r="J226" i="10"/>
  <c r="K226" i="10"/>
  <c r="L226" i="10"/>
  <c r="M226" i="10"/>
  <c r="E226" i="10"/>
  <c r="E223" i="10"/>
  <c r="E224" i="10"/>
  <c r="E225" i="10"/>
  <c r="E222" i="10"/>
  <c r="G216" i="10"/>
  <c r="R215" i="10"/>
  <c r="R216" i="10" s="1"/>
  <c r="Q215" i="10"/>
  <c r="P215" i="10"/>
  <c r="P216" i="10" s="1"/>
  <c r="H215" i="10"/>
  <c r="H216" i="10" s="1"/>
  <c r="G215" i="10"/>
  <c r="F215" i="10"/>
  <c r="R214" i="10"/>
  <c r="Q214" i="10"/>
  <c r="Q216" i="10" s="1"/>
  <c r="P214" i="10"/>
  <c r="O214" i="10"/>
  <c r="N214" i="10"/>
  <c r="M214" i="10"/>
  <c r="L214" i="10"/>
  <c r="K214" i="10"/>
  <c r="J214" i="10"/>
  <c r="I214" i="10"/>
  <c r="H214" i="10"/>
  <c r="G214" i="10"/>
  <c r="F214" i="10"/>
  <c r="F216" i="10" s="1"/>
  <c r="F213" i="10"/>
  <c r="F217" i="10" s="1"/>
  <c r="G213" i="10" s="1"/>
  <c r="G217" i="10" s="1"/>
  <c r="H213" i="10" s="1"/>
  <c r="H217" i="10" s="1"/>
  <c r="I213" i="10" s="1"/>
  <c r="AO207" i="10"/>
  <c r="AN207" i="10"/>
  <c r="AM207" i="10"/>
  <c r="AL207" i="10"/>
  <c r="AK207" i="10"/>
  <c r="AJ207" i="10"/>
  <c r="AI207" i="10"/>
  <c r="AH207" i="10"/>
  <c r="AG207" i="10"/>
  <c r="AF207" i="10"/>
  <c r="AE207" i="10"/>
  <c r="AD207" i="10"/>
  <c r="AC207" i="10"/>
  <c r="AB207" i="10"/>
  <c r="AA207" i="10"/>
  <c r="Z207" i="10"/>
  <c r="Y207" i="10"/>
  <c r="X207" i="10"/>
  <c r="W207" i="10"/>
  <c r="V207" i="10"/>
  <c r="U207" i="10"/>
  <c r="T207" i="10"/>
  <c r="S207" i="10"/>
  <c r="R207" i="10"/>
  <c r="Q207" i="10"/>
  <c r="P207" i="10"/>
  <c r="O207" i="10"/>
  <c r="N207" i="10"/>
  <c r="M207" i="10"/>
  <c r="L207" i="10"/>
  <c r="K207" i="10"/>
  <c r="J207" i="10"/>
  <c r="I207" i="10"/>
  <c r="H207" i="10"/>
  <c r="G207" i="10"/>
  <c r="F207" i="10"/>
  <c r="AF206" i="10"/>
  <c r="AF208" i="10" s="1"/>
  <c r="Z206" i="10"/>
  <c r="Z208" i="10" s="1"/>
  <c r="X206" i="10"/>
  <c r="X208" i="10" s="1"/>
  <c r="F206" i="10"/>
  <c r="F208" i="10" s="1"/>
  <c r="F205" i="10"/>
  <c r="G201" i="10" s="1"/>
  <c r="G205" i="10" s="1"/>
  <c r="H201" i="10" s="1"/>
  <c r="H205" i="10" s="1"/>
  <c r="I201" i="10" s="1"/>
  <c r="I205" i="10" s="1"/>
  <c r="J201" i="10" s="1"/>
  <c r="J205" i="10" s="1"/>
  <c r="K201" i="10" s="1"/>
  <c r="K205" i="10" s="1"/>
  <c r="L201" i="10" s="1"/>
  <c r="L205" i="10" s="1"/>
  <c r="M201" i="10" s="1"/>
  <c r="M205" i="10" s="1"/>
  <c r="N201" i="10" s="1"/>
  <c r="N205" i="10" s="1"/>
  <c r="O201" i="10" s="1"/>
  <c r="O205" i="10" s="1"/>
  <c r="P201" i="10" s="1"/>
  <c r="P205" i="10" s="1"/>
  <c r="Q201" i="10" s="1"/>
  <c r="Q205" i="10" s="1"/>
  <c r="R201" i="10" s="1"/>
  <c r="Q204" i="10"/>
  <c r="P204" i="10"/>
  <c r="O204" i="10"/>
  <c r="N204" i="10"/>
  <c r="M204" i="10"/>
  <c r="L204" i="10"/>
  <c r="K204" i="10"/>
  <c r="J204" i="10"/>
  <c r="I204" i="10"/>
  <c r="H204" i="10"/>
  <c r="G204" i="10"/>
  <c r="F204" i="10"/>
  <c r="AD203" i="10"/>
  <c r="AB203" i="10"/>
  <c r="V203" i="10"/>
  <c r="T203" i="10"/>
  <c r="B203" i="10"/>
  <c r="F201" i="10"/>
  <c r="Y200" i="10"/>
  <c r="Z200" i="10" s="1"/>
  <c r="AA200" i="10" s="1"/>
  <c r="AB200" i="10" s="1"/>
  <c r="AC200" i="10" s="1"/>
  <c r="AD200" i="10" s="1"/>
  <c r="AE200" i="10" s="1"/>
  <c r="AF200" i="10" s="1"/>
  <c r="AG200" i="10" s="1"/>
  <c r="AH200" i="10" s="1"/>
  <c r="AI200" i="10" s="1"/>
  <c r="AJ200" i="10" s="1"/>
  <c r="AK200" i="10" s="1"/>
  <c r="AL200" i="10" s="1"/>
  <c r="AM200" i="10" s="1"/>
  <c r="AN200" i="10" s="1"/>
  <c r="AO200" i="10" s="1"/>
  <c r="G200" i="10"/>
  <c r="H200" i="10" s="1"/>
  <c r="I200" i="10" s="1"/>
  <c r="J200" i="10" s="1"/>
  <c r="K200" i="10" s="1"/>
  <c r="L200" i="10" s="1"/>
  <c r="M200" i="10" s="1"/>
  <c r="N200" i="10" s="1"/>
  <c r="O200" i="10" s="1"/>
  <c r="P200" i="10" s="1"/>
  <c r="Q200" i="10" s="1"/>
  <c r="R200" i="10" s="1"/>
  <c r="S200" i="10" s="1"/>
  <c r="T200" i="10" s="1"/>
  <c r="U200" i="10" s="1"/>
  <c r="V200" i="10" s="1"/>
  <c r="W200" i="10" s="1"/>
  <c r="X200" i="10" s="1"/>
  <c r="AL181" i="10"/>
  <c r="AK181" i="10"/>
  <c r="AJ181" i="10"/>
  <c r="AI181" i="10"/>
  <c r="AH181" i="10"/>
  <c r="AG181" i="10"/>
  <c r="AF181" i="10"/>
  <c r="AE181" i="10"/>
  <c r="AD181" i="10"/>
  <c r="AC181" i="10"/>
  <c r="AB181" i="10"/>
  <c r="AA181" i="10"/>
  <c r="Z181" i="10"/>
  <c r="Y181" i="10"/>
  <c r="X181" i="10"/>
  <c r="W181" i="10"/>
  <c r="V181" i="10"/>
  <c r="U181" i="10"/>
  <c r="T181" i="10"/>
  <c r="S181" i="10"/>
  <c r="R181" i="10"/>
  <c r="Q181" i="10"/>
  <c r="P181" i="10"/>
  <c r="O181" i="10"/>
  <c r="N181" i="10"/>
  <c r="M181" i="10"/>
  <c r="L181" i="10"/>
  <c r="K181" i="10"/>
  <c r="J181" i="10"/>
  <c r="I181" i="10"/>
  <c r="H181" i="10"/>
  <c r="G181" i="10"/>
  <c r="F181" i="10"/>
  <c r="AL180" i="10"/>
  <c r="AL182" i="10" s="1"/>
  <c r="AJ180" i="10"/>
  <c r="AJ182" i="10" s="1"/>
  <c r="L180" i="10"/>
  <c r="L182" i="10" s="1"/>
  <c r="F180" i="10"/>
  <c r="F182" i="10" s="1"/>
  <c r="AI177" i="10"/>
  <c r="AG177" i="10"/>
  <c r="AE177" i="10"/>
  <c r="S177" i="10"/>
  <c r="R177" i="10"/>
  <c r="Q177" i="10"/>
  <c r="G177" i="10"/>
  <c r="B177" i="10"/>
  <c r="F176" i="10"/>
  <c r="F175" i="10"/>
  <c r="G174" i="10"/>
  <c r="H174" i="10" s="1"/>
  <c r="I174" i="10" s="1"/>
  <c r="J174" i="10" s="1"/>
  <c r="K174" i="10" s="1"/>
  <c r="L174" i="10" s="1"/>
  <c r="M174" i="10" s="1"/>
  <c r="N174" i="10" s="1"/>
  <c r="O174" i="10" s="1"/>
  <c r="P174" i="10" s="1"/>
  <c r="Q174" i="10" s="1"/>
  <c r="R174" i="10" s="1"/>
  <c r="S174" i="10" s="1"/>
  <c r="T174" i="10" s="1"/>
  <c r="U174" i="10" s="1"/>
  <c r="V174" i="10" s="1"/>
  <c r="W174" i="10" s="1"/>
  <c r="X174" i="10" s="1"/>
  <c r="Y174" i="10" s="1"/>
  <c r="Z174" i="10" s="1"/>
  <c r="AA174" i="10" s="1"/>
  <c r="AB174" i="10" s="1"/>
  <c r="AC174" i="10" s="1"/>
  <c r="AD174" i="10" s="1"/>
  <c r="AE174" i="10" s="1"/>
  <c r="AF174" i="10" s="1"/>
  <c r="AG174" i="10" s="1"/>
  <c r="AH174" i="10" s="1"/>
  <c r="AI174" i="10" s="1"/>
  <c r="AJ174" i="10" s="1"/>
  <c r="AK174" i="10" s="1"/>
  <c r="AL174" i="10" s="1"/>
  <c r="B174" i="10"/>
  <c r="I161" i="10"/>
  <c r="I165" i="10" s="1"/>
  <c r="J161" i="10" s="1"/>
  <c r="J165" i="10" s="1"/>
  <c r="K161" i="10" s="1"/>
  <c r="O155" i="10"/>
  <c r="O163" i="10" s="1"/>
  <c r="N155" i="10"/>
  <c r="N163" i="10" s="1"/>
  <c r="M155" i="10"/>
  <c r="L155" i="10"/>
  <c r="J155" i="10"/>
  <c r="H155" i="10"/>
  <c r="G155" i="10"/>
  <c r="J163" i="10" s="1"/>
  <c r="F155" i="10"/>
  <c r="I163" i="10" s="1"/>
  <c r="O154" i="10"/>
  <c r="N154" i="10"/>
  <c r="F154" i="10"/>
  <c r="F153" i="10"/>
  <c r="B153" i="10"/>
  <c r="K155" i="10" s="1"/>
  <c r="L163" i="10" s="1"/>
  <c r="F152" i="10"/>
  <c r="G151" i="10"/>
  <c r="H151" i="10" s="1"/>
  <c r="I151" i="10" s="1"/>
  <c r="J151" i="10" s="1"/>
  <c r="K151" i="10" s="1"/>
  <c r="L151" i="10" s="1"/>
  <c r="M151" i="10" s="1"/>
  <c r="N151" i="10" s="1"/>
  <c r="O151" i="10" s="1"/>
  <c r="F151" i="10"/>
  <c r="H148" i="10"/>
  <c r="H152" i="10" s="1"/>
  <c r="G148" i="10"/>
  <c r="G152" i="10" s="1"/>
  <c r="F148" i="10"/>
  <c r="O138" i="10"/>
  <c r="O139" i="10" s="1"/>
  <c r="O137" i="10"/>
  <c r="J136" i="10"/>
  <c r="R131" i="10"/>
  <c r="Q131" i="10"/>
  <c r="P131" i="10"/>
  <c r="J131" i="10"/>
  <c r="I131" i="10"/>
  <c r="H131" i="10"/>
  <c r="F129" i="10"/>
  <c r="B129" i="10"/>
  <c r="O131" i="10" s="1"/>
  <c r="G127" i="10"/>
  <c r="H127" i="10" s="1"/>
  <c r="I127" i="10" s="1"/>
  <c r="J127" i="10" s="1"/>
  <c r="K127" i="10" s="1"/>
  <c r="L127" i="10" s="1"/>
  <c r="M127" i="10" s="1"/>
  <c r="N127" i="10" s="1"/>
  <c r="O127" i="10" s="1"/>
  <c r="P127" i="10" s="1"/>
  <c r="Q127" i="10" s="1"/>
  <c r="R127" i="10" s="1"/>
  <c r="S127" i="10" s="1"/>
  <c r="T127" i="10" s="1"/>
  <c r="U127" i="10" s="1"/>
  <c r="V127" i="10" s="1"/>
  <c r="F127" i="10"/>
  <c r="V125" i="10"/>
  <c r="U125" i="10"/>
  <c r="T125" i="10"/>
  <c r="S125" i="10"/>
  <c r="R125" i="10"/>
  <c r="Q125" i="10"/>
  <c r="P125" i="10"/>
  <c r="O125" i="10"/>
  <c r="N125" i="10"/>
  <c r="M125" i="10"/>
  <c r="L125" i="10"/>
  <c r="K125" i="10"/>
  <c r="J125" i="10"/>
  <c r="I125" i="10"/>
  <c r="H125" i="10"/>
  <c r="G125" i="10"/>
  <c r="F125" i="10"/>
  <c r="F128" i="10" s="1"/>
  <c r="G124" i="10"/>
  <c r="G128" i="10" s="1"/>
  <c r="F124" i="10"/>
  <c r="Q107" i="10"/>
  <c r="P107" i="10"/>
  <c r="O107" i="10"/>
  <c r="N107" i="10"/>
  <c r="N114" i="10" s="1"/>
  <c r="I107" i="10"/>
  <c r="H107" i="10"/>
  <c r="G107" i="10"/>
  <c r="F107" i="10"/>
  <c r="S106" i="10"/>
  <c r="F105" i="10"/>
  <c r="B105" i="10"/>
  <c r="F104" i="10"/>
  <c r="G103" i="10"/>
  <c r="H103" i="10" s="1"/>
  <c r="I103" i="10" s="1"/>
  <c r="J103" i="10" s="1"/>
  <c r="K103" i="10" s="1"/>
  <c r="L103" i="10" s="1"/>
  <c r="M103" i="10" s="1"/>
  <c r="N103" i="10" s="1"/>
  <c r="O103" i="10" s="1"/>
  <c r="P103" i="10" s="1"/>
  <c r="Q103" i="10" s="1"/>
  <c r="R103" i="10" s="1"/>
  <c r="S103" i="10" s="1"/>
  <c r="F103" i="10"/>
  <c r="S101" i="10"/>
  <c r="R101" i="10"/>
  <c r="Q101" i="10"/>
  <c r="P101" i="10"/>
  <c r="O101" i="10"/>
  <c r="N101" i="10"/>
  <c r="M101" i="10"/>
  <c r="L101" i="10"/>
  <c r="K101" i="10"/>
  <c r="J101" i="10"/>
  <c r="I101" i="10"/>
  <c r="H101" i="10"/>
  <c r="G101" i="10"/>
  <c r="F101" i="10"/>
  <c r="G100" i="10"/>
  <c r="G104" i="10" s="1"/>
  <c r="F100" i="10"/>
  <c r="M91" i="10"/>
  <c r="M90" i="10"/>
  <c r="J82" i="10"/>
  <c r="H82" i="10"/>
  <c r="F80" i="10"/>
  <c r="B80" i="10"/>
  <c r="O82" i="10" s="1"/>
  <c r="L91" i="10" s="1"/>
  <c r="F78" i="10"/>
  <c r="G78" i="10" s="1"/>
  <c r="H78" i="10" s="1"/>
  <c r="I78" i="10" s="1"/>
  <c r="J78" i="10" s="1"/>
  <c r="K78" i="10" s="1"/>
  <c r="L78" i="10" s="1"/>
  <c r="M78" i="10" s="1"/>
  <c r="N78" i="10" s="1"/>
  <c r="O78" i="10" s="1"/>
  <c r="O76" i="10"/>
  <c r="N76" i="10"/>
  <c r="M76" i="10"/>
  <c r="L76" i="10"/>
  <c r="K76" i="10"/>
  <c r="J76" i="10"/>
  <c r="I76" i="10"/>
  <c r="F75" i="10"/>
  <c r="F79" i="10" s="1"/>
  <c r="K63" i="10"/>
  <c r="L63" i="10"/>
  <c r="G67" i="10"/>
  <c r="H67" i="10"/>
  <c r="K67" i="10"/>
  <c r="L67" i="10"/>
  <c r="M63" i="10" s="1"/>
  <c r="M67" i="10" s="1"/>
  <c r="N63" i="10" s="1"/>
  <c r="N67" i="10" s="1"/>
  <c r="O63" i="10" s="1"/>
  <c r="O67" i="10" s="1"/>
  <c r="P63" i="10" s="1"/>
  <c r="P67" i="10" s="1"/>
  <c r="F65" i="10"/>
  <c r="G65" i="10"/>
  <c r="H65" i="10"/>
  <c r="I65" i="10"/>
  <c r="J65" i="10"/>
  <c r="K65" i="10"/>
  <c r="L65" i="10"/>
  <c r="M65" i="10"/>
  <c r="N65" i="10"/>
  <c r="O65" i="10"/>
  <c r="P65" i="10"/>
  <c r="F66" i="10"/>
  <c r="G66" i="10"/>
  <c r="H66" i="10"/>
  <c r="I66" i="10"/>
  <c r="J66" i="10"/>
  <c r="K66" i="10"/>
  <c r="L66" i="10"/>
  <c r="M66" i="10"/>
  <c r="N66" i="10"/>
  <c r="O66" i="10"/>
  <c r="P66" i="10"/>
  <c r="P64" i="10"/>
  <c r="O64" i="10"/>
  <c r="N64" i="10"/>
  <c r="M64" i="10"/>
  <c r="L64" i="10"/>
  <c r="K64" i="10"/>
  <c r="J64" i="10"/>
  <c r="I64" i="10"/>
  <c r="H64" i="10"/>
  <c r="G64" i="10"/>
  <c r="F64" i="10"/>
  <c r="I51" i="10"/>
  <c r="J51" i="10" s="1"/>
  <c r="K51" i="10" s="1"/>
  <c r="L51" i="10" s="1"/>
  <c r="M51" i="10" s="1"/>
  <c r="N51" i="10" s="1"/>
  <c r="O51" i="10" s="1"/>
  <c r="P51" i="10" s="1"/>
  <c r="Q51" i="10" s="1"/>
  <c r="R51" i="10" s="1"/>
  <c r="S51" i="10" s="1"/>
  <c r="T51" i="10" s="1"/>
  <c r="U51" i="10" s="1"/>
  <c r="V51" i="10" s="1"/>
  <c r="W51" i="10" s="1"/>
  <c r="X51" i="10" s="1"/>
  <c r="Y51" i="10" s="1"/>
  <c r="Z51" i="10" s="1"/>
  <c r="AA51" i="10" s="1"/>
  <c r="AB51" i="10" s="1"/>
  <c r="AC51" i="10" s="1"/>
  <c r="AD51" i="10" s="1"/>
  <c r="AE51" i="10" s="1"/>
  <c r="AF51" i="10" s="1"/>
  <c r="AG51" i="10" s="1"/>
  <c r="AH51" i="10" s="1"/>
  <c r="AI51" i="10" s="1"/>
  <c r="AJ51" i="10" s="1"/>
  <c r="AK51" i="10" s="1"/>
  <c r="AL51" i="10" s="1"/>
  <c r="AM51" i="10" s="1"/>
  <c r="AN51" i="10" s="1"/>
  <c r="AO51" i="10" s="1"/>
  <c r="AP51" i="10" s="1"/>
  <c r="AQ51" i="10" s="1"/>
  <c r="AR51" i="10" s="1"/>
  <c r="AS51" i="10" s="1"/>
  <c r="AT51" i="10" s="1"/>
  <c r="AU51" i="10" s="1"/>
  <c r="F63" i="10"/>
  <c r="F67" i="10" s="1"/>
  <c r="G63" i="10" s="1"/>
  <c r="H63" i="10" s="1"/>
  <c r="AR55" i="10"/>
  <c r="H56" i="10"/>
  <c r="AT57" i="10"/>
  <c r="AU57" i="10"/>
  <c r="AU59" i="10" s="1"/>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I58" i="10"/>
  <c r="AJ58" i="10"/>
  <c r="AK58" i="10"/>
  <c r="AL58" i="10"/>
  <c r="AM58" i="10"/>
  <c r="AN58" i="10"/>
  <c r="AO58" i="10"/>
  <c r="AP58" i="10"/>
  <c r="AQ58" i="10"/>
  <c r="AR58" i="10"/>
  <c r="AS58" i="10"/>
  <c r="AT58" i="10"/>
  <c r="AU58" i="10"/>
  <c r="AT59" i="10"/>
  <c r="H60" i="10"/>
  <c r="I56" i="10" s="1"/>
  <c r="G60" i="10"/>
  <c r="G58" i="10"/>
  <c r="G56" i="10"/>
  <c r="H52" i="10"/>
  <c r="I52" i="10"/>
  <c r="J52" i="10"/>
  <c r="K52" i="10"/>
  <c r="L52" i="10"/>
  <c r="M52" i="10"/>
  <c r="N52" i="10"/>
  <c r="O52" i="10"/>
  <c r="P52" i="10"/>
  <c r="Q52" i="10"/>
  <c r="R52" i="10"/>
  <c r="S52" i="10"/>
  <c r="T52" i="10"/>
  <c r="U52" i="10"/>
  <c r="V52" i="10"/>
  <c r="W52" i="10"/>
  <c r="X52" i="10"/>
  <c r="Y52" i="10"/>
  <c r="Z52" i="10"/>
  <c r="AA52" i="10"/>
  <c r="AB52" i="10"/>
  <c r="AC52" i="10"/>
  <c r="AD52" i="10"/>
  <c r="AE52" i="10"/>
  <c r="AE55" i="10" s="1"/>
  <c r="AF52" i="10"/>
  <c r="AG52" i="10"/>
  <c r="AH52" i="10"/>
  <c r="AI52" i="10"/>
  <c r="AJ52" i="10"/>
  <c r="AK52" i="10"/>
  <c r="AL52" i="10"/>
  <c r="AM52" i="10"/>
  <c r="AN52" i="10"/>
  <c r="AN55" i="10" s="1"/>
  <c r="AO52" i="10"/>
  <c r="AP52" i="10"/>
  <c r="AQ52" i="10"/>
  <c r="AR52" i="10"/>
  <c r="AS52" i="10"/>
  <c r="AT52" i="10"/>
  <c r="AU52" i="10"/>
  <c r="H55" i="10"/>
  <c r="H57" i="10" s="1"/>
  <c r="H59" i="10" s="1"/>
  <c r="I55" i="10"/>
  <c r="J55" i="10"/>
  <c r="K55" i="10"/>
  <c r="L55" i="10"/>
  <c r="M55" i="10"/>
  <c r="N55" i="10"/>
  <c r="O55" i="10"/>
  <c r="P55" i="10"/>
  <c r="Q55" i="10"/>
  <c r="R55" i="10"/>
  <c r="S55" i="10"/>
  <c r="T55" i="10"/>
  <c r="U55" i="10"/>
  <c r="V55" i="10"/>
  <c r="W55" i="10"/>
  <c r="X55" i="10"/>
  <c r="Y55" i="10"/>
  <c r="Z55" i="10"/>
  <c r="AA55" i="10"/>
  <c r="AB55" i="10"/>
  <c r="AC55" i="10"/>
  <c r="AD55" i="10"/>
  <c r="AF55" i="10"/>
  <c r="AG55" i="10"/>
  <c r="AH55" i="10"/>
  <c r="AI55" i="10"/>
  <c r="AJ55" i="10"/>
  <c r="AK55" i="10"/>
  <c r="AL55" i="10"/>
  <c r="AM55" i="10"/>
  <c r="AO55" i="10"/>
  <c r="AP55" i="10"/>
  <c r="AQ55" i="10"/>
  <c r="AS55" i="10"/>
  <c r="AT55" i="10"/>
  <c r="AU55" i="10"/>
  <c r="G52" i="10"/>
  <c r="G55" i="10" s="1"/>
  <c r="G57" i="10" s="1"/>
  <c r="F60" i="10"/>
  <c r="F58" i="10"/>
  <c r="F56" i="10"/>
  <c r="F55" i="10"/>
  <c r="F57" i="10" s="1"/>
  <c r="F59" i="10" s="1"/>
  <c r="F52" i="10"/>
  <c r="H51" i="10"/>
  <c r="G51" i="10"/>
  <c r="B55" i="10"/>
  <c r="N44" i="10"/>
  <c r="N43" i="10"/>
  <c r="N42" i="10"/>
  <c r="L42" i="10"/>
  <c r="O35" i="10"/>
  <c r="M42" i="10" s="1"/>
  <c r="N35" i="10"/>
  <c r="M35" i="10"/>
  <c r="L35" i="10"/>
  <c r="F34" i="10"/>
  <c r="F41" i="10" s="1"/>
  <c r="B34" i="10"/>
  <c r="H36" i="10" s="1"/>
  <c r="F32" i="10"/>
  <c r="G32" i="10" s="1"/>
  <c r="H32" i="10" s="1"/>
  <c r="I32" i="10" s="1"/>
  <c r="J32" i="10" s="1"/>
  <c r="K32" i="10" s="1"/>
  <c r="L32" i="10" s="1"/>
  <c r="M32" i="10" s="1"/>
  <c r="N32" i="10" s="1"/>
  <c r="O32" i="10" s="1"/>
  <c r="F29" i="10"/>
  <c r="F33" i="10" s="1"/>
  <c r="J21" i="10"/>
  <c r="J22" i="10"/>
  <c r="J20" i="10"/>
  <c r="I21" i="10"/>
  <c r="I22" i="10"/>
  <c r="I20" i="10"/>
  <c r="H21" i="10"/>
  <c r="H23" i="10" s="1"/>
  <c r="I19" i="10" s="1"/>
  <c r="H22" i="10"/>
  <c r="H20" i="10"/>
  <c r="H19" i="10"/>
  <c r="G23" i="10"/>
  <c r="G22" i="10"/>
  <c r="G21" i="10"/>
  <c r="G20" i="10"/>
  <c r="G19" i="10"/>
  <c r="F23" i="10"/>
  <c r="F22" i="10"/>
  <c r="F21" i="10"/>
  <c r="F20" i="10"/>
  <c r="F19" i="10"/>
  <c r="N7" i="10"/>
  <c r="O7" i="10" s="1"/>
  <c r="G8" i="10"/>
  <c r="H8" i="10"/>
  <c r="H11" i="10" s="1"/>
  <c r="H13" i="10" s="1"/>
  <c r="H15" i="10" s="1"/>
  <c r="I8" i="10"/>
  <c r="I11" i="10" s="1"/>
  <c r="J8" i="10"/>
  <c r="K8" i="10"/>
  <c r="K11" i="10" s="1"/>
  <c r="L8" i="10"/>
  <c r="M8" i="10"/>
  <c r="N8" i="10"/>
  <c r="O8" i="10"/>
  <c r="F8" i="10"/>
  <c r="F11" i="10" s="1"/>
  <c r="F13" i="10" s="1"/>
  <c r="F15" i="10" s="1"/>
  <c r="G11" i="10"/>
  <c r="G13" i="10" s="1"/>
  <c r="G15" i="10" s="1"/>
  <c r="J11" i="10"/>
  <c r="L11" i="10"/>
  <c r="M11" i="10"/>
  <c r="N11" i="10"/>
  <c r="O11" i="10"/>
  <c r="H12" i="10"/>
  <c r="L13" i="10"/>
  <c r="M13" i="10"/>
  <c r="M15" i="10" s="1"/>
  <c r="N13" i="10"/>
  <c r="N15" i="10" s="1"/>
  <c r="O13" i="10"/>
  <c r="O15" i="10" s="1"/>
  <c r="G14" i="10"/>
  <c r="H14" i="10"/>
  <c r="I14" i="10"/>
  <c r="J14" i="10"/>
  <c r="K14" i="10"/>
  <c r="L14" i="10"/>
  <c r="M14" i="10"/>
  <c r="N14" i="10"/>
  <c r="O14" i="10"/>
  <c r="G16" i="10"/>
  <c r="H16" i="10"/>
  <c r="I12" i="10" s="1"/>
  <c r="G7" i="10"/>
  <c r="H7" i="10" s="1"/>
  <c r="I7" i="10" s="1"/>
  <c r="J7" i="10" s="1"/>
  <c r="K7" i="10" s="1"/>
  <c r="L7" i="10" s="1"/>
  <c r="M7" i="10" s="1"/>
  <c r="G12" i="10"/>
  <c r="F16" i="10"/>
  <c r="F14" i="10"/>
  <c r="F12" i="10"/>
  <c r="F7" i="10"/>
  <c r="B6" i="10"/>
  <c r="J362" i="1" l="1"/>
  <c r="J365" i="1" s="1"/>
  <c r="J358" i="1" s="1"/>
  <c r="I367" i="1"/>
  <c r="H36" i="11" s="1"/>
  <c r="S108" i="10"/>
  <c r="R205" i="10"/>
  <c r="S201" i="10" s="1"/>
  <c r="S205" i="10" s="1"/>
  <c r="T201" i="10" s="1"/>
  <c r="T205" i="10" s="1"/>
  <c r="U201" i="10" s="1"/>
  <c r="F188" i="10"/>
  <c r="I82" i="10"/>
  <c r="H91" i="10" s="1"/>
  <c r="H100" i="10"/>
  <c r="I148" i="10"/>
  <c r="I162" i="10"/>
  <c r="I164" i="10" s="1"/>
  <c r="F156" i="10"/>
  <c r="F109" i="10"/>
  <c r="G105" i="10" s="1"/>
  <c r="L112" i="10"/>
  <c r="L116" i="10" s="1"/>
  <c r="M112" i="10" s="1"/>
  <c r="K82" i="10"/>
  <c r="I91" i="10" s="1"/>
  <c r="F106" i="10"/>
  <c r="L114" i="10"/>
  <c r="F81" i="10"/>
  <c r="N81" i="10"/>
  <c r="L82" i="10"/>
  <c r="J91" i="10" s="1"/>
  <c r="G89" i="10"/>
  <c r="N162" i="10"/>
  <c r="N164" i="10" s="1"/>
  <c r="N156" i="10"/>
  <c r="M163" i="10"/>
  <c r="M189" i="10"/>
  <c r="G75" i="10"/>
  <c r="O81" i="10"/>
  <c r="M82" i="10"/>
  <c r="H124" i="10"/>
  <c r="F157" i="10"/>
  <c r="G153" i="10" s="1"/>
  <c r="O162" i="10"/>
  <c r="O164" i="10" s="1"/>
  <c r="O156" i="10"/>
  <c r="F82" i="10"/>
  <c r="G91" i="10" s="1"/>
  <c r="N82" i="10"/>
  <c r="K91" i="10" s="1"/>
  <c r="N189" i="10"/>
  <c r="I216" i="10"/>
  <c r="G82" i="10"/>
  <c r="M92" i="10"/>
  <c r="L107" i="10"/>
  <c r="R106" i="10"/>
  <c r="S107" i="10"/>
  <c r="K107" i="10"/>
  <c r="R107" i="10"/>
  <c r="J107" i="10"/>
  <c r="M107" i="10"/>
  <c r="AL177" i="10"/>
  <c r="AD177" i="10"/>
  <c r="V177" i="10"/>
  <c r="N177" i="10"/>
  <c r="F177" i="10"/>
  <c r="F189" i="10" s="1"/>
  <c r="R189" i="10"/>
  <c r="AJ177" i="10"/>
  <c r="AB177" i="10"/>
  <c r="T177" i="10"/>
  <c r="J189" i="10" s="1"/>
  <c r="L177" i="10"/>
  <c r="AH177" i="10"/>
  <c r="Z177" i="10"/>
  <c r="AF177" i="10"/>
  <c r="X177" i="10"/>
  <c r="P177" i="10"/>
  <c r="H177" i="10"/>
  <c r="G189" i="10" s="1"/>
  <c r="AC177" i="10"/>
  <c r="O177" i="10"/>
  <c r="I189" i="10" s="1"/>
  <c r="P189" i="10"/>
  <c r="AA177" i="10"/>
  <c r="M177" i="10"/>
  <c r="Y177" i="10"/>
  <c r="K177" i="10"/>
  <c r="AL176" i="10"/>
  <c r="AL178" i="10" s="1"/>
  <c r="W177" i="10"/>
  <c r="J177" i="10"/>
  <c r="AK177" i="10"/>
  <c r="U177" i="10"/>
  <c r="I177" i="10"/>
  <c r="K131" i="10"/>
  <c r="S131" i="10"/>
  <c r="M138" i="10" s="1"/>
  <c r="AM206" i="10"/>
  <c r="AM208" i="10" s="1"/>
  <c r="AE206" i="10"/>
  <c r="AE208" i="10" s="1"/>
  <c r="W206" i="10"/>
  <c r="W208" i="10" s="1"/>
  <c r="O206" i="10"/>
  <c r="O208" i="10" s="1"/>
  <c r="G206" i="10"/>
  <c r="G208" i="10" s="1"/>
  <c r="AI180" i="10"/>
  <c r="AI182" i="10" s="1"/>
  <c r="AA180" i="10"/>
  <c r="AA182" i="10" s="1"/>
  <c r="S180" i="10"/>
  <c r="S182" i="10" s="1"/>
  <c r="K180" i="10"/>
  <c r="K182" i="10" s="1"/>
  <c r="AL206" i="10"/>
  <c r="AL208" i="10" s="1"/>
  <c r="AD206" i="10"/>
  <c r="AD208" i="10" s="1"/>
  <c r="V206" i="10"/>
  <c r="V208" i="10" s="1"/>
  <c r="N206" i="10"/>
  <c r="N208" i="10" s="1"/>
  <c r="AH180" i="10"/>
  <c r="AH182" i="10" s="1"/>
  <c r="Z180" i="10"/>
  <c r="Z182" i="10" s="1"/>
  <c r="R180" i="10"/>
  <c r="R182" i="10" s="1"/>
  <c r="J180" i="10"/>
  <c r="J182" i="10" s="1"/>
  <c r="AK206" i="10"/>
  <c r="AK208" i="10" s="1"/>
  <c r="AC206" i="10"/>
  <c r="AC208" i="10" s="1"/>
  <c r="U206" i="10"/>
  <c r="U208" i="10" s="1"/>
  <c r="M206" i="10"/>
  <c r="M208" i="10" s="1"/>
  <c r="AG180" i="10"/>
  <c r="AG182" i="10" s="1"/>
  <c r="Y180" i="10"/>
  <c r="Y182" i="10" s="1"/>
  <c r="Q180" i="10"/>
  <c r="Q182" i="10" s="1"/>
  <c r="I180" i="10"/>
  <c r="I182" i="10" s="1"/>
  <c r="AJ206" i="10"/>
  <c r="AJ208" i="10" s="1"/>
  <c r="AB206" i="10"/>
  <c r="AB208" i="10" s="1"/>
  <c r="T206" i="10"/>
  <c r="T208" i="10" s="1"/>
  <c r="L206" i="10"/>
  <c r="L208" i="10" s="1"/>
  <c r="AF180" i="10"/>
  <c r="AF182" i="10" s="1"/>
  <c r="X180" i="10"/>
  <c r="X182" i="10" s="1"/>
  <c r="P180" i="10"/>
  <c r="P182" i="10" s="1"/>
  <c r="H180" i="10"/>
  <c r="H182" i="10" s="1"/>
  <c r="AI206" i="10"/>
  <c r="AI208" i="10" s="1"/>
  <c r="AA206" i="10"/>
  <c r="AA208" i="10" s="1"/>
  <c r="S206" i="10"/>
  <c r="S208" i="10" s="1"/>
  <c r="K206" i="10"/>
  <c r="K208" i="10" s="1"/>
  <c r="AE180" i="10"/>
  <c r="AE182" i="10" s="1"/>
  <c r="W180" i="10"/>
  <c r="W182" i="10" s="1"/>
  <c r="O180" i="10"/>
  <c r="O182" i="10" s="1"/>
  <c r="G180" i="10"/>
  <c r="G182" i="10" s="1"/>
  <c r="AO206" i="10"/>
  <c r="AO208" i="10" s="1"/>
  <c r="AG206" i="10"/>
  <c r="AG208" i="10" s="1"/>
  <c r="Y206" i="10"/>
  <c r="Y208" i="10" s="1"/>
  <c r="Q206" i="10"/>
  <c r="Q208" i="10" s="1"/>
  <c r="I206" i="10"/>
  <c r="I208" i="10" s="1"/>
  <c r="AK180" i="10"/>
  <c r="AK182" i="10" s="1"/>
  <c r="AC180" i="10"/>
  <c r="AC182" i="10" s="1"/>
  <c r="U180" i="10"/>
  <c r="U182" i="10" s="1"/>
  <c r="M180" i="10"/>
  <c r="M182" i="10" s="1"/>
  <c r="N180" i="10"/>
  <c r="N182" i="10" s="1"/>
  <c r="AI203" i="10"/>
  <c r="AA203" i="10"/>
  <c r="L215" i="10" s="1"/>
  <c r="L216" i="10" s="1"/>
  <c r="S203" i="10"/>
  <c r="AH203" i="10"/>
  <c r="Z203" i="10"/>
  <c r="R203" i="10"/>
  <c r="I215" i="10" s="1"/>
  <c r="I217" i="10" s="1"/>
  <c r="J213" i="10" s="1"/>
  <c r="AO203" i="10"/>
  <c r="AG203" i="10"/>
  <c r="Y203" i="10"/>
  <c r="AN203" i="10"/>
  <c r="AF203" i="10"/>
  <c r="X203" i="10"/>
  <c r="AM203" i="10"/>
  <c r="AE203" i="10"/>
  <c r="W203" i="10"/>
  <c r="K215" i="10" s="1"/>
  <c r="K216" i="10" s="1"/>
  <c r="AK203" i="10"/>
  <c r="AC203" i="10"/>
  <c r="U203" i="10"/>
  <c r="AH206" i="10"/>
  <c r="AH208" i="10" s="1"/>
  <c r="L131" i="10"/>
  <c r="T131" i="10"/>
  <c r="F187" i="10"/>
  <c r="F179" i="10"/>
  <c r="G175" i="10" s="1"/>
  <c r="T180" i="10"/>
  <c r="T182" i="10" s="1"/>
  <c r="AJ203" i="10"/>
  <c r="H206" i="10"/>
  <c r="H208" i="10" s="1"/>
  <c r="AN206" i="10"/>
  <c r="AN208" i="10" s="1"/>
  <c r="F130" i="10"/>
  <c r="V130" i="10"/>
  <c r="M131" i="10"/>
  <c r="K138" i="10" s="1"/>
  <c r="U131" i="10"/>
  <c r="I155" i="10"/>
  <c r="K163" i="10" s="1"/>
  <c r="K165" i="10" s="1"/>
  <c r="L161" i="10" s="1"/>
  <c r="L165" i="10" s="1"/>
  <c r="M161" i="10" s="1"/>
  <c r="M165" i="10" s="1"/>
  <c r="N161" i="10" s="1"/>
  <c r="N165" i="10" s="1"/>
  <c r="O161" i="10" s="1"/>
  <c r="O165" i="10" s="1"/>
  <c r="V180" i="10"/>
  <c r="V182" i="10" s="1"/>
  <c r="AL203" i="10"/>
  <c r="J206" i="10"/>
  <c r="J208" i="10" s="1"/>
  <c r="F131" i="10"/>
  <c r="N131" i="10"/>
  <c r="L138" i="10" s="1"/>
  <c r="V131" i="10"/>
  <c r="N138" i="10" s="1"/>
  <c r="AB180" i="10"/>
  <c r="AB182" i="10" s="1"/>
  <c r="P206" i="10"/>
  <c r="P208" i="10" s="1"/>
  <c r="G131" i="10"/>
  <c r="M154" i="10"/>
  <c r="AD180" i="10"/>
  <c r="AD182" i="10" s="1"/>
  <c r="R206" i="10"/>
  <c r="R208" i="10" s="1"/>
  <c r="I63" i="10"/>
  <c r="G59" i="10"/>
  <c r="I57" i="10"/>
  <c r="I59" i="10" s="1"/>
  <c r="I60" i="10"/>
  <c r="J56" i="10" s="1"/>
  <c r="F45" i="10"/>
  <c r="G41" i="10" s="1"/>
  <c r="G45" i="10" s="1"/>
  <c r="H41" i="10" s="1"/>
  <c r="I36" i="10"/>
  <c r="H43" i="10" s="1"/>
  <c r="J42" i="10"/>
  <c r="J36" i="10"/>
  <c r="F38" i="10"/>
  <c r="G34" i="10" s="1"/>
  <c r="K42" i="10"/>
  <c r="G29" i="10"/>
  <c r="F35" i="10"/>
  <c r="L36" i="10"/>
  <c r="M36" i="10"/>
  <c r="K43" i="10" s="1"/>
  <c r="F36" i="10"/>
  <c r="F43" i="10" s="1"/>
  <c r="N36" i="10"/>
  <c r="K36" i="10"/>
  <c r="I43" i="10" s="1"/>
  <c r="G36" i="10"/>
  <c r="G43" i="10" s="1"/>
  <c r="O36" i="10"/>
  <c r="I23" i="10"/>
  <c r="J19" i="10" s="1"/>
  <c r="J23" i="10" s="1"/>
  <c r="L15" i="10"/>
  <c r="I13" i="10"/>
  <c r="I15" i="10" s="1"/>
  <c r="I16" i="10"/>
  <c r="J12" i="10" s="1"/>
  <c r="J13" i="10" s="1"/>
  <c r="J15" i="10" s="1"/>
  <c r="K362" i="1" l="1"/>
  <c r="K365" i="1" s="1"/>
  <c r="K358" i="1" s="1"/>
  <c r="J367" i="1"/>
  <c r="I36" i="11" s="1"/>
  <c r="H75" i="10"/>
  <c r="G79" i="10"/>
  <c r="G93" i="10"/>
  <c r="U205" i="10"/>
  <c r="V201" i="10" s="1"/>
  <c r="V205" i="10" s="1"/>
  <c r="W201" i="10" s="1"/>
  <c r="W205" i="10" s="1"/>
  <c r="X201" i="10" s="1"/>
  <c r="X205" i="10" s="1"/>
  <c r="Y201" i="10" s="1"/>
  <c r="Y205" i="10" s="1"/>
  <c r="Z201" i="10" s="1"/>
  <c r="Z205" i="10" s="1"/>
  <c r="AA201" i="10" s="1"/>
  <c r="AA205" i="10" s="1"/>
  <c r="AB201" i="10" s="1"/>
  <c r="AB205" i="10" s="1"/>
  <c r="AC201" i="10" s="1"/>
  <c r="AC205" i="10" s="1"/>
  <c r="AD201" i="10" s="1"/>
  <c r="AD205" i="10" s="1"/>
  <c r="AE201" i="10" s="1"/>
  <c r="AE205" i="10" s="1"/>
  <c r="AF201" i="10" s="1"/>
  <c r="AF205" i="10" s="1"/>
  <c r="AG201" i="10" s="1"/>
  <c r="AG205" i="10" s="1"/>
  <c r="AH201" i="10" s="1"/>
  <c r="AH205" i="10" s="1"/>
  <c r="AI201" i="10" s="1"/>
  <c r="AI205" i="10" s="1"/>
  <c r="AJ201" i="10" s="1"/>
  <c r="AJ205" i="10" s="1"/>
  <c r="AK201" i="10" s="1"/>
  <c r="AK205" i="10" s="1"/>
  <c r="AL201" i="10" s="1"/>
  <c r="AL205" i="10" s="1"/>
  <c r="AM201" i="10" s="1"/>
  <c r="AM205" i="10" s="1"/>
  <c r="AN201" i="10" s="1"/>
  <c r="AN205" i="10" s="1"/>
  <c r="AO201" i="10" s="1"/>
  <c r="AO205" i="10" s="1"/>
  <c r="V132" i="10"/>
  <c r="N137" i="10"/>
  <c r="N139" i="10" s="1"/>
  <c r="G179" i="10"/>
  <c r="H175" i="10" s="1"/>
  <c r="G176" i="10"/>
  <c r="N215" i="10"/>
  <c r="N216" i="10" s="1"/>
  <c r="I100" i="10"/>
  <c r="H104" i="10"/>
  <c r="M116" i="10"/>
  <c r="N112" i="10" s="1"/>
  <c r="N116" i="10" s="1"/>
  <c r="O112" i="10" s="1"/>
  <c r="R108" i="10"/>
  <c r="O113" i="10"/>
  <c r="P188" i="10"/>
  <c r="P190" i="10" s="1"/>
  <c r="F83" i="10"/>
  <c r="M215" i="10"/>
  <c r="M216" i="10" s="1"/>
  <c r="Q188" i="10"/>
  <c r="R188" i="10"/>
  <c r="R190" i="10" s="1"/>
  <c r="M114" i="10"/>
  <c r="H128" i="10"/>
  <c r="I124" i="10"/>
  <c r="G157" i="10"/>
  <c r="H153" i="10" s="1"/>
  <c r="G154" i="10"/>
  <c r="M162" i="10"/>
  <c r="M164" i="10" s="1"/>
  <c r="M156" i="10"/>
  <c r="J138" i="10"/>
  <c r="J140" i="10" s="1"/>
  <c r="K136" i="10" s="1"/>
  <c r="K140" i="10" s="1"/>
  <c r="L136" i="10" s="1"/>
  <c r="L140" i="10" s="1"/>
  <c r="M136" i="10" s="1"/>
  <c r="M140" i="10" s="1"/>
  <c r="N136" i="10" s="1"/>
  <c r="N140" i="10" s="1"/>
  <c r="O136" i="10" s="1"/>
  <c r="O140" i="10" s="1"/>
  <c r="F133" i="10"/>
  <c r="G129" i="10" s="1"/>
  <c r="O215" i="10"/>
  <c r="O216" i="10" s="1"/>
  <c r="H189" i="10"/>
  <c r="O114" i="10"/>
  <c r="F178" i="10"/>
  <c r="F191" i="10"/>
  <c r="O188" i="10"/>
  <c r="G109" i="10"/>
  <c r="H105" i="10" s="1"/>
  <c r="G106" i="10"/>
  <c r="G108" i="10" s="1"/>
  <c r="Q189" i="10"/>
  <c r="K189" i="10"/>
  <c r="L189" i="10"/>
  <c r="O83" i="10"/>
  <c r="L90" i="10"/>
  <c r="F190" i="10"/>
  <c r="F84" i="10"/>
  <c r="G80" i="10" s="1"/>
  <c r="K90" i="10"/>
  <c r="N83" i="10"/>
  <c r="F132" i="10"/>
  <c r="J215" i="10"/>
  <c r="J216" i="10" s="1"/>
  <c r="O189" i="10"/>
  <c r="F108" i="10"/>
  <c r="I152" i="10"/>
  <c r="J148" i="10"/>
  <c r="I67" i="10"/>
  <c r="J63" i="10" s="1"/>
  <c r="J67" i="10" s="1"/>
  <c r="J57" i="10"/>
  <c r="J59" i="10" s="1"/>
  <c r="J60" i="10"/>
  <c r="K56" i="10" s="1"/>
  <c r="G38" i="10"/>
  <c r="H34" i="10" s="1"/>
  <c r="M37" i="10"/>
  <c r="N37" i="10"/>
  <c r="L43" i="10"/>
  <c r="L44" i="10" s="1"/>
  <c r="J44" i="10"/>
  <c r="F37" i="10"/>
  <c r="F42" i="10"/>
  <c r="F44" i="10" s="1"/>
  <c r="J43" i="10"/>
  <c r="M43" i="10"/>
  <c r="M44" i="10" s="1"/>
  <c r="O37" i="10"/>
  <c r="G33" i="10"/>
  <c r="G35" i="10" s="1"/>
  <c r="H29" i="10"/>
  <c r="L37" i="10"/>
  <c r="H45" i="10"/>
  <c r="I41" i="10" s="1"/>
  <c r="I45" i="10" s="1"/>
  <c r="J41" i="10" s="1"/>
  <c r="J45" i="10" s="1"/>
  <c r="K41" i="10" s="1"/>
  <c r="K45" i="10" s="1"/>
  <c r="L41" i="10" s="1"/>
  <c r="L45" i="10" s="1"/>
  <c r="M41" i="10" s="1"/>
  <c r="M45" i="10" s="1"/>
  <c r="N41" i="10" s="1"/>
  <c r="N45" i="10" s="1"/>
  <c r="K44" i="10"/>
  <c r="J16" i="10"/>
  <c r="K12" i="10" s="1"/>
  <c r="G253" i="1"/>
  <c r="F17" i="11" s="1"/>
  <c r="H252" i="1"/>
  <c r="I252" i="1" s="1"/>
  <c r="K367" i="1" l="1"/>
  <c r="J36" i="11" s="1"/>
  <c r="L362" i="1"/>
  <c r="L365" i="1" s="1"/>
  <c r="O190" i="10"/>
  <c r="Q190" i="10"/>
  <c r="I128" i="10"/>
  <c r="J124" i="10"/>
  <c r="I104" i="10"/>
  <c r="J100" i="10"/>
  <c r="H89" i="10"/>
  <c r="L92" i="10"/>
  <c r="G133" i="10"/>
  <c r="H129" i="10" s="1"/>
  <c r="G130" i="10"/>
  <c r="J152" i="10"/>
  <c r="K148" i="10"/>
  <c r="G178" i="10"/>
  <c r="I75" i="10"/>
  <c r="H79" i="10"/>
  <c r="G187" i="10"/>
  <c r="O115" i="10"/>
  <c r="H179" i="10"/>
  <c r="I175" i="10" s="1"/>
  <c r="H176" i="10"/>
  <c r="H178" i="10" s="1"/>
  <c r="H109" i="10"/>
  <c r="I105" i="10" s="1"/>
  <c r="H106" i="10"/>
  <c r="H108" i="10" s="1"/>
  <c r="K92" i="10"/>
  <c r="G156" i="10"/>
  <c r="J217" i="10"/>
  <c r="K213" i="10" s="1"/>
  <c r="K217" i="10" s="1"/>
  <c r="L213" i="10" s="1"/>
  <c r="L217" i="10" s="1"/>
  <c r="M213" i="10" s="1"/>
  <c r="M217" i="10" s="1"/>
  <c r="N213" i="10" s="1"/>
  <c r="N217" i="10" s="1"/>
  <c r="O213" i="10" s="1"/>
  <c r="O217" i="10" s="1"/>
  <c r="P213" i="10" s="1"/>
  <c r="P217" i="10" s="1"/>
  <c r="Q213" i="10" s="1"/>
  <c r="Q217" i="10" s="1"/>
  <c r="R213" i="10" s="1"/>
  <c r="R217" i="10" s="1"/>
  <c r="G84" i="10"/>
  <c r="H80" i="10" s="1"/>
  <c r="G81" i="10"/>
  <c r="H154" i="10"/>
  <c r="H156" i="10" s="1"/>
  <c r="H157" i="10"/>
  <c r="I153" i="10" s="1"/>
  <c r="O116" i="10"/>
  <c r="K57" i="10"/>
  <c r="K59" i="10" s="1"/>
  <c r="K60" i="10"/>
  <c r="L56" i="10" s="1"/>
  <c r="G42" i="10"/>
  <c r="G44" i="10" s="1"/>
  <c r="G37" i="10"/>
  <c r="I29" i="10"/>
  <c r="H33" i="10"/>
  <c r="H35" i="10"/>
  <c r="H37" i="10" s="1"/>
  <c r="H38" i="10"/>
  <c r="I34" i="10" s="1"/>
  <c r="K13" i="10"/>
  <c r="K15" i="10" s="1"/>
  <c r="K16" i="10"/>
  <c r="L12" i="10" s="1"/>
  <c r="L16" i="10" s="1"/>
  <c r="M12" i="10" s="1"/>
  <c r="M16" i="10" s="1"/>
  <c r="N12" i="10" s="1"/>
  <c r="N16" i="10" s="1"/>
  <c r="O12" i="10" s="1"/>
  <c r="O16" i="10" s="1"/>
  <c r="I245" i="1"/>
  <c r="H13" i="11" s="1"/>
  <c r="H245" i="1"/>
  <c r="G13" i="11" s="1"/>
  <c r="J252" i="1"/>
  <c r="K252" i="1" s="1"/>
  <c r="L252" i="1" s="1"/>
  <c r="L367" i="1" l="1"/>
  <c r="K36" i="11" s="1"/>
  <c r="L358" i="1"/>
  <c r="I109" i="10"/>
  <c r="J105" i="10" s="1"/>
  <c r="I106" i="10"/>
  <c r="J162" i="10"/>
  <c r="J164" i="10" s="1"/>
  <c r="I179" i="10"/>
  <c r="J175" i="10" s="1"/>
  <c r="I176" i="10"/>
  <c r="I178" i="10" s="1"/>
  <c r="L148" i="10"/>
  <c r="K152" i="10"/>
  <c r="J104" i="10"/>
  <c r="K100" i="10"/>
  <c r="G83" i="10"/>
  <c r="G90" i="10"/>
  <c r="H84" i="10"/>
  <c r="I80" i="10" s="1"/>
  <c r="H81" i="10"/>
  <c r="H93" i="10"/>
  <c r="G132" i="10"/>
  <c r="J128" i="10"/>
  <c r="K124" i="10"/>
  <c r="J75" i="10"/>
  <c r="I79" i="10"/>
  <c r="I154" i="10"/>
  <c r="I157" i="10"/>
  <c r="J153" i="10" s="1"/>
  <c r="G191" i="10"/>
  <c r="H133" i="10"/>
  <c r="I129" i="10" s="1"/>
  <c r="H130" i="10"/>
  <c r="H132" i="10" s="1"/>
  <c r="L57" i="10"/>
  <c r="L59" i="10" s="1"/>
  <c r="L60" i="10"/>
  <c r="M56" i="10" s="1"/>
  <c r="I35" i="10"/>
  <c r="I38" i="10"/>
  <c r="J34" i="10" s="1"/>
  <c r="J29" i="10"/>
  <c r="I33" i="10"/>
  <c r="J245" i="1"/>
  <c r="I13" i="11" s="1"/>
  <c r="K245" i="1"/>
  <c r="J13" i="11" s="1"/>
  <c r="J79" i="10" l="1"/>
  <c r="K75" i="10"/>
  <c r="I89" i="10"/>
  <c r="I84" i="10"/>
  <c r="J80" i="10" s="1"/>
  <c r="I81" i="10"/>
  <c r="I83" i="10" s="1"/>
  <c r="J179" i="10"/>
  <c r="K175" i="10" s="1"/>
  <c r="J176" i="10"/>
  <c r="I133" i="10"/>
  <c r="J129" i="10" s="1"/>
  <c r="I130" i="10"/>
  <c r="I132" i="10" s="1"/>
  <c r="H83" i="10"/>
  <c r="H187" i="10"/>
  <c r="M148" i="10"/>
  <c r="L152" i="10"/>
  <c r="K128" i="10"/>
  <c r="L124" i="10"/>
  <c r="J137" i="10"/>
  <c r="J139" i="10" s="1"/>
  <c r="G92" i="10"/>
  <c r="J154" i="10"/>
  <c r="J156" i="10" s="1"/>
  <c r="J157" i="10"/>
  <c r="K153" i="10" s="1"/>
  <c r="I108" i="10"/>
  <c r="L113" i="10"/>
  <c r="I156" i="10"/>
  <c r="K104" i="10"/>
  <c r="L100" i="10"/>
  <c r="J109" i="10"/>
  <c r="K105" i="10" s="1"/>
  <c r="J106" i="10"/>
  <c r="M57" i="10"/>
  <c r="M59" i="10" s="1"/>
  <c r="M60" i="10"/>
  <c r="N56" i="10" s="1"/>
  <c r="J35" i="10"/>
  <c r="J37" i="10" s="1"/>
  <c r="J38" i="10"/>
  <c r="K34" i="10" s="1"/>
  <c r="I37" i="10"/>
  <c r="K29" i="10"/>
  <c r="J33" i="10"/>
  <c r="L245" i="1"/>
  <c r="K13" i="11" s="1"/>
  <c r="H223" i="1"/>
  <c r="I223" i="1"/>
  <c r="J223" i="1"/>
  <c r="K223" i="1"/>
  <c r="L223" i="1"/>
  <c r="D223" i="1"/>
  <c r="C11" i="11" s="1"/>
  <c r="E223" i="1"/>
  <c r="D11" i="11" s="1"/>
  <c r="F223" i="1"/>
  <c r="E11" i="11" s="1"/>
  <c r="G223" i="1"/>
  <c r="F11" i="11" s="1"/>
  <c r="C223" i="1"/>
  <c r="K11" i="11" l="1"/>
  <c r="L607" i="1"/>
  <c r="K33" i="13" s="1"/>
  <c r="L608" i="1"/>
  <c r="K34" i="13" s="1"/>
  <c r="J11" i="11"/>
  <c r="K608" i="1"/>
  <c r="J34" i="13" s="1"/>
  <c r="K607" i="1"/>
  <c r="J33" i="13" s="1"/>
  <c r="I11" i="11"/>
  <c r="J608" i="1"/>
  <c r="I34" i="13" s="1"/>
  <c r="J607" i="1"/>
  <c r="I33" i="13" s="1"/>
  <c r="H11" i="11"/>
  <c r="I608" i="1"/>
  <c r="H34" i="13" s="1"/>
  <c r="I607" i="1"/>
  <c r="H33" i="13" s="1"/>
  <c r="G11" i="11"/>
  <c r="H608" i="1"/>
  <c r="G34" i="13" s="1"/>
  <c r="H607" i="1"/>
  <c r="G33" i="13" s="1"/>
  <c r="L591" i="1"/>
  <c r="K17" i="13" s="1"/>
  <c r="K591" i="1"/>
  <c r="J17" i="13" s="1"/>
  <c r="G17" i="13"/>
  <c r="I591" i="1"/>
  <c r="H17" i="13" s="1"/>
  <c r="J591" i="1"/>
  <c r="I17" i="13" s="1"/>
  <c r="K109" i="10"/>
  <c r="L105" i="10" s="1"/>
  <c r="K106" i="10"/>
  <c r="K108" i="10" s="1"/>
  <c r="J108" i="10"/>
  <c r="K157" i="10"/>
  <c r="L153" i="10" s="1"/>
  <c r="K154" i="10"/>
  <c r="L104" i="10"/>
  <c r="M100" i="10"/>
  <c r="H191" i="10"/>
  <c r="J178" i="10"/>
  <c r="G188" i="10"/>
  <c r="N148" i="10"/>
  <c r="M152" i="10"/>
  <c r="K79" i="10"/>
  <c r="L75" i="10"/>
  <c r="K179" i="10"/>
  <c r="L175" i="10" s="1"/>
  <c r="K176" i="10"/>
  <c r="J84" i="10"/>
  <c r="K80" i="10" s="1"/>
  <c r="J81" i="10"/>
  <c r="I93" i="10"/>
  <c r="K162" i="10"/>
  <c r="K164" i="10" s="1"/>
  <c r="H90" i="10"/>
  <c r="M124" i="10"/>
  <c r="L128" i="10"/>
  <c r="L115" i="10"/>
  <c r="J133" i="10"/>
  <c r="K129" i="10" s="1"/>
  <c r="J130" i="10"/>
  <c r="N57" i="10"/>
  <c r="N59" i="10" s="1"/>
  <c r="N60" i="10"/>
  <c r="O56" i="10" s="1"/>
  <c r="K38" i="10"/>
  <c r="L34" i="10" s="1"/>
  <c r="L38" i="10" s="1"/>
  <c r="M34" i="10" s="1"/>
  <c r="M38" i="10" s="1"/>
  <c r="N34" i="10" s="1"/>
  <c r="N38" i="10" s="1"/>
  <c r="O34" i="10" s="1"/>
  <c r="O38" i="10" s="1"/>
  <c r="K35" i="10"/>
  <c r="H42" i="10"/>
  <c r="H44" i="10" s="1"/>
  <c r="K33" i="10"/>
  <c r="L29" i="10"/>
  <c r="J15" i="7"/>
  <c r="I211" i="1"/>
  <c r="J211" i="1"/>
  <c r="K211" i="1"/>
  <c r="L211" i="1"/>
  <c r="H211" i="1"/>
  <c r="I153" i="1"/>
  <c r="J153" i="1"/>
  <c r="K153" i="1"/>
  <c r="L153" i="1"/>
  <c r="I154" i="1"/>
  <c r="J154" i="1"/>
  <c r="K154" i="1"/>
  <c r="L154" i="1"/>
  <c r="L156" i="1"/>
  <c r="I157" i="1"/>
  <c r="J157" i="1"/>
  <c r="K157" i="1"/>
  <c r="L157" i="1"/>
  <c r="L158" i="1"/>
  <c r="I160" i="1"/>
  <c r="J160" i="1"/>
  <c r="K160" i="1"/>
  <c r="L160" i="1"/>
  <c r="I165" i="1"/>
  <c r="J165" i="1"/>
  <c r="K165" i="1"/>
  <c r="L165" i="1"/>
  <c r="I166" i="1"/>
  <c r="J166" i="1"/>
  <c r="K166" i="1"/>
  <c r="L166" i="1"/>
  <c r="I168" i="1"/>
  <c r="J168" i="1"/>
  <c r="K168" i="1"/>
  <c r="L168" i="1"/>
  <c r="I169" i="1"/>
  <c r="J169" i="1"/>
  <c r="K169" i="1"/>
  <c r="L169" i="1"/>
  <c r="I171" i="1"/>
  <c r="K171" i="1"/>
  <c r="L171" i="1"/>
  <c r="I174" i="1"/>
  <c r="J174" i="1"/>
  <c r="K174" i="1"/>
  <c r="L174" i="1"/>
  <c r="I179" i="1"/>
  <c r="J179" i="1"/>
  <c r="K179" i="1"/>
  <c r="L179" i="1"/>
  <c r="I180" i="1"/>
  <c r="J180" i="1"/>
  <c r="K180" i="1"/>
  <c r="L180" i="1"/>
  <c r="I181" i="1"/>
  <c r="J181" i="1"/>
  <c r="K181" i="1"/>
  <c r="L181" i="1"/>
  <c r="I182" i="1"/>
  <c r="J182" i="1"/>
  <c r="K182" i="1"/>
  <c r="L182" i="1"/>
  <c r="I183" i="1"/>
  <c r="J183" i="1"/>
  <c r="K183" i="1"/>
  <c r="L183" i="1"/>
  <c r="I184" i="1"/>
  <c r="J184" i="1"/>
  <c r="K184" i="1"/>
  <c r="L184" i="1"/>
  <c r="I185" i="1"/>
  <c r="J185" i="1"/>
  <c r="K185" i="1"/>
  <c r="L185" i="1"/>
  <c r="I186" i="1"/>
  <c r="J186" i="1"/>
  <c r="K186" i="1"/>
  <c r="L186" i="1"/>
  <c r="I187" i="1"/>
  <c r="J187" i="1"/>
  <c r="K187" i="1"/>
  <c r="L187" i="1"/>
  <c r="I188" i="1"/>
  <c r="J188" i="1"/>
  <c r="K188" i="1"/>
  <c r="L188" i="1"/>
  <c r="I189" i="1"/>
  <c r="J189" i="1"/>
  <c r="K189" i="1"/>
  <c r="L189" i="1"/>
  <c r="I190" i="1"/>
  <c r="J190" i="1"/>
  <c r="K190" i="1"/>
  <c r="L190" i="1"/>
  <c r="I191" i="1"/>
  <c r="J191" i="1"/>
  <c r="K191" i="1"/>
  <c r="L191" i="1"/>
  <c r="I192" i="1"/>
  <c r="J192" i="1"/>
  <c r="K192" i="1"/>
  <c r="L192" i="1"/>
  <c r="I193" i="1"/>
  <c r="J193" i="1"/>
  <c r="K193" i="1"/>
  <c r="L193" i="1"/>
  <c r="I194" i="1"/>
  <c r="J194" i="1"/>
  <c r="K194" i="1"/>
  <c r="L194" i="1"/>
  <c r="H166" i="1"/>
  <c r="H168" i="1"/>
  <c r="H169" i="1"/>
  <c r="H171" i="1"/>
  <c r="H174" i="1"/>
  <c r="H179" i="1"/>
  <c r="H180" i="1"/>
  <c r="H181" i="1"/>
  <c r="H182" i="1"/>
  <c r="H183" i="1"/>
  <c r="H184" i="1"/>
  <c r="H185" i="1"/>
  <c r="H186" i="1"/>
  <c r="H187" i="1"/>
  <c r="H188" i="1"/>
  <c r="H189" i="1"/>
  <c r="H190" i="1"/>
  <c r="H191" i="1"/>
  <c r="H192" i="1"/>
  <c r="H193" i="1"/>
  <c r="H194" i="1"/>
  <c r="H153" i="1"/>
  <c r="H154" i="1"/>
  <c r="H157" i="1"/>
  <c r="H160" i="1"/>
  <c r="H165" i="1"/>
  <c r="D193" i="1"/>
  <c r="G192" i="1"/>
  <c r="F192" i="1"/>
  <c r="C192" i="1"/>
  <c r="D191" i="1"/>
  <c r="E191" i="1" s="1"/>
  <c r="E190" i="1"/>
  <c r="E193" i="1" s="1"/>
  <c r="D188" i="1"/>
  <c r="C176" i="1"/>
  <c r="D176" i="1" s="1"/>
  <c r="E176" i="1" s="1"/>
  <c r="F176" i="1" s="1"/>
  <c r="G176" i="1" s="1"/>
  <c r="C175" i="1"/>
  <c r="D175" i="1" s="1"/>
  <c r="C173" i="1"/>
  <c r="C162" i="1"/>
  <c r="D162" i="1" s="1"/>
  <c r="E162" i="1" s="1"/>
  <c r="F162" i="1" s="1"/>
  <c r="G162" i="1" s="1"/>
  <c r="C161" i="1"/>
  <c r="D161" i="1" s="1"/>
  <c r="C159" i="1"/>
  <c r="H139" i="1"/>
  <c r="I127" i="1"/>
  <c r="J127" i="1"/>
  <c r="K127" i="1"/>
  <c r="L127" i="1"/>
  <c r="I129" i="1"/>
  <c r="J129" i="1"/>
  <c r="K129" i="1"/>
  <c r="L129" i="1"/>
  <c r="H127" i="1"/>
  <c r="D122" i="1"/>
  <c r="E122" i="1"/>
  <c r="F122" i="1"/>
  <c r="G122" i="1"/>
  <c r="H122" i="1"/>
  <c r="I122" i="1"/>
  <c r="J122" i="1"/>
  <c r="K122" i="1"/>
  <c r="L122" i="1"/>
  <c r="D123" i="1"/>
  <c r="E123" i="1"/>
  <c r="F123" i="1"/>
  <c r="G123" i="1"/>
  <c r="D124" i="1"/>
  <c r="E124" i="1"/>
  <c r="F124" i="1"/>
  <c r="G124" i="1"/>
  <c r="C123" i="1"/>
  <c r="C124" i="1"/>
  <c r="C122" i="1"/>
  <c r="I117" i="1"/>
  <c r="J117" i="1"/>
  <c r="K117" i="1"/>
  <c r="L117" i="1"/>
  <c r="I118" i="1"/>
  <c r="J118" i="1"/>
  <c r="K118" i="1"/>
  <c r="L118" i="1"/>
  <c r="H117" i="1"/>
  <c r="H118" i="1"/>
  <c r="D105" i="1"/>
  <c r="E105" i="1"/>
  <c r="F105" i="1"/>
  <c r="G105" i="1"/>
  <c r="D107" i="1"/>
  <c r="E107" i="1"/>
  <c r="F107" i="1"/>
  <c r="G107" i="1"/>
  <c r="H107" i="1"/>
  <c r="I107" i="1"/>
  <c r="J107" i="1"/>
  <c r="K107" i="1"/>
  <c r="L107" i="1"/>
  <c r="C107" i="1"/>
  <c r="C108" i="1"/>
  <c r="C109" i="1"/>
  <c r="C105" i="1"/>
  <c r="C103" i="1"/>
  <c r="D103" i="1"/>
  <c r="D683" i="1" s="1"/>
  <c r="E103" i="1"/>
  <c r="F103" i="1"/>
  <c r="F683" i="1" s="1"/>
  <c r="G103" i="1"/>
  <c r="C104" i="1"/>
  <c r="D104" i="1"/>
  <c r="E104" i="1"/>
  <c r="F104" i="1"/>
  <c r="G104" i="1"/>
  <c r="J102" i="1"/>
  <c r="K102" i="1"/>
  <c r="L102" i="1"/>
  <c r="D102" i="1"/>
  <c r="E102" i="1"/>
  <c r="F102" i="1"/>
  <c r="G102" i="1"/>
  <c r="H102" i="1"/>
  <c r="I102" i="1"/>
  <c r="C102" i="1"/>
  <c r="H97" i="1"/>
  <c r="H98" i="1"/>
  <c r="H101" i="1"/>
  <c r="I97" i="1"/>
  <c r="J97" i="1"/>
  <c r="K97" i="1"/>
  <c r="L97" i="1"/>
  <c r="I98" i="1"/>
  <c r="J98" i="1"/>
  <c r="K98" i="1"/>
  <c r="L98" i="1"/>
  <c r="I85" i="1"/>
  <c r="J85" i="1"/>
  <c r="K85" i="1"/>
  <c r="L85" i="1"/>
  <c r="H87" i="1"/>
  <c r="I87" i="1"/>
  <c r="J87" i="1"/>
  <c r="K87" i="1"/>
  <c r="L87" i="1"/>
  <c r="G87" i="1"/>
  <c r="G85" i="1"/>
  <c r="I78" i="1"/>
  <c r="J78" i="1"/>
  <c r="K78" i="1"/>
  <c r="L78" i="1"/>
  <c r="I79" i="1"/>
  <c r="J79" i="1"/>
  <c r="K79" i="1"/>
  <c r="L79" i="1"/>
  <c r="K81" i="1"/>
  <c r="I82" i="1"/>
  <c r="J82" i="1"/>
  <c r="K82" i="1"/>
  <c r="L82" i="1"/>
  <c r="I83" i="1"/>
  <c r="J83" i="1"/>
  <c r="L83" i="1"/>
  <c r="I84" i="1"/>
  <c r="J84" i="1"/>
  <c r="L84" i="1"/>
  <c r="G78" i="1"/>
  <c r="H78" i="1"/>
  <c r="G79" i="1"/>
  <c r="H79" i="1"/>
  <c r="H81" i="1"/>
  <c r="G82" i="1"/>
  <c r="H82" i="1"/>
  <c r="G83" i="1"/>
  <c r="G683" i="1" s="1"/>
  <c r="G84" i="1"/>
  <c r="H68" i="1"/>
  <c r="I68" i="1"/>
  <c r="J68" i="1"/>
  <c r="K68" i="1"/>
  <c r="L68" i="1"/>
  <c r="I59" i="1"/>
  <c r="J59" i="1"/>
  <c r="K59" i="1"/>
  <c r="L59" i="1"/>
  <c r="I60" i="1"/>
  <c r="J60" i="1"/>
  <c r="K60" i="1"/>
  <c r="L60" i="1"/>
  <c r="I63" i="1"/>
  <c r="J63" i="1"/>
  <c r="K63" i="1"/>
  <c r="L63" i="1"/>
  <c r="I64" i="1"/>
  <c r="J64" i="1"/>
  <c r="L64" i="1"/>
  <c r="I65" i="1"/>
  <c r="J65" i="1"/>
  <c r="L65" i="1"/>
  <c r="H59" i="1"/>
  <c r="H60" i="1"/>
  <c r="H63" i="1"/>
  <c r="H64" i="1"/>
  <c r="H65" i="1"/>
  <c r="H40" i="1"/>
  <c r="I40" i="1"/>
  <c r="J40" i="1"/>
  <c r="K40" i="1"/>
  <c r="L40" i="1"/>
  <c r="H41" i="1"/>
  <c r="I41" i="1"/>
  <c r="J41" i="1"/>
  <c r="K41" i="1"/>
  <c r="L41" i="1"/>
  <c r="H44" i="1"/>
  <c r="I44" i="1"/>
  <c r="J44" i="1"/>
  <c r="K44" i="1"/>
  <c r="L44" i="1"/>
  <c r="J45" i="1"/>
  <c r="K45" i="1"/>
  <c r="H46" i="1"/>
  <c r="J46" i="1"/>
  <c r="K46" i="1"/>
  <c r="H49" i="1"/>
  <c r="I49" i="1"/>
  <c r="J49" i="1"/>
  <c r="K49" i="1"/>
  <c r="L49" i="1"/>
  <c r="I20" i="1"/>
  <c r="J20" i="1"/>
  <c r="K20" i="1"/>
  <c r="L20" i="1"/>
  <c r="I21" i="1"/>
  <c r="J21" i="1"/>
  <c r="K21" i="1"/>
  <c r="L21" i="1"/>
  <c r="I23" i="1"/>
  <c r="K23" i="1"/>
  <c r="L23" i="1"/>
  <c r="I24" i="1"/>
  <c r="J24" i="1"/>
  <c r="K24" i="1"/>
  <c r="L24" i="1"/>
  <c r="I26" i="1"/>
  <c r="J26" i="1"/>
  <c r="K26" i="1"/>
  <c r="L26" i="1"/>
  <c r="I29" i="1"/>
  <c r="J29" i="1"/>
  <c r="K29" i="1"/>
  <c r="L29" i="1"/>
  <c r="H20" i="1"/>
  <c r="H21" i="1"/>
  <c r="H23" i="1"/>
  <c r="H24" i="1"/>
  <c r="H26" i="1"/>
  <c r="H29" i="1"/>
  <c r="H567" i="1"/>
  <c r="I567" i="1"/>
  <c r="J567" i="1"/>
  <c r="K567" i="1"/>
  <c r="L567" i="1"/>
  <c r="H568" i="1"/>
  <c r="I568" i="1"/>
  <c r="J568" i="1"/>
  <c r="K568" i="1"/>
  <c r="L568" i="1"/>
  <c r="H569" i="1"/>
  <c r="I569" i="1"/>
  <c r="J569" i="1"/>
  <c r="K569" i="1"/>
  <c r="L569" i="1"/>
  <c r="H570" i="1"/>
  <c r="I570" i="1"/>
  <c r="J570" i="1"/>
  <c r="K570" i="1"/>
  <c r="L570" i="1"/>
  <c r="H571" i="1"/>
  <c r="I571" i="1"/>
  <c r="J571" i="1"/>
  <c r="K571" i="1"/>
  <c r="L571" i="1"/>
  <c r="H572" i="1"/>
  <c r="I572" i="1"/>
  <c r="J572" i="1"/>
  <c r="K572" i="1"/>
  <c r="L572" i="1"/>
  <c r="H573" i="1"/>
  <c r="H578" i="1" s="1"/>
  <c r="I573" i="1"/>
  <c r="I578" i="1" s="1"/>
  <c r="J573" i="1"/>
  <c r="J578" i="1" s="1"/>
  <c r="K573" i="1"/>
  <c r="K578" i="1" s="1"/>
  <c r="L573" i="1"/>
  <c r="L578" i="1" s="1"/>
  <c r="I566" i="1"/>
  <c r="J566" i="1"/>
  <c r="K566" i="1"/>
  <c r="L566" i="1"/>
  <c r="I532" i="1"/>
  <c r="J532" i="1"/>
  <c r="K532" i="1"/>
  <c r="L532" i="1"/>
  <c r="I533" i="1"/>
  <c r="J533" i="1"/>
  <c r="K533" i="1"/>
  <c r="L533" i="1"/>
  <c r="I534" i="1"/>
  <c r="J534" i="1"/>
  <c r="K534" i="1"/>
  <c r="L534" i="1"/>
  <c r="I536" i="1"/>
  <c r="I647" i="1" s="1"/>
  <c r="J536" i="1"/>
  <c r="J647" i="1" s="1"/>
  <c r="K536" i="1"/>
  <c r="K647" i="1" s="1"/>
  <c r="L536" i="1"/>
  <c r="L647" i="1" s="1"/>
  <c r="I541" i="1"/>
  <c r="J541" i="1"/>
  <c r="K541" i="1"/>
  <c r="L541" i="1"/>
  <c r="I548" i="1"/>
  <c r="J548" i="1"/>
  <c r="K548" i="1"/>
  <c r="L548" i="1"/>
  <c r="I554" i="1"/>
  <c r="J554" i="1"/>
  <c r="K554" i="1"/>
  <c r="L554" i="1"/>
  <c r="I555" i="1"/>
  <c r="I649" i="1" s="1"/>
  <c r="J555" i="1"/>
  <c r="J649" i="1" s="1"/>
  <c r="K555" i="1"/>
  <c r="K649" i="1" s="1"/>
  <c r="L555" i="1"/>
  <c r="L649" i="1" s="1"/>
  <c r="I559" i="1"/>
  <c r="J559" i="1"/>
  <c r="K559" i="1"/>
  <c r="L559" i="1"/>
  <c r="I560" i="1"/>
  <c r="J560" i="1"/>
  <c r="K560" i="1"/>
  <c r="L560" i="1"/>
  <c r="I561" i="1"/>
  <c r="J561" i="1"/>
  <c r="K561" i="1"/>
  <c r="L561" i="1"/>
  <c r="H533" i="1"/>
  <c r="H534" i="1"/>
  <c r="H536" i="1"/>
  <c r="H647" i="1" s="1"/>
  <c r="H541" i="1"/>
  <c r="H554" i="1"/>
  <c r="H555" i="1"/>
  <c r="H649" i="1" s="1"/>
  <c r="H559" i="1"/>
  <c r="H560" i="1"/>
  <c r="H561" i="1"/>
  <c r="H532" i="1"/>
  <c r="H522" i="1"/>
  <c r="I522" i="1"/>
  <c r="J522" i="1"/>
  <c r="K522" i="1"/>
  <c r="L522" i="1"/>
  <c r="H523" i="1"/>
  <c r="I523" i="1"/>
  <c r="J523" i="1"/>
  <c r="K523" i="1"/>
  <c r="L523" i="1"/>
  <c r="H525" i="1"/>
  <c r="G42" i="13" s="1"/>
  <c r="I525" i="1"/>
  <c r="J525" i="1"/>
  <c r="K525" i="1"/>
  <c r="L525" i="1"/>
  <c r="I521" i="1"/>
  <c r="J521" i="1"/>
  <c r="K521" i="1"/>
  <c r="L521" i="1"/>
  <c r="H521" i="1"/>
  <c r="H509" i="1"/>
  <c r="I509" i="1"/>
  <c r="J509" i="1"/>
  <c r="K509" i="1"/>
  <c r="L509" i="1"/>
  <c r="H510" i="1"/>
  <c r="I510" i="1"/>
  <c r="J510" i="1"/>
  <c r="K510" i="1"/>
  <c r="L510" i="1"/>
  <c r="H514" i="1"/>
  <c r="I514" i="1"/>
  <c r="J514" i="1"/>
  <c r="K514" i="1"/>
  <c r="L514" i="1"/>
  <c r="H515" i="1"/>
  <c r="I515" i="1"/>
  <c r="J515" i="1"/>
  <c r="K515" i="1"/>
  <c r="L515" i="1"/>
  <c r="H516" i="1"/>
  <c r="H654" i="1" s="1"/>
  <c r="I516" i="1"/>
  <c r="I654" i="1" s="1"/>
  <c r="J516" i="1"/>
  <c r="J654" i="1" s="1"/>
  <c r="K516" i="1"/>
  <c r="K654" i="1" s="1"/>
  <c r="L516" i="1"/>
  <c r="L654" i="1" s="1"/>
  <c r="H517" i="1"/>
  <c r="I517" i="1"/>
  <c r="J517" i="1"/>
  <c r="K517" i="1"/>
  <c r="L517" i="1"/>
  <c r="H493" i="1"/>
  <c r="I493" i="1"/>
  <c r="J493" i="1"/>
  <c r="K493" i="1"/>
  <c r="L493" i="1"/>
  <c r="H495" i="1"/>
  <c r="I495" i="1"/>
  <c r="J495" i="1"/>
  <c r="K495" i="1"/>
  <c r="L495" i="1"/>
  <c r="H496" i="1"/>
  <c r="H638" i="1" s="1"/>
  <c r="I496" i="1"/>
  <c r="I638" i="1" s="1"/>
  <c r="J496" i="1"/>
  <c r="J638" i="1" s="1"/>
  <c r="K496" i="1"/>
  <c r="K638" i="1" s="1"/>
  <c r="L496" i="1"/>
  <c r="L638" i="1" s="1"/>
  <c r="H497" i="1"/>
  <c r="I497" i="1"/>
  <c r="J497" i="1"/>
  <c r="K497" i="1"/>
  <c r="L497" i="1"/>
  <c r="H498" i="1"/>
  <c r="I498" i="1"/>
  <c r="J498" i="1"/>
  <c r="K498" i="1"/>
  <c r="L498" i="1"/>
  <c r="H501" i="1"/>
  <c r="I501" i="1"/>
  <c r="J501" i="1"/>
  <c r="K501" i="1"/>
  <c r="L501" i="1"/>
  <c r="I502" i="1"/>
  <c r="J502" i="1"/>
  <c r="K502" i="1"/>
  <c r="L502" i="1"/>
  <c r="H462" i="1"/>
  <c r="I462" i="1"/>
  <c r="I251" i="1" s="1"/>
  <c r="J462" i="1"/>
  <c r="J251" i="1" s="1"/>
  <c r="K462" i="1"/>
  <c r="K251" i="1" s="1"/>
  <c r="L462" i="1"/>
  <c r="L251" i="1" s="1"/>
  <c r="L253" i="1" s="1"/>
  <c r="K17" i="11" s="1"/>
  <c r="H466" i="1"/>
  <c r="H634" i="1" s="1"/>
  <c r="I466" i="1"/>
  <c r="I634" i="1" s="1"/>
  <c r="J466" i="1"/>
  <c r="J634" i="1" s="1"/>
  <c r="K466" i="1"/>
  <c r="K634" i="1" s="1"/>
  <c r="L466" i="1"/>
  <c r="L634" i="1" s="1"/>
  <c r="H469" i="1"/>
  <c r="I469" i="1"/>
  <c r="J469" i="1"/>
  <c r="K469" i="1"/>
  <c r="L469" i="1"/>
  <c r="H470" i="1"/>
  <c r="I470" i="1"/>
  <c r="J470" i="1"/>
  <c r="K470" i="1"/>
  <c r="L470" i="1"/>
  <c r="H471" i="1"/>
  <c r="I471" i="1"/>
  <c r="J471" i="1"/>
  <c r="K471" i="1"/>
  <c r="L471" i="1"/>
  <c r="H472" i="1"/>
  <c r="I472" i="1"/>
  <c r="J472" i="1"/>
  <c r="K472" i="1"/>
  <c r="L472" i="1"/>
  <c r="H473" i="1"/>
  <c r="I473" i="1"/>
  <c r="J473" i="1"/>
  <c r="K473" i="1"/>
  <c r="L473" i="1"/>
  <c r="H474" i="1"/>
  <c r="I474" i="1"/>
  <c r="J474" i="1"/>
  <c r="K474" i="1"/>
  <c r="L474" i="1"/>
  <c r="H475" i="1"/>
  <c r="H642" i="1" s="1"/>
  <c r="I475" i="1"/>
  <c r="I642" i="1" s="1"/>
  <c r="J475" i="1"/>
  <c r="J642" i="1" s="1"/>
  <c r="K475" i="1"/>
  <c r="K642" i="1" s="1"/>
  <c r="L475" i="1"/>
  <c r="L642" i="1" s="1"/>
  <c r="H476" i="1"/>
  <c r="H643" i="1" s="1"/>
  <c r="I476" i="1"/>
  <c r="I643" i="1" s="1"/>
  <c r="J476" i="1"/>
  <c r="J643" i="1" s="1"/>
  <c r="K476" i="1"/>
  <c r="K643" i="1" s="1"/>
  <c r="L476" i="1"/>
  <c r="L643" i="1" s="1"/>
  <c r="H477" i="1"/>
  <c r="I477" i="1"/>
  <c r="J477" i="1"/>
  <c r="K477" i="1"/>
  <c r="L477" i="1"/>
  <c r="H478" i="1"/>
  <c r="H639" i="1" s="1"/>
  <c r="I478" i="1"/>
  <c r="I639" i="1" s="1"/>
  <c r="J478" i="1"/>
  <c r="J639" i="1" s="1"/>
  <c r="K478" i="1"/>
  <c r="K639" i="1" s="1"/>
  <c r="L478" i="1"/>
  <c r="L639" i="1" s="1"/>
  <c r="H479" i="1"/>
  <c r="H640" i="1" s="1"/>
  <c r="I479" i="1"/>
  <c r="I640" i="1" s="1"/>
  <c r="J479" i="1"/>
  <c r="J640" i="1" s="1"/>
  <c r="K479" i="1"/>
  <c r="K640" i="1" s="1"/>
  <c r="L479" i="1"/>
  <c r="L640" i="1" s="1"/>
  <c r="H483" i="1"/>
  <c r="H257" i="1" s="1"/>
  <c r="I483" i="1"/>
  <c r="I257" i="1" s="1"/>
  <c r="J483" i="1"/>
  <c r="J257" i="1" s="1"/>
  <c r="K483" i="1"/>
  <c r="K257" i="1" s="1"/>
  <c r="L483" i="1"/>
  <c r="L257" i="1" s="1"/>
  <c r="H485" i="1"/>
  <c r="I485" i="1"/>
  <c r="J485" i="1"/>
  <c r="K485" i="1"/>
  <c r="L485" i="1"/>
  <c r="H486" i="1"/>
  <c r="I486" i="1"/>
  <c r="J486" i="1"/>
  <c r="K486" i="1"/>
  <c r="L486" i="1"/>
  <c r="H487" i="1"/>
  <c r="I487" i="1"/>
  <c r="J487" i="1"/>
  <c r="K487" i="1"/>
  <c r="L487" i="1"/>
  <c r="H488" i="1"/>
  <c r="I488" i="1"/>
  <c r="J488" i="1"/>
  <c r="K488" i="1"/>
  <c r="L488" i="1"/>
  <c r="I458" i="1"/>
  <c r="J458" i="1"/>
  <c r="K458" i="1"/>
  <c r="L458" i="1"/>
  <c r="H458" i="1"/>
  <c r="C123" i="8"/>
  <c r="C13" i="9" s="1"/>
  <c r="C17" i="9"/>
  <c r="D17" i="9"/>
  <c r="E17" i="9"/>
  <c r="F17" i="9"/>
  <c r="G17" i="9"/>
  <c r="H17" i="9"/>
  <c r="I17" i="9"/>
  <c r="J17" i="9"/>
  <c r="K17" i="9"/>
  <c r="B45" i="8"/>
  <c r="B17" i="9"/>
  <c r="C8" i="9"/>
  <c r="D8" i="9"/>
  <c r="E8" i="9"/>
  <c r="F8" i="9"/>
  <c r="C10" i="9"/>
  <c r="D10" i="9"/>
  <c r="E10" i="9"/>
  <c r="F10" i="9"/>
  <c r="C11" i="9"/>
  <c r="D11" i="9"/>
  <c r="E11" i="9"/>
  <c r="F11" i="9"/>
  <c r="C12" i="9"/>
  <c r="D12" i="9"/>
  <c r="E12" i="9"/>
  <c r="F12" i="9"/>
  <c r="D13" i="9"/>
  <c r="E13" i="9"/>
  <c r="F13" i="9"/>
  <c r="C15" i="9"/>
  <c r="D15" i="9"/>
  <c r="E15" i="9"/>
  <c r="F15" i="9"/>
  <c r="B15" i="9"/>
  <c r="B13" i="9"/>
  <c r="B12" i="9"/>
  <c r="B11" i="9"/>
  <c r="B10" i="9"/>
  <c r="G131" i="8"/>
  <c r="H129" i="8"/>
  <c r="I129" i="8"/>
  <c r="J129" i="8" s="1"/>
  <c r="G129" i="8"/>
  <c r="H128" i="8"/>
  <c r="I128" i="8" s="1"/>
  <c r="G128" i="8"/>
  <c r="H135" i="8"/>
  <c r="I135" i="8" s="1"/>
  <c r="H136" i="8"/>
  <c r="I136" i="8" s="1"/>
  <c r="H138" i="8"/>
  <c r="I138" i="8"/>
  <c r="J138" i="8"/>
  <c r="K138" i="8"/>
  <c r="H140" i="8"/>
  <c r="I140" i="8"/>
  <c r="J140" i="8"/>
  <c r="K140" i="8"/>
  <c r="G135" i="8"/>
  <c r="G136" i="8"/>
  <c r="G138" i="8"/>
  <c r="H141" i="8"/>
  <c r="J141" i="8" s="1"/>
  <c r="I141" i="8"/>
  <c r="H142" i="8"/>
  <c r="I142" i="8"/>
  <c r="K142" i="8" s="1"/>
  <c r="J142" i="8"/>
  <c r="G140" i="8"/>
  <c r="G141" i="8"/>
  <c r="G142" i="8"/>
  <c r="C143" i="8"/>
  <c r="B143" i="8"/>
  <c r="B132" i="8"/>
  <c r="C132" i="8"/>
  <c r="D143" i="8"/>
  <c r="F132" i="8"/>
  <c r="H122" i="8"/>
  <c r="J122" i="8" s="1"/>
  <c r="I122" i="8"/>
  <c r="G122" i="8"/>
  <c r="G119" i="8"/>
  <c r="H538" i="1" s="1"/>
  <c r="G117" i="8"/>
  <c r="H117" i="8"/>
  <c r="I117" i="8"/>
  <c r="J117" i="8"/>
  <c r="K117" i="8"/>
  <c r="H113" i="8"/>
  <c r="I113" i="8" s="1"/>
  <c r="H114" i="8"/>
  <c r="J114" i="8" s="1"/>
  <c r="I114" i="8"/>
  <c r="H115" i="8"/>
  <c r="I115" i="8"/>
  <c r="J115" i="8" s="1"/>
  <c r="G113" i="8"/>
  <c r="G114" i="8"/>
  <c r="G115" i="8"/>
  <c r="F153" i="8"/>
  <c r="F154" i="8" s="1"/>
  <c r="E153" i="8"/>
  <c r="E154" i="8" s="1"/>
  <c r="D153" i="8"/>
  <c r="D154" i="8" s="1"/>
  <c r="C153" i="8"/>
  <c r="C154" i="8" s="1"/>
  <c r="B153" i="8"/>
  <c r="B154" i="8" s="1"/>
  <c r="F149" i="8"/>
  <c r="E149" i="8"/>
  <c r="D149" i="8"/>
  <c r="C149" i="8"/>
  <c r="B149" i="8"/>
  <c r="F143" i="8"/>
  <c r="E132" i="8"/>
  <c r="E143" i="8" s="1"/>
  <c r="D132" i="8"/>
  <c r="F123" i="8"/>
  <c r="B123" i="8"/>
  <c r="F117" i="8"/>
  <c r="E117" i="8"/>
  <c r="E123" i="8" s="1"/>
  <c r="D117" i="8"/>
  <c r="D123" i="8" s="1"/>
  <c r="C117" i="8"/>
  <c r="B117" i="8"/>
  <c r="C562" i="1"/>
  <c r="C683" i="1" l="1"/>
  <c r="I253" i="1"/>
  <c r="H17" i="11" s="1"/>
  <c r="J660" i="1"/>
  <c r="K253" i="1"/>
  <c r="J17" i="11" s="1"/>
  <c r="L660" i="1"/>
  <c r="J253" i="1"/>
  <c r="I17" i="11" s="1"/>
  <c r="K660" i="1"/>
  <c r="H251" i="1"/>
  <c r="I10" i="8"/>
  <c r="H10" i="8"/>
  <c r="G123" i="8"/>
  <c r="H542" i="1" s="1"/>
  <c r="L79" i="10"/>
  <c r="M75" i="10"/>
  <c r="N100" i="10"/>
  <c r="M104" i="10"/>
  <c r="J132" i="10"/>
  <c r="J89" i="10"/>
  <c r="K156" i="10"/>
  <c r="N152" i="10"/>
  <c r="O148" i="10"/>
  <c r="O152" i="10" s="1"/>
  <c r="K84" i="10"/>
  <c r="L80" i="10" s="1"/>
  <c r="K81" i="10"/>
  <c r="K83" i="10" s="1"/>
  <c r="G190" i="10"/>
  <c r="K133" i="10"/>
  <c r="L129" i="10" s="1"/>
  <c r="K130" i="10"/>
  <c r="K132" i="10" s="1"/>
  <c r="L154" i="10"/>
  <c r="L156" i="10" s="1"/>
  <c r="L157" i="10"/>
  <c r="M153" i="10" s="1"/>
  <c r="M157" i="10" s="1"/>
  <c r="N153" i="10" s="1"/>
  <c r="N157" i="10" s="1"/>
  <c r="O153" i="10" s="1"/>
  <c r="O157" i="10" s="1"/>
  <c r="I90" i="10"/>
  <c r="J83" i="10"/>
  <c r="N124" i="10"/>
  <c r="M128" i="10"/>
  <c r="K178" i="10"/>
  <c r="H92" i="10"/>
  <c r="L179" i="10"/>
  <c r="M175" i="10" s="1"/>
  <c r="L176" i="10"/>
  <c r="L178" i="10" s="1"/>
  <c r="I187" i="10"/>
  <c r="L109" i="10"/>
  <c r="M105" i="10" s="1"/>
  <c r="L106" i="10"/>
  <c r="L108" i="10" s="1"/>
  <c r="O57" i="10"/>
  <c r="O59" i="10" s="1"/>
  <c r="O60" i="10"/>
  <c r="P56" i="10" s="1"/>
  <c r="L33" i="10"/>
  <c r="M29" i="10"/>
  <c r="I42" i="10"/>
  <c r="I44" i="10" s="1"/>
  <c r="K37" i="10"/>
  <c r="D167" i="1"/>
  <c r="E192" i="1"/>
  <c r="D152" i="1"/>
  <c r="D192" i="1"/>
  <c r="E184" i="1" s="1"/>
  <c r="E188" i="1" s="1"/>
  <c r="C177" i="1"/>
  <c r="D170" i="1" s="1"/>
  <c r="D173" i="1" s="1"/>
  <c r="C178" i="1"/>
  <c r="D178" i="1"/>
  <c r="E167" i="1"/>
  <c r="D177" i="1"/>
  <c r="E170" i="1" s="1"/>
  <c r="E173" i="1" s="1"/>
  <c r="E175" i="1"/>
  <c r="D164" i="1"/>
  <c r="E152" i="1"/>
  <c r="D163" i="1"/>
  <c r="E161" i="1"/>
  <c r="C163" i="1"/>
  <c r="C164" i="1"/>
  <c r="H131" i="8"/>
  <c r="I131" i="8"/>
  <c r="J131" i="8" s="1"/>
  <c r="K129" i="8"/>
  <c r="J128" i="8"/>
  <c r="K128" i="8" s="1"/>
  <c r="J136" i="8"/>
  <c r="K136" i="8" s="1"/>
  <c r="K135" i="8"/>
  <c r="J135" i="8"/>
  <c r="K141" i="8"/>
  <c r="K122" i="8"/>
  <c r="K114" i="8"/>
  <c r="K115" i="8"/>
  <c r="K113" i="8"/>
  <c r="J113" i="8"/>
  <c r="H253" i="1" l="1"/>
  <c r="G17" i="11" s="1"/>
  <c r="H660" i="1"/>
  <c r="I660" i="1"/>
  <c r="J10" i="8"/>
  <c r="G13" i="9"/>
  <c r="J93" i="10"/>
  <c r="M179" i="10"/>
  <c r="N175" i="10" s="1"/>
  <c r="M176" i="10"/>
  <c r="M178" i="10" s="1"/>
  <c r="I92" i="10"/>
  <c r="L81" i="10"/>
  <c r="L84" i="10"/>
  <c r="M80" i="10" s="1"/>
  <c r="M109" i="10"/>
  <c r="N105" i="10" s="1"/>
  <c r="M106" i="10"/>
  <c r="M108" i="10" s="1"/>
  <c r="L133" i="10"/>
  <c r="M129" i="10" s="1"/>
  <c r="L130" i="10"/>
  <c r="N104" i="10"/>
  <c r="O100" i="10"/>
  <c r="L162" i="10"/>
  <c r="L164" i="10" s="1"/>
  <c r="M79" i="10"/>
  <c r="N75" i="10"/>
  <c r="I191" i="10"/>
  <c r="O124" i="10"/>
  <c r="N128" i="10"/>
  <c r="P57" i="10"/>
  <c r="P59" i="10" s="1"/>
  <c r="P60" i="10"/>
  <c r="Q56" i="10" s="1"/>
  <c r="M33" i="10"/>
  <c r="N29" i="10"/>
  <c r="D155" i="1"/>
  <c r="D159" i="1" s="1"/>
  <c r="C149" i="1"/>
  <c r="B9" i="11" s="1"/>
  <c r="E155" i="1"/>
  <c r="E159" i="1" s="1"/>
  <c r="D149" i="1"/>
  <c r="C9" i="11" s="1"/>
  <c r="E164" i="1"/>
  <c r="F152" i="1"/>
  <c r="E163" i="1"/>
  <c r="F161" i="1"/>
  <c r="F167" i="1"/>
  <c r="E177" i="1"/>
  <c r="F170" i="1" s="1"/>
  <c r="F173" i="1" s="1"/>
  <c r="F175" i="1"/>
  <c r="E178" i="1"/>
  <c r="K131" i="8"/>
  <c r="K10" i="8" l="1"/>
  <c r="M133" i="10"/>
  <c r="N129" i="10" s="1"/>
  <c r="M130" i="10"/>
  <c r="M132" i="10" s="1"/>
  <c r="N109" i="10"/>
  <c r="O105" i="10" s="1"/>
  <c r="N106" i="10"/>
  <c r="N179" i="10"/>
  <c r="O175" i="10" s="1"/>
  <c r="N176" i="10"/>
  <c r="N178" i="10" s="1"/>
  <c r="J90" i="10"/>
  <c r="L83" i="10"/>
  <c r="J187" i="10"/>
  <c r="N79" i="10"/>
  <c r="O75" i="10"/>
  <c r="O79" i="10" s="1"/>
  <c r="H188" i="10"/>
  <c r="O104" i="10"/>
  <c r="P100" i="10"/>
  <c r="O128" i="10"/>
  <c r="P124" i="10"/>
  <c r="L132" i="10"/>
  <c r="K137" i="10"/>
  <c r="M113" i="10"/>
  <c r="M84" i="10"/>
  <c r="N80" i="10" s="1"/>
  <c r="N84" i="10" s="1"/>
  <c r="O80" i="10" s="1"/>
  <c r="O84" i="10" s="1"/>
  <c r="M81" i="10"/>
  <c r="M83" i="10" s="1"/>
  <c r="K89" i="10"/>
  <c r="Q57" i="10"/>
  <c r="Q59" i="10" s="1"/>
  <c r="Q60" i="10"/>
  <c r="R56" i="10" s="1"/>
  <c r="N33" i="10"/>
  <c r="O29" i="10"/>
  <c r="O33" i="10" s="1"/>
  <c r="F155" i="1"/>
  <c r="F159" i="1" s="1"/>
  <c r="E149" i="1"/>
  <c r="D9" i="11" s="1"/>
  <c r="G152" i="1"/>
  <c r="F163" i="1"/>
  <c r="G161" i="1"/>
  <c r="F164" i="1"/>
  <c r="G167" i="1"/>
  <c r="F177" i="1"/>
  <c r="G170" i="1" s="1"/>
  <c r="G173" i="1" s="1"/>
  <c r="G175" i="1"/>
  <c r="F178" i="1"/>
  <c r="G94" i="8"/>
  <c r="H94" i="8" s="1"/>
  <c r="G95" i="8"/>
  <c r="H95" i="8"/>
  <c r="J95" i="8" s="1"/>
  <c r="I95" i="8"/>
  <c r="G97" i="8"/>
  <c r="H97" i="8" s="1"/>
  <c r="H93" i="8"/>
  <c r="K93" i="8" s="1"/>
  <c r="I93" i="8"/>
  <c r="J93" i="8" s="1"/>
  <c r="G93" i="8"/>
  <c r="H86" i="8"/>
  <c r="I86" i="8" s="1"/>
  <c r="H87" i="8"/>
  <c r="J87" i="8" s="1"/>
  <c r="I87" i="8"/>
  <c r="K87" i="8" s="1"/>
  <c r="H88" i="8"/>
  <c r="I88" i="8"/>
  <c r="J88" i="8" s="1"/>
  <c r="K88" i="8" s="1"/>
  <c r="H89" i="8"/>
  <c r="J89" i="8" s="1"/>
  <c r="I89" i="8"/>
  <c r="G87" i="8"/>
  <c r="G88" i="8"/>
  <c r="G89" i="8"/>
  <c r="G86" i="8"/>
  <c r="H81" i="8"/>
  <c r="I81" i="8" s="1"/>
  <c r="H82" i="8"/>
  <c r="I82" i="8" s="1"/>
  <c r="G82" i="8"/>
  <c r="G81" i="8"/>
  <c r="H65" i="8"/>
  <c r="I65" i="8" s="1"/>
  <c r="H66" i="8"/>
  <c r="I66" i="8"/>
  <c r="J66" i="8"/>
  <c r="K66" i="8"/>
  <c r="G66" i="8"/>
  <c r="H61" i="8"/>
  <c r="I61" i="8" s="1"/>
  <c r="H62" i="8"/>
  <c r="J62" i="8" s="1"/>
  <c r="I62" i="8"/>
  <c r="G62" i="8"/>
  <c r="H60" i="8"/>
  <c r="I60" i="8"/>
  <c r="J60" i="8"/>
  <c r="K60" i="8"/>
  <c r="G61" i="8"/>
  <c r="G60" i="8"/>
  <c r="B102" i="8"/>
  <c r="C102" i="8"/>
  <c r="D102" i="8"/>
  <c r="E102" i="8"/>
  <c r="E83" i="8"/>
  <c r="F83" i="8"/>
  <c r="E63" i="8"/>
  <c r="F63" i="8"/>
  <c r="E19" i="8"/>
  <c r="F19" i="8"/>
  <c r="F47" i="8"/>
  <c r="F49" i="8" s="1"/>
  <c r="E220" i="1"/>
  <c r="F220" i="1"/>
  <c r="G220" i="1"/>
  <c r="C219" i="1"/>
  <c r="C220" i="1" s="1"/>
  <c r="D219" i="1"/>
  <c r="D220" i="1" s="1"/>
  <c r="G200" i="1"/>
  <c r="D200" i="1"/>
  <c r="E200" i="1"/>
  <c r="F200" i="1"/>
  <c r="E71" i="8" s="1"/>
  <c r="C200" i="1"/>
  <c r="B71" i="8" s="1"/>
  <c r="B77" i="8" s="1"/>
  <c r="D146" i="1"/>
  <c r="E146" i="1"/>
  <c r="F146" i="1"/>
  <c r="G146" i="1"/>
  <c r="C146" i="1"/>
  <c r="G65" i="8"/>
  <c r="G57" i="8"/>
  <c r="H57" i="8" s="1"/>
  <c r="I57" i="8" s="1"/>
  <c r="D41" i="8"/>
  <c r="E41" i="8"/>
  <c r="F41" i="8"/>
  <c r="G41" i="8"/>
  <c r="C41" i="8"/>
  <c r="G35" i="8"/>
  <c r="H35" i="8" s="1"/>
  <c r="I35" i="8" s="1"/>
  <c r="G34" i="8"/>
  <c r="H34" i="8" s="1"/>
  <c r="I34" i="8" s="1"/>
  <c r="H80" i="8"/>
  <c r="I508" i="1" s="1"/>
  <c r="I80" i="8"/>
  <c r="J508" i="1" s="1"/>
  <c r="J80" i="8"/>
  <c r="K508" i="1" s="1"/>
  <c r="K80" i="8"/>
  <c r="L508" i="1" s="1"/>
  <c r="G80" i="8"/>
  <c r="H508" i="1" s="1"/>
  <c r="G17" i="8"/>
  <c r="H17" i="8" s="1"/>
  <c r="I17" i="8" s="1"/>
  <c r="I459" i="1"/>
  <c r="I403" i="1" s="1"/>
  <c r="J459" i="1"/>
  <c r="J403" i="1" s="1"/>
  <c r="K459" i="1"/>
  <c r="K403" i="1" s="1"/>
  <c r="L459" i="1"/>
  <c r="L403" i="1" s="1"/>
  <c r="H459" i="1"/>
  <c r="H403" i="1" s="1"/>
  <c r="C50" i="4"/>
  <c r="C51" i="4"/>
  <c r="C48" i="4"/>
  <c r="I56" i="8" l="1"/>
  <c r="J492" i="1" s="1"/>
  <c r="J460" i="1"/>
  <c r="I99" i="8"/>
  <c r="J527" i="1" s="1"/>
  <c r="I98" i="8"/>
  <c r="J526" i="1" s="1"/>
  <c r="H56" i="8"/>
  <c r="I492" i="1" s="1"/>
  <c r="H99" i="8"/>
  <c r="I527" i="1" s="1"/>
  <c r="I460" i="1"/>
  <c r="H98" i="8"/>
  <c r="I526" i="1" s="1"/>
  <c r="G99" i="8"/>
  <c r="H527" i="1" s="1"/>
  <c r="G98" i="8"/>
  <c r="H526" i="1" s="1"/>
  <c r="L460" i="1"/>
  <c r="K98" i="8"/>
  <c r="L526" i="1" s="1"/>
  <c r="K56" i="8"/>
  <c r="L492" i="1" s="1"/>
  <c r="K99" i="8"/>
  <c r="L527" i="1" s="1"/>
  <c r="J56" i="8"/>
  <c r="K492" i="1" s="1"/>
  <c r="K460" i="1"/>
  <c r="J99" i="8"/>
  <c r="K527" i="1" s="1"/>
  <c r="J98" i="8"/>
  <c r="K526" i="1" s="1"/>
  <c r="G56" i="8"/>
  <c r="H492" i="1" s="1"/>
  <c r="Q100" i="10"/>
  <c r="P104" i="10"/>
  <c r="J92" i="10"/>
  <c r="M115" i="10"/>
  <c r="O109" i="10"/>
  <c r="P105" i="10" s="1"/>
  <c r="O106" i="10"/>
  <c r="O108" i="10" s="1"/>
  <c r="N108" i="10"/>
  <c r="H190" i="10"/>
  <c r="K139" i="10"/>
  <c r="P128" i="10"/>
  <c r="Q124" i="10"/>
  <c r="J191" i="10"/>
  <c r="O179" i="10"/>
  <c r="P175" i="10" s="1"/>
  <c r="O176" i="10"/>
  <c r="K93" i="10"/>
  <c r="N133" i="10"/>
  <c r="O129" i="10" s="1"/>
  <c r="N130" i="10"/>
  <c r="R57" i="10"/>
  <c r="R59" i="10" s="1"/>
  <c r="R60" i="10"/>
  <c r="S56" i="10" s="1"/>
  <c r="G155" i="1"/>
  <c r="G159" i="1" s="1"/>
  <c r="F149" i="1"/>
  <c r="E9" i="11" s="1"/>
  <c r="G177" i="1"/>
  <c r="G178" i="1"/>
  <c r="G163" i="1"/>
  <c r="G164" i="1"/>
  <c r="F71" i="8"/>
  <c r="F73" i="8" s="1"/>
  <c r="D71" i="8"/>
  <c r="D75" i="8" s="1"/>
  <c r="E75" i="8"/>
  <c r="E73" i="8"/>
  <c r="C71" i="8"/>
  <c r="I94" i="8"/>
  <c r="I97" i="8"/>
  <c r="K95" i="8"/>
  <c r="K89" i="8"/>
  <c r="J86" i="8"/>
  <c r="K86" i="8" s="1"/>
  <c r="J82" i="8"/>
  <c r="K82" i="8" s="1"/>
  <c r="J81" i="8"/>
  <c r="K81" i="8" s="1"/>
  <c r="K65" i="8"/>
  <c r="J65" i="8"/>
  <c r="K62" i="8"/>
  <c r="J61" i="8"/>
  <c r="K61" i="8" s="1"/>
  <c r="F51" i="8"/>
  <c r="E77" i="8"/>
  <c r="B75" i="8"/>
  <c r="B73" i="8"/>
  <c r="F53" i="8"/>
  <c r="J57" i="8"/>
  <c r="K57" i="8" s="1"/>
  <c r="J35" i="8"/>
  <c r="K35" i="8" s="1"/>
  <c r="J34" i="8"/>
  <c r="K34" i="8" s="1"/>
  <c r="J17" i="8"/>
  <c r="K17" i="8" s="1"/>
  <c r="N132" i="10" l="1"/>
  <c r="O178" i="10"/>
  <c r="O133" i="10"/>
  <c r="P129" i="10" s="1"/>
  <c r="O130" i="10"/>
  <c r="O132" i="10" s="1"/>
  <c r="P109" i="10"/>
  <c r="Q105" i="10" s="1"/>
  <c r="P106" i="10"/>
  <c r="P108" i="10" s="1"/>
  <c r="Q128" i="10"/>
  <c r="R124" i="10"/>
  <c r="L89" i="10"/>
  <c r="P179" i="10"/>
  <c r="Q175" i="10" s="1"/>
  <c r="P176" i="10"/>
  <c r="P178" i="10" s="1"/>
  <c r="K187" i="10"/>
  <c r="Q104" i="10"/>
  <c r="R100" i="10"/>
  <c r="S57" i="10"/>
  <c r="S59" i="10" s="1"/>
  <c r="S60" i="10"/>
  <c r="T56" i="10" s="1"/>
  <c r="G149" i="1"/>
  <c r="F9" i="11" s="1"/>
  <c r="F75" i="8"/>
  <c r="D77" i="8"/>
  <c r="D73" i="8"/>
  <c r="F77" i="8"/>
  <c r="C75" i="8"/>
  <c r="C73" i="8"/>
  <c r="C77" i="8"/>
  <c r="K97" i="8"/>
  <c r="K94" i="8"/>
  <c r="J97" i="8"/>
  <c r="J94" i="8"/>
  <c r="P133" i="10" l="1"/>
  <c r="Q129" i="10" s="1"/>
  <c r="P130" i="10"/>
  <c r="P132" i="10" s="1"/>
  <c r="R128" i="10"/>
  <c r="S124" i="10"/>
  <c r="K191" i="10"/>
  <c r="L93" i="10"/>
  <c r="R104" i="10"/>
  <c r="S100" i="10"/>
  <c r="S104" i="10" s="1"/>
  <c r="Q179" i="10"/>
  <c r="R175" i="10" s="1"/>
  <c r="Q176" i="10"/>
  <c r="Q109" i="10"/>
  <c r="R105" i="10" s="1"/>
  <c r="R109" i="10" s="1"/>
  <c r="S105" i="10" s="1"/>
  <c r="S109" i="10" s="1"/>
  <c r="Q106" i="10"/>
  <c r="T57" i="10"/>
  <c r="T59" i="10" s="1"/>
  <c r="T60" i="10"/>
  <c r="U56" i="10" s="1"/>
  <c r="G75" i="8"/>
  <c r="H75" i="8" s="1"/>
  <c r="G77" i="8"/>
  <c r="H77" i="8" s="1"/>
  <c r="G73" i="8"/>
  <c r="G44" i="8"/>
  <c r="H44" i="8" s="1"/>
  <c r="I44" i="8" s="1"/>
  <c r="J44" i="8" s="1"/>
  <c r="G42" i="8"/>
  <c r="G39" i="8"/>
  <c r="H14" i="8" s="1"/>
  <c r="G18" i="8"/>
  <c r="H18" i="8" s="1"/>
  <c r="I18" i="8" s="1"/>
  <c r="G32" i="8"/>
  <c r="H32" i="8" s="1"/>
  <c r="G25" i="8"/>
  <c r="H25" i="8" s="1"/>
  <c r="G26" i="8"/>
  <c r="H26" i="8" s="1"/>
  <c r="I26" i="8" s="1"/>
  <c r="G27" i="8"/>
  <c r="H27" i="8" s="1"/>
  <c r="G28" i="8"/>
  <c r="H28" i="8" s="1"/>
  <c r="G29" i="8"/>
  <c r="H29" i="8" s="1"/>
  <c r="I29" i="8" s="1"/>
  <c r="J29" i="8" s="1"/>
  <c r="G30" i="8"/>
  <c r="H30" i="8" s="1"/>
  <c r="I30" i="8" s="1"/>
  <c r="G31" i="8"/>
  <c r="H31" i="8" s="1"/>
  <c r="B100" i="8"/>
  <c r="B69" i="8"/>
  <c r="D14" i="8"/>
  <c r="E14" i="8"/>
  <c r="F14" i="8"/>
  <c r="G14" i="8"/>
  <c r="C14" i="8"/>
  <c r="C45" i="8"/>
  <c r="B43" i="8"/>
  <c r="B38" i="8"/>
  <c r="B40" i="8" s="1"/>
  <c r="F100" i="8"/>
  <c r="E100" i="8"/>
  <c r="D100" i="8"/>
  <c r="C100" i="8"/>
  <c r="F90" i="8"/>
  <c r="E90" i="8"/>
  <c r="D90" i="8"/>
  <c r="C90" i="8"/>
  <c r="B90" i="8"/>
  <c r="F69" i="8"/>
  <c r="E69" i="8"/>
  <c r="D69" i="8"/>
  <c r="C69" i="8"/>
  <c r="F43" i="8"/>
  <c r="E43" i="8"/>
  <c r="D43" i="8"/>
  <c r="F38" i="8"/>
  <c r="F40" i="8" s="1"/>
  <c r="E38" i="8"/>
  <c r="E40" i="8" s="1"/>
  <c r="D38" i="8"/>
  <c r="D40" i="8" s="1"/>
  <c r="C38" i="8"/>
  <c r="C201" i="7"/>
  <c r="H5" i="7"/>
  <c r="D4" i="7"/>
  <c r="D2" i="7" s="1"/>
  <c r="E4" i="7"/>
  <c r="E2" i="7" s="1"/>
  <c r="F4" i="7"/>
  <c r="F2" i="7" s="1"/>
  <c r="G4" i="7"/>
  <c r="G2" i="7" s="1"/>
  <c r="C4" i="7"/>
  <c r="C133" i="7"/>
  <c r="D113" i="7"/>
  <c r="D129" i="7"/>
  <c r="E129" i="7" s="1"/>
  <c r="G124" i="7"/>
  <c r="Q108" i="10" l="1"/>
  <c r="N113" i="10"/>
  <c r="N115" i="10" s="1"/>
  <c r="Q178" i="10"/>
  <c r="L187" i="10"/>
  <c r="R179" i="10"/>
  <c r="S175" i="10" s="1"/>
  <c r="R176" i="10"/>
  <c r="R178" i="10" s="1"/>
  <c r="S128" i="10"/>
  <c r="T124" i="10"/>
  <c r="M89" i="10"/>
  <c r="Q133" i="10"/>
  <c r="R129" i="10" s="1"/>
  <c r="Q130" i="10"/>
  <c r="U57" i="10"/>
  <c r="U59" i="10" s="1"/>
  <c r="U60" i="10"/>
  <c r="V56" i="10" s="1"/>
  <c r="I75" i="8"/>
  <c r="J75" i="8" s="1"/>
  <c r="K75" i="8" s="1"/>
  <c r="K74" i="8" s="1"/>
  <c r="I5" i="7"/>
  <c r="H11" i="1"/>
  <c r="H73" i="8"/>
  <c r="I73" i="8" s="1"/>
  <c r="I77" i="8"/>
  <c r="D45" i="8"/>
  <c r="H42" i="8"/>
  <c r="H41" i="8"/>
  <c r="E45" i="8"/>
  <c r="B8" i="9"/>
  <c r="H39" i="8"/>
  <c r="I14" i="8" s="1"/>
  <c r="J30" i="8"/>
  <c r="K30" i="8" s="1"/>
  <c r="I32" i="8"/>
  <c r="J32" i="8" s="1"/>
  <c r="K32" i="8" s="1"/>
  <c r="J26" i="8"/>
  <c r="K26" i="8" s="1"/>
  <c r="K44" i="8"/>
  <c r="G43" i="8"/>
  <c r="J18" i="8"/>
  <c r="K18" i="8" s="1"/>
  <c r="F45" i="8"/>
  <c r="I25" i="8"/>
  <c r="J25" i="8" s="1"/>
  <c r="K29" i="8"/>
  <c r="I28" i="8"/>
  <c r="J28" i="8" s="1"/>
  <c r="I31" i="8"/>
  <c r="I27" i="8"/>
  <c r="J27" i="8" s="1"/>
  <c r="K27" i="8" s="1"/>
  <c r="E114" i="7"/>
  <c r="F114" i="7"/>
  <c r="F129" i="7"/>
  <c r="K64" i="8" l="1"/>
  <c r="L500" i="1" s="1"/>
  <c r="L198" i="1"/>
  <c r="S179" i="10"/>
  <c r="T175" i="10" s="1"/>
  <c r="S176" i="10"/>
  <c r="Q132" i="10"/>
  <c r="L137" i="10"/>
  <c r="R133" i="10"/>
  <c r="S129" i="10" s="1"/>
  <c r="R130" i="10"/>
  <c r="I188" i="10"/>
  <c r="L191" i="10"/>
  <c r="M93" i="10"/>
  <c r="U124" i="10"/>
  <c r="T128" i="10"/>
  <c r="V57" i="10"/>
  <c r="V59" i="10" s="1"/>
  <c r="V60" i="10"/>
  <c r="W56" i="10" s="1"/>
  <c r="J5" i="7"/>
  <c r="I11" i="1"/>
  <c r="J73" i="8"/>
  <c r="H43" i="8"/>
  <c r="J77" i="8"/>
  <c r="I42" i="8"/>
  <c r="I41" i="8"/>
  <c r="I39" i="8"/>
  <c r="J39" i="8" s="1"/>
  <c r="K14" i="8" s="1"/>
  <c r="J31" i="8"/>
  <c r="K31" i="8" s="1"/>
  <c r="K28" i="8"/>
  <c r="K25" i="8"/>
  <c r="G114" i="7"/>
  <c r="G129" i="7"/>
  <c r="H114" i="7" s="1"/>
  <c r="H115" i="1" s="1"/>
  <c r="H123" i="7"/>
  <c r="H122" i="7"/>
  <c r="H119" i="7"/>
  <c r="H150" i="7"/>
  <c r="H136" i="7"/>
  <c r="H139" i="7"/>
  <c r="H138" i="1" s="1"/>
  <c r="F192" i="7"/>
  <c r="D192" i="7"/>
  <c r="H196" i="7"/>
  <c r="H197" i="7"/>
  <c r="E184" i="7"/>
  <c r="E187" i="7" s="1"/>
  <c r="D201" i="7"/>
  <c r="E192" i="7" s="1"/>
  <c r="F202" i="7"/>
  <c r="G202" i="7" s="1"/>
  <c r="F201" i="7"/>
  <c r="G201" i="7" s="1"/>
  <c r="H192" i="7" s="1"/>
  <c r="D202" i="7"/>
  <c r="C199" i="7"/>
  <c r="D195" i="7" s="1"/>
  <c r="D199" i="7" s="1"/>
  <c r="E195" i="7" s="1"/>
  <c r="E199" i="7" s="1"/>
  <c r="D187" i="7"/>
  <c r="D182" i="7"/>
  <c r="C155" i="7"/>
  <c r="C158" i="7" s="1"/>
  <c r="C131" i="7"/>
  <c r="J114" i="7"/>
  <c r="J115" i="1" s="1"/>
  <c r="K114" i="7"/>
  <c r="K115" i="1" s="1"/>
  <c r="L114" i="7"/>
  <c r="L115" i="1" s="1"/>
  <c r="D124" i="7"/>
  <c r="E124" i="7"/>
  <c r="F124" i="7"/>
  <c r="C124" i="7"/>
  <c r="D114" i="7"/>
  <c r="D128" i="7"/>
  <c r="M187" i="10" l="1"/>
  <c r="I190" i="10"/>
  <c r="S133" i="10"/>
  <c r="T129" i="10" s="1"/>
  <c r="S130" i="10"/>
  <c r="S132" i="10" s="1"/>
  <c r="V124" i="10"/>
  <c r="V128" i="10" s="1"/>
  <c r="U128" i="10"/>
  <c r="L139" i="10"/>
  <c r="R132" i="10"/>
  <c r="S178" i="10"/>
  <c r="T179" i="10"/>
  <c r="U175" i="10" s="1"/>
  <c r="T176" i="10"/>
  <c r="T178" i="10" s="1"/>
  <c r="W57" i="10"/>
  <c r="W59" i="10" s="1"/>
  <c r="W60" i="10"/>
  <c r="X56" i="10" s="1"/>
  <c r="I136" i="7"/>
  <c r="H135" i="1"/>
  <c r="I150" i="7"/>
  <c r="H156" i="1"/>
  <c r="I197" i="7"/>
  <c r="H208" i="1"/>
  <c r="I196" i="7"/>
  <c r="I207" i="1" s="1"/>
  <c r="H207" i="1"/>
  <c r="I119" i="7"/>
  <c r="H120" i="1"/>
  <c r="I122" i="7"/>
  <c r="H123" i="1"/>
  <c r="K5" i="7"/>
  <c r="K11" i="1" s="1"/>
  <c r="J11" i="1"/>
  <c r="L5" i="7"/>
  <c r="L11" i="1" s="1"/>
  <c r="I123" i="7"/>
  <c r="H124" i="1"/>
  <c r="I139" i="1"/>
  <c r="K73" i="8"/>
  <c r="K77" i="8"/>
  <c r="K76" i="8" s="1"/>
  <c r="I43" i="8"/>
  <c r="J41" i="8"/>
  <c r="J42" i="8"/>
  <c r="K41" i="8" s="1"/>
  <c r="K39" i="8"/>
  <c r="J14" i="8"/>
  <c r="I139" i="7"/>
  <c r="E113" i="7"/>
  <c r="E128" i="7" s="1"/>
  <c r="D130" i="7"/>
  <c r="E115" i="7" s="1"/>
  <c r="E118" i="7" s="1"/>
  <c r="E126" i="7" s="1"/>
  <c r="G192" i="7"/>
  <c r="I124" i="7"/>
  <c r="H124" i="7"/>
  <c r="H198" i="7"/>
  <c r="H202" i="7"/>
  <c r="D146" i="7"/>
  <c r="D155" i="7"/>
  <c r="E146" i="7" s="1"/>
  <c r="F195" i="7"/>
  <c r="F199" i="7" s="1"/>
  <c r="D131" i="7"/>
  <c r="K72" i="8" l="1"/>
  <c r="L197" i="1" s="1"/>
  <c r="K85" i="8"/>
  <c r="L513" i="1" s="1"/>
  <c r="L199" i="1"/>
  <c r="T133" i="10"/>
  <c r="U129" i="10" s="1"/>
  <c r="T130" i="10"/>
  <c r="T132" i="10" s="1"/>
  <c r="U179" i="10"/>
  <c r="V175" i="10" s="1"/>
  <c r="U176" i="10"/>
  <c r="M191" i="10"/>
  <c r="X57" i="10"/>
  <c r="X59" i="10" s="1"/>
  <c r="X60" i="10"/>
  <c r="Y56" i="10" s="1"/>
  <c r="J196" i="7"/>
  <c r="I103" i="8"/>
  <c r="G107" i="8"/>
  <c r="J103" i="8"/>
  <c r="K103" i="8"/>
  <c r="G103" i="8"/>
  <c r="G105" i="8"/>
  <c r="H103" i="8"/>
  <c r="K196" i="7"/>
  <c r="J207" i="1"/>
  <c r="J197" i="7"/>
  <c r="I208" i="1"/>
  <c r="H102" i="8"/>
  <c r="J122" i="7"/>
  <c r="I123" i="1"/>
  <c r="J150" i="7"/>
  <c r="I156" i="1"/>
  <c r="I202" i="7"/>
  <c r="H213" i="1"/>
  <c r="H201" i="7"/>
  <c r="H203" i="7" s="1"/>
  <c r="H209" i="1"/>
  <c r="J119" i="7"/>
  <c r="I120" i="1"/>
  <c r="J139" i="7"/>
  <c r="I138" i="1"/>
  <c r="J123" i="7"/>
  <c r="I124" i="1"/>
  <c r="J136" i="7"/>
  <c r="I135" i="1"/>
  <c r="J139" i="1"/>
  <c r="K42" i="8"/>
  <c r="K43" i="8" s="1"/>
  <c r="J43" i="8"/>
  <c r="E130" i="7"/>
  <c r="F115" i="7" s="1"/>
  <c r="F113" i="7"/>
  <c r="F128" i="7" s="1"/>
  <c r="F130" i="7" s="1"/>
  <c r="G115" i="7" s="1"/>
  <c r="E131" i="7"/>
  <c r="G195" i="7"/>
  <c r="G199" i="7" s="1"/>
  <c r="D158" i="7"/>
  <c r="E155" i="7"/>
  <c r="F146" i="7" s="1"/>
  <c r="L200" i="1" l="1"/>
  <c r="K20" i="8"/>
  <c r="L464" i="1" s="1"/>
  <c r="G67" i="8"/>
  <c r="H503" i="1" s="1"/>
  <c r="H218" i="1"/>
  <c r="K36" i="8"/>
  <c r="L480" i="1" s="1"/>
  <c r="L217" i="1"/>
  <c r="L220" i="1" s="1"/>
  <c r="L631" i="1" s="1"/>
  <c r="G36" i="8"/>
  <c r="H480" i="1" s="1"/>
  <c r="H217" i="1"/>
  <c r="J36" i="8"/>
  <c r="K480" i="1" s="1"/>
  <c r="K217" i="1"/>
  <c r="K220" i="1" s="1"/>
  <c r="K631" i="1" s="1"/>
  <c r="I36" i="8"/>
  <c r="J480" i="1" s="1"/>
  <c r="J217" i="1"/>
  <c r="J220" i="1" s="1"/>
  <c r="J631" i="1" s="1"/>
  <c r="G84" i="8"/>
  <c r="H512" i="1" s="1"/>
  <c r="H219" i="1"/>
  <c r="H36" i="8"/>
  <c r="I480" i="1" s="1"/>
  <c r="I217" i="1"/>
  <c r="I220" i="1" s="1"/>
  <c r="I631" i="1" s="1"/>
  <c r="N187" i="10"/>
  <c r="N191" i="10" s="1"/>
  <c r="O187" i="10" s="1"/>
  <c r="O191" i="10" s="1"/>
  <c r="P187" i="10" s="1"/>
  <c r="P191" i="10" s="1"/>
  <c r="Q187" i="10" s="1"/>
  <c r="Q191" i="10" s="1"/>
  <c r="R187" i="10" s="1"/>
  <c r="R191" i="10" s="1"/>
  <c r="U178" i="10"/>
  <c r="V179" i="10"/>
  <c r="W175" i="10" s="1"/>
  <c r="V176" i="10"/>
  <c r="V178" i="10" s="1"/>
  <c r="U133" i="10"/>
  <c r="V129" i="10" s="1"/>
  <c r="V133" i="10" s="1"/>
  <c r="U130" i="10"/>
  <c r="Y57" i="10"/>
  <c r="Y59" i="10" s="1"/>
  <c r="Y60" i="10"/>
  <c r="Z56" i="10" s="1"/>
  <c r="L196" i="7"/>
  <c r="L207" i="1" s="1"/>
  <c r="K207" i="1"/>
  <c r="H214" i="1"/>
  <c r="G10" i="11" s="1"/>
  <c r="K139" i="7"/>
  <c r="J138" i="1"/>
  <c r="K150" i="7"/>
  <c r="K156" i="1" s="1"/>
  <c r="J156" i="1"/>
  <c r="J123" i="1"/>
  <c r="J124" i="7"/>
  <c r="K122" i="7"/>
  <c r="H105" i="8"/>
  <c r="H67" i="8" s="1"/>
  <c r="I503" i="1" s="1"/>
  <c r="H107" i="8"/>
  <c r="H84" i="8" s="1"/>
  <c r="I512" i="1" s="1"/>
  <c r="J120" i="1"/>
  <c r="K119" i="7"/>
  <c r="J120" i="7"/>
  <c r="J135" i="1"/>
  <c r="K136" i="7"/>
  <c r="I192" i="7"/>
  <c r="H212" i="1"/>
  <c r="J208" i="1"/>
  <c r="I102" i="8"/>
  <c r="K197" i="7"/>
  <c r="I198" i="7"/>
  <c r="J124" i="1"/>
  <c r="K123" i="7"/>
  <c r="J202" i="7"/>
  <c r="I213" i="1"/>
  <c r="L139" i="1"/>
  <c r="K139" i="1"/>
  <c r="G113" i="7"/>
  <c r="G128" i="7" s="1"/>
  <c r="G130" i="7" s="1"/>
  <c r="H115" i="7" s="1"/>
  <c r="F131" i="7"/>
  <c r="G118" i="7"/>
  <c r="G126" i="7" s="1"/>
  <c r="H195" i="7"/>
  <c r="E158" i="7"/>
  <c r="F155" i="7"/>
  <c r="G146" i="7" s="1"/>
  <c r="C109" i="7"/>
  <c r="H101" i="7"/>
  <c r="H104" i="1" s="1"/>
  <c r="H100" i="7"/>
  <c r="H103" i="1" s="1"/>
  <c r="D107" i="7"/>
  <c r="D92" i="7"/>
  <c r="D91" i="7"/>
  <c r="C102" i="7"/>
  <c r="D102" i="7"/>
  <c r="E102" i="7"/>
  <c r="F102" i="7"/>
  <c r="G102" i="7"/>
  <c r="C85" i="7"/>
  <c r="D71" i="7" s="1"/>
  <c r="C80" i="7"/>
  <c r="D80" i="7"/>
  <c r="F80" i="7"/>
  <c r="G80" i="7"/>
  <c r="I80" i="7"/>
  <c r="J80" i="7"/>
  <c r="F58" i="7"/>
  <c r="G58" i="7"/>
  <c r="H58" i="7"/>
  <c r="I58" i="7"/>
  <c r="J58" i="7"/>
  <c r="L58" i="7"/>
  <c r="D63" i="7"/>
  <c r="E63" i="7" s="1"/>
  <c r="F63" i="7" s="1"/>
  <c r="G63" i="7" s="1"/>
  <c r="H54" i="7"/>
  <c r="D65" i="7"/>
  <c r="E65" i="7"/>
  <c r="F65" i="7"/>
  <c r="C65" i="7"/>
  <c r="H220" i="1" l="1"/>
  <c r="U132" i="10"/>
  <c r="M137" i="10"/>
  <c r="W176" i="10"/>
  <c r="W179" i="10"/>
  <c r="X175" i="10" s="1"/>
  <c r="J188" i="10"/>
  <c r="Z57" i="10"/>
  <c r="Z59" i="10" s="1"/>
  <c r="Z60" i="10"/>
  <c r="AA56" i="10" s="1"/>
  <c r="H113" i="7"/>
  <c r="H128" i="7" s="1"/>
  <c r="G131" i="7"/>
  <c r="I105" i="8"/>
  <c r="I67" i="8" s="1"/>
  <c r="J503" i="1" s="1"/>
  <c r="I107" i="8"/>
  <c r="I84" i="8" s="1"/>
  <c r="J512" i="1" s="1"/>
  <c r="L139" i="7"/>
  <c r="L138" i="1" s="1"/>
  <c r="K138" i="1"/>
  <c r="H114" i="1"/>
  <c r="J213" i="1"/>
  <c r="K202" i="7"/>
  <c r="K123" i="1"/>
  <c r="K124" i="7"/>
  <c r="L119" i="7"/>
  <c r="L120" i="1" s="1"/>
  <c r="K120" i="1"/>
  <c r="L123" i="7"/>
  <c r="L124" i="1" s="1"/>
  <c r="K124" i="1"/>
  <c r="L136" i="7"/>
  <c r="L135" i="1" s="1"/>
  <c r="K135" i="1"/>
  <c r="L197" i="7"/>
  <c r="K208" i="1"/>
  <c r="J102" i="8"/>
  <c r="I54" i="7"/>
  <c r="H62" i="1"/>
  <c r="E107" i="7"/>
  <c r="D109" i="1"/>
  <c r="H199" i="7"/>
  <c r="H206" i="1"/>
  <c r="H118" i="7"/>
  <c r="H119" i="1" s="1"/>
  <c r="H116" i="1"/>
  <c r="I201" i="7"/>
  <c r="I209" i="1"/>
  <c r="L122" i="7"/>
  <c r="G155" i="7"/>
  <c r="H146" i="7" s="1"/>
  <c r="H152" i="1" s="1"/>
  <c r="F158" i="7"/>
  <c r="H102" i="7"/>
  <c r="I100" i="7"/>
  <c r="I101" i="7"/>
  <c r="D106" i="7"/>
  <c r="E92" i="7"/>
  <c r="J190" i="10" l="1"/>
  <c r="X179" i="10"/>
  <c r="Y175" i="10" s="1"/>
  <c r="X176" i="10"/>
  <c r="X178" i="10" s="1"/>
  <c r="W178" i="10"/>
  <c r="M139" i="10"/>
  <c r="AA57" i="10"/>
  <c r="AA59" i="10" s="1"/>
  <c r="AA60" i="10"/>
  <c r="AB56" i="10" s="1"/>
  <c r="D108" i="7"/>
  <c r="D110" i="1" s="1"/>
  <c r="D108" i="1"/>
  <c r="L124" i="7"/>
  <c r="L123" i="1"/>
  <c r="F107" i="7"/>
  <c r="E109" i="1"/>
  <c r="J101" i="7"/>
  <c r="J104" i="1" s="1"/>
  <c r="I104" i="1"/>
  <c r="J100" i="7"/>
  <c r="J103" i="1" s="1"/>
  <c r="I103" i="1"/>
  <c r="I683" i="1" s="1"/>
  <c r="J192" i="7"/>
  <c r="I212" i="1"/>
  <c r="J198" i="7"/>
  <c r="I203" i="7"/>
  <c r="J54" i="7"/>
  <c r="I62" i="1"/>
  <c r="I113" i="7"/>
  <c r="H128" i="1"/>
  <c r="J105" i="8"/>
  <c r="J67" i="8" s="1"/>
  <c r="K503" i="1" s="1"/>
  <c r="J107" i="8"/>
  <c r="J84" i="8" s="1"/>
  <c r="K512" i="1" s="1"/>
  <c r="L208" i="1"/>
  <c r="K102" i="8"/>
  <c r="I195" i="7"/>
  <c r="H210" i="1"/>
  <c r="F92" i="7"/>
  <c r="L202" i="7"/>
  <c r="L213" i="1" s="1"/>
  <c r="K213" i="1"/>
  <c r="G158" i="7"/>
  <c r="K158" i="7" s="1"/>
  <c r="H155" i="7"/>
  <c r="I102" i="7"/>
  <c r="J102" i="7" s="1"/>
  <c r="I21" i="8" s="1"/>
  <c r="J465" i="1" s="1"/>
  <c r="J635" i="1" s="1"/>
  <c r="K100" i="7"/>
  <c r="E91" i="7"/>
  <c r="D109" i="7"/>
  <c r="H49" i="7"/>
  <c r="H57" i="1" s="1"/>
  <c r="D58" i="7"/>
  <c r="E58" i="7"/>
  <c r="C58" i="7"/>
  <c r="D64" i="7"/>
  <c r="E50" i="7" s="1"/>
  <c r="E53" i="7" s="1"/>
  <c r="E64" i="7"/>
  <c r="F50" i="7" s="1"/>
  <c r="F53" i="7" s="1"/>
  <c r="F64" i="7"/>
  <c r="G50" i="7" s="1"/>
  <c r="G53" i="7" s="1"/>
  <c r="E48" i="7"/>
  <c r="F48" i="7"/>
  <c r="G48" i="7"/>
  <c r="G62" i="7" s="1"/>
  <c r="G65" i="7" s="1"/>
  <c r="E49" i="7"/>
  <c r="F49" i="7"/>
  <c r="G49" i="7"/>
  <c r="D49" i="7"/>
  <c r="D48" i="7"/>
  <c r="G40" i="7"/>
  <c r="F38" i="7"/>
  <c r="F40" i="7" s="1"/>
  <c r="F42" i="7"/>
  <c r="G29" i="7" s="1"/>
  <c r="G42" i="7" s="1"/>
  <c r="G43" i="7"/>
  <c r="E45" i="7"/>
  <c r="Y179" i="10" l="1"/>
  <c r="Z175" i="10" s="1"/>
  <c r="Y176" i="10"/>
  <c r="AB57" i="10"/>
  <c r="AB59" i="10" s="1"/>
  <c r="AB60" i="10"/>
  <c r="AC56" i="10" s="1"/>
  <c r="G92" i="7"/>
  <c r="K101" i="7"/>
  <c r="L101" i="7" s="1"/>
  <c r="L104" i="1" s="1"/>
  <c r="I199" i="7"/>
  <c r="I206" i="1"/>
  <c r="K107" i="8"/>
  <c r="K84" i="8" s="1"/>
  <c r="L512" i="1" s="1"/>
  <c r="K105" i="8"/>
  <c r="K67" i="8" s="1"/>
  <c r="L503" i="1" s="1"/>
  <c r="I214" i="1"/>
  <c r="H10" i="11" s="1"/>
  <c r="J201" i="7"/>
  <c r="J209" i="1"/>
  <c r="J683" i="1" s="1"/>
  <c r="G107" i="7"/>
  <c r="F109" i="1"/>
  <c r="K54" i="7"/>
  <c r="K62" i="1" s="1"/>
  <c r="J62" i="1"/>
  <c r="I146" i="7"/>
  <c r="I152" i="1" s="1"/>
  <c r="H161" i="1"/>
  <c r="L100" i="7"/>
  <c r="L103" i="1" s="1"/>
  <c r="K103" i="1"/>
  <c r="I114" i="1"/>
  <c r="I128" i="7"/>
  <c r="I155" i="7"/>
  <c r="H158" i="7"/>
  <c r="H152" i="7" s="1"/>
  <c r="J158" i="7"/>
  <c r="I158" i="7"/>
  <c r="I152" i="7" s="1"/>
  <c r="L158" i="7"/>
  <c r="K102" i="7"/>
  <c r="L102" i="7" s="1"/>
  <c r="E106" i="7"/>
  <c r="E108" i="1" s="1"/>
  <c r="G64" i="7"/>
  <c r="H50" i="7" s="1"/>
  <c r="E60" i="7"/>
  <c r="H48" i="7"/>
  <c r="F60" i="7"/>
  <c r="G60" i="7"/>
  <c r="H30" i="7"/>
  <c r="H38" i="1" s="1"/>
  <c r="H29" i="7"/>
  <c r="H37" i="1" s="1"/>
  <c r="D45" i="7"/>
  <c r="F45" i="7"/>
  <c r="G45" i="7"/>
  <c r="C45" i="7"/>
  <c r="D25" i="7"/>
  <c r="H10" i="7"/>
  <c r="H18" i="1" s="1"/>
  <c r="H9" i="7"/>
  <c r="H17" i="1" s="1"/>
  <c r="H14" i="7"/>
  <c r="H22" i="1" s="1"/>
  <c r="E25" i="7"/>
  <c r="F25" i="7"/>
  <c r="G25" i="7"/>
  <c r="C25" i="7"/>
  <c r="G203" i="7"/>
  <c r="F203" i="7"/>
  <c r="E203" i="7"/>
  <c r="D203" i="7"/>
  <c r="C203" i="7"/>
  <c r="G186" i="7"/>
  <c r="F186" i="7"/>
  <c r="C186" i="7"/>
  <c r="D185" i="7"/>
  <c r="E185" i="7" s="1"/>
  <c r="E186" i="7" s="1"/>
  <c r="C170" i="7"/>
  <c r="D170" i="7" s="1"/>
  <c r="E170" i="7" s="1"/>
  <c r="F170" i="7" s="1"/>
  <c r="G170" i="7" s="1"/>
  <c r="C169" i="7"/>
  <c r="D161" i="7" s="1"/>
  <c r="C167" i="7"/>
  <c r="C156" i="7"/>
  <c r="D156" i="7" s="1"/>
  <c r="C153" i="7"/>
  <c r="G133" i="7"/>
  <c r="F133" i="7"/>
  <c r="E133" i="7"/>
  <c r="D133" i="7"/>
  <c r="C130" i="7"/>
  <c r="D115" i="7" s="1"/>
  <c r="D118" i="7" s="1"/>
  <c r="D126" i="7" s="1"/>
  <c r="C115" i="7"/>
  <c r="C118" i="7" s="1"/>
  <c r="C126" i="7" s="1"/>
  <c r="E93" i="7"/>
  <c r="C108" i="7"/>
  <c r="C93" i="7"/>
  <c r="C96" i="7" s="1"/>
  <c r="C104" i="7" s="1"/>
  <c r="C106" i="1" s="1"/>
  <c r="F81" i="7"/>
  <c r="E47" i="8" s="1"/>
  <c r="E81" i="7"/>
  <c r="D47" i="8" s="1"/>
  <c r="D81" i="7"/>
  <c r="C81" i="7"/>
  <c r="B47" i="8" s="1"/>
  <c r="E79" i="7"/>
  <c r="E78" i="7"/>
  <c r="E75" i="7"/>
  <c r="D75" i="7"/>
  <c r="C75" i="7"/>
  <c r="C71" i="7"/>
  <c r="C70" i="7"/>
  <c r="C64" i="7"/>
  <c r="D50" i="7" s="1"/>
  <c r="D53" i="7" s="1"/>
  <c r="D60" i="7" s="1"/>
  <c r="C50" i="7"/>
  <c r="C53" i="7" s="1"/>
  <c r="C60" i="7" s="1"/>
  <c r="E44" i="7"/>
  <c r="C44" i="7"/>
  <c r="E31" i="7"/>
  <c r="E34" i="7" s="1"/>
  <c r="E40" i="7" s="1"/>
  <c r="D31" i="7"/>
  <c r="C31" i="7"/>
  <c r="C34" i="7" s="1"/>
  <c r="C40" i="7" s="1"/>
  <c r="E24" i="7"/>
  <c r="D24" i="7"/>
  <c r="C24" i="7"/>
  <c r="D20" i="7"/>
  <c r="E11" i="7"/>
  <c r="E14" i="7" s="1"/>
  <c r="E20" i="7" s="1"/>
  <c r="D11" i="7"/>
  <c r="C11" i="7"/>
  <c r="C14" i="7" s="1"/>
  <c r="C20" i="7" s="1"/>
  <c r="C2" i="7"/>
  <c r="Y178" i="10" l="1"/>
  <c r="Z179" i="10"/>
  <c r="AA175" i="10" s="1"/>
  <c r="Z176" i="10"/>
  <c r="Z178" i="10" s="1"/>
  <c r="AC57" i="10"/>
  <c r="AC59" i="10" s="1"/>
  <c r="AC60" i="10"/>
  <c r="AD56" i="10" s="1"/>
  <c r="K104" i="1"/>
  <c r="H138" i="7"/>
  <c r="H137" i="1" s="1"/>
  <c r="D93" i="7"/>
  <c r="D96" i="7" s="1"/>
  <c r="D104" i="7" s="1"/>
  <c r="D106" i="1" s="1"/>
  <c r="C110" i="1"/>
  <c r="H53" i="7"/>
  <c r="H58" i="1"/>
  <c r="I138" i="7"/>
  <c r="I137" i="1" s="1"/>
  <c r="B51" i="8"/>
  <c r="B49" i="8"/>
  <c r="B53" i="8"/>
  <c r="I130" i="7"/>
  <c r="I128" i="1"/>
  <c r="J113" i="7"/>
  <c r="D85" i="7"/>
  <c r="E71" i="7" s="1"/>
  <c r="C47" i="8"/>
  <c r="I158" i="1"/>
  <c r="H71" i="8"/>
  <c r="G109" i="1"/>
  <c r="H92" i="7"/>
  <c r="H95" i="1" s="1"/>
  <c r="D51" i="8"/>
  <c r="D49" i="8"/>
  <c r="D53" i="8"/>
  <c r="H62" i="7"/>
  <c r="H56" i="1"/>
  <c r="E51" i="8"/>
  <c r="E49" i="8"/>
  <c r="E53" i="8"/>
  <c r="H158" i="1"/>
  <c r="H164" i="1" s="1"/>
  <c r="G71" i="8"/>
  <c r="K192" i="7"/>
  <c r="J212" i="1"/>
  <c r="J203" i="7"/>
  <c r="K198" i="7"/>
  <c r="J195" i="7"/>
  <c r="I210" i="1"/>
  <c r="J146" i="7"/>
  <c r="J152" i="1" s="1"/>
  <c r="I161" i="1"/>
  <c r="L54" i="7"/>
  <c r="L62" i="1" s="1"/>
  <c r="J152" i="7"/>
  <c r="J155" i="7"/>
  <c r="E156" i="7"/>
  <c r="E157" i="7" s="1"/>
  <c r="D157" i="7"/>
  <c r="D169" i="7"/>
  <c r="C172" i="7"/>
  <c r="F91" i="7"/>
  <c r="E109" i="7"/>
  <c r="E108" i="7"/>
  <c r="E110" i="1" s="1"/>
  <c r="E96" i="7"/>
  <c r="E104" i="7" s="1"/>
  <c r="E106" i="1" s="1"/>
  <c r="E80" i="7"/>
  <c r="E82" i="7" s="1"/>
  <c r="C84" i="7"/>
  <c r="D70" i="7" s="1"/>
  <c r="C82" i="7"/>
  <c r="D82" i="7"/>
  <c r="H11" i="7"/>
  <c r="H19" i="1" s="1"/>
  <c r="L25" i="7"/>
  <c r="H25" i="7"/>
  <c r="H19" i="7" s="1"/>
  <c r="K25" i="7"/>
  <c r="J25" i="7"/>
  <c r="I25" i="7"/>
  <c r="J45" i="7"/>
  <c r="L45" i="7"/>
  <c r="I45" i="7"/>
  <c r="K45" i="7"/>
  <c r="H31" i="7"/>
  <c r="D186" i="7"/>
  <c r="E178" i="7" s="1"/>
  <c r="E182" i="7" s="1"/>
  <c r="C157" i="7"/>
  <c r="H22" i="7"/>
  <c r="H45" i="7"/>
  <c r="H39" i="7" s="1"/>
  <c r="H35" i="7"/>
  <c r="H43" i="1" s="1"/>
  <c r="C72" i="7"/>
  <c r="C171" i="7"/>
  <c r="D164" i="7" s="1"/>
  <c r="D167" i="7" s="1"/>
  <c r="AA179" i="10" l="1"/>
  <c r="AB175" i="10" s="1"/>
  <c r="AA176" i="10"/>
  <c r="K188" i="10"/>
  <c r="AD57" i="10"/>
  <c r="AD59" i="10" s="1"/>
  <c r="AD60" i="10"/>
  <c r="AE56" i="10" s="1"/>
  <c r="E85" i="7"/>
  <c r="H23" i="7"/>
  <c r="H31" i="1" s="1"/>
  <c r="H27" i="1"/>
  <c r="K146" i="7"/>
  <c r="K152" i="1" s="1"/>
  <c r="J161" i="1"/>
  <c r="I9" i="7"/>
  <c r="I17" i="1" s="1"/>
  <c r="H30" i="1"/>
  <c r="K201" i="7"/>
  <c r="K209" i="1"/>
  <c r="H74" i="8"/>
  <c r="H76" i="8"/>
  <c r="H72" i="8"/>
  <c r="H43" i="7"/>
  <c r="H51" i="1" s="1"/>
  <c r="H47" i="1"/>
  <c r="J158" i="1"/>
  <c r="I71" i="8"/>
  <c r="J206" i="1"/>
  <c r="J199" i="7"/>
  <c r="J214" i="1"/>
  <c r="I10" i="11" s="1"/>
  <c r="J138" i="7"/>
  <c r="J137" i="1" s="1"/>
  <c r="I164" i="1"/>
  <c r="G51" i="8"/>
  <c r="I48" i="7"/>
  <c r="H69" i="1"/>
  <c r="C51" i="8"/>
  <c r="C53" i="8"/>
  <c r="C49" i="8"/>
  <c r="H34" i="7"/>
  <c r="H42" i="1" s="1"/>
  <c r="H39" i="1"/>
  <c r="G74" i="8"/>
  <c r="G76" i="8"/>
  <c r="G72" i="8"/>
  <c r="J114" i="1"/>
  <c r="J128" i="7"/>
  <c r="H59" i="7"/>
  <c r="H61" i="1"/>
  <c r="I130" i="1"/>
  <c r="J115" i="7"/>
  <c r="D171" i="7"/>
  <c r="E164" i="7" s="1"/>
  <c r="E167" i="7" s="1"/>
  <c r="E161" i="7"/>
  <c r="H125" i="7"/>
  <c r="H125" i="1" s="1"/>
  <c r="K152" i="7"/>
  <c r="K155" i="7"/>
  <c r="K161" i="1" s="1"/>
  <c r="F156" i="7"/>
  <c r="F157" i="7" s="1"/>
  <c r="D172" i="7"/>
  <c r="E169" i="7"/>
  <c r="F149" i="7"/>
  <c r="F153" i="7" s="1"/>
  <c r="D149" i="7"/>
  <c r="C86" i="7"/>
  <c r="D72" i="7" s="1"/>
  <c r="F106" i="7"/>
  <c r="F108" i="1" s="1"/>
  <c r="C143" i="7"/>
  <c r="D84" i="7"/>
  <c r="E70" i="7" s="1"/>
  <c r="E84" i="7" s="1"/>
  <c r="E86" i="7" s="1"/>
  <c r="F72" i="7" s="1"/>
  <c r="F75" i="7" s="1"/>
  <c r="C87" i="7"/>
  <c r="F85" i="7"/>
  <c r="F71" i="7"/>
  <c r="H20" i="7"/>
  <c r="H42" i="7"/>
  <c r="I30" i="7"/>
  <c r="I38" i="1" s="1"/>
  <c r="H24" i="7"/>
  <c r="I10" i="7"/>
  <c r="G64" i="8" l="1"/>
  <c r="H500" i="1" s="1"/>
  <c r="H198" i="1"/>
  <c r="G20" i="8"/>
  <c r="H464" i="1" s="1"/>
  <c r="H197" i="1"/>
  <c r="H85" i="8"/>
  <c r="I513" i="1" s="1"/>
  <c r="I199" i="1"/>
  <c r="H64" i="8"/>
  <c r="I500" i="1" s="1"/>
  <c r="I198" i="1"/>
  <c r="G85" i="8"/>
  <c r="H513" i="1" s="1"/>
  <c r="H199" i="1"/>
  <c r="H20" i="8"/>
  <c r="I464" i="1" s="1"/>
  <c r="I197" i="1"/>
  <c r="AB179" i="10"/>
  <c r="AC175" i="10" s="1"/>
  <c r="AB176" i="10"/>
  <c r="AB178" i="10" s="1"/>
  <c r="K190" i="10"/>
  <c r="AA178" i="10"/>
  <c r="AE60" i="10"/>
  <c r="AF56" i="10" s="1"/>
  <c r="AE57" i="10"/>
  <c r="AE59" i="10" s="1"/>
  <c r="J164" i="1"/>
  <c r="H40" i="7"/>
  <c r="H48" i="1" s="1"/>
  <c r="I22" i="7"/>
  <c r="J9" i="7" s="1"/>
  <c r="J23" i="1" s="1"/>
  <c r="I19" i="7"/>
  <c r="G49" i="8"/>
  <c r="G53" i="8"/>
  <c r="J118" i="7"/>
  <c r="J116" i="1"/>
  <c r="H51" i="8"/>
  <c r="I51" i="8" s="1"/>
  <c r="K195" i="7"/>
  <c r="J210" i="1"/>
  <c r="J128" i="1"/>
  <c r="J130" i="7"/>
  <c r="K113" i="7"/>
  <c r="I14" i="7"/>
  <c r="I22" i="1" s="1"/>
  <c r="H28" i="1"/>
  <c r="K158" i="1"/>
  <c r="K164" i="1" s="1"/>
  <c r="J71" i="8"/>
  <c r="H60" i="7"/>
  <c r="H67" i="1" s="1"/>
  <c r="H66" i="1"/>
  <c r="H65" i="7"/>
  <c r="H63" i="7"/>
  <c r="I23" i="7"/>
  <c r="I31" i="1" s="1"/>
  <c r="I27" i="1"/>
  <c r="I29" i="7"/>
  <c r="I31" i="7" s="1"/>
  <c r="H50" i="1"/>
  <c r="I11" i="7"/>
  <c r="I19" i="1" s="1"/>
  <c r="I18" i="1"/>
  <c r="I62" i="7"/>
  <c r="I56" i="1"/>
  <c r="I74" i="8"/>
  <c r="I72" i="8"/>
  <c r="I76" i="8"/>
  <c r="H134" i="7"/>
  <c r="H32" i="1"/>
  <c r="L192" i="7"/>
  <c r="K212" i="1"/>
  <c r="K203" i="7"/>
  <c r="L198" i="7"/>
  <c r="L146" i="7"/>
  <c r="L152" i="1" s="1"/>
  <c r="L155" i="7"/>
  <c r="L161" i="1" s="1"/>
  <c r="L164" i="1" s="1"/>
  <c r="H131" i="7"/>
  <c r="H126" i="7"/>
  <c r="H126" i="1" s="1"/>
  <c r="E171" i="7"/>
  <c r="F161" i="7"/>
  <c r="H129" i="7"/>
  <c r="H129" i="1" s="1"/>
  <c r="G156" i="7"/>
  <c r="D153" i="7"/>
  <c r="F169" i="7"/>
  <c r="E172" i="7"/>
  <c r="D143" i="7"/>
  <c r="E149" i="7"/>
  <c r="D86" i="7"/>
  <c r="E72" i="7" s="1"/>
  <c r="G149" i="7"/>
  <c r="G153" i="7" s="1"/>
  <c r="D87" i="7"/>
  <c r="F109" i="7"/>
  <c r="G91" i="7"/>
  <c r="F108" i="7"/>
  <c r="F110" i="1" s="1"/>
  <c r="F70" i="7"/>
  <c r="E87" i="7"/>
  <c r="G85" i="7"/>
  <c r="G71" i="7"/>
  <c r="G76" i="1" s="1"/>
  <c r="I20" i="7"/>
  <c r="H44" i="7"/>
  <c r="H52" i="1" s="1"/>
  <c r="I24" i="7"/>
  <c r="H200" i="1" l="1"/>
  <c r="H631" i="1" s="1"/>
  <c r="I200" i="1"/>
  <c r="I64" i="8"/>
  <c r="J500" i="1" s="1"/>
  <c r="J198" i="1"/>
  <c r="I85" i="8"/>
  <c r="J513" i="1" s="1"/>
  <c r="J199" i="1"/>
  <c r="I20" i="8"/>
  <c r="J464" i="1" s="1"/>
  <c r="J197" i="1"/>
  <c r="AC179" i="10"/>
  <c r="AD175" i="10" s="1"/>
  <c r="AC176" i="10"/>
  <c r="AC178" i="10" s="1"/>
  <c r="AF57" i="10"/>
  <c r="AF59" i="10" s="1"/>
  <c r="AF60" i="10"/>
  <c r="AG56" i="10" s="1"/>
  <c r="I30" i="1"/>
  <c r="J10" i="7"/>
  <c r="I35" i="7"/>
  <c r="I43" i="1" s="1"/>
  <c r="J51" i="8"/>
  <c r="K51" i="8" s="1"/>
  <c r="J48" i="7"/>
  <c r="I69" i="1"/>
  <c r="H70" i="1"/>
  <c r="I49" i="7"/>
  <c r="I57" i="1" s="1"/>
  <c r="H64" i="7"/>
  <c r="K128" i="7"/>
  <c r="K114" i="1"/>
  <c r="J11" i="7"/>
  <c r="J19" i="1" s="1"/>
  <c r="J18" i="1"/>
  <c r="I134" i="7"/>
  <c r="I32" i="1"/>
  <c r="J119" i="1"/>
  <c r="J125" i="7"/>
  <c r="K115" i="7"/>
  <c r="J130" i="1"/>
  <c r="H53" i="8"/>
  <c r="H133" i="1"/>
  <c r="I34" i="7"/>
  <c r="I42" i="1" s="1"/>
  <c r="I39" i="1"/>
  <c r="H49" i="8"/>
  <c r="J14" i="7"/>
  <c r="J22" i="1" s="1"/>
  <c r="I28" i="1"/>
  <c r="H71" i="7"/>
  <c r="G89" i="1"/>
  <c r="L201" i="7"/>
  <c r="L209" i="1"/>
  <c r="L683" i="1" s="1"/>
  <c r="I39" i="7"/>
  <c r="I37" i="1"/>
  <c r="J74" i="8"/>
  <c r="J76" i="8"/>
  <c r="J72" i="8"/>
  <c r="K206" i="1"/>
  <c r="K199" i="7"/>
  <c r="K214" i="1"/>
  <c r="J10" i="11" s="1"/>
  <c r="K138" i="7"/>
  <c r="K137" i="1" s="1"/>
  <c r="J19" i="7"/>
  <c r="J17" i="1"/>
  <c r="F171" i="7"/>
  <c r="G161" i="7"/>
  <c r="I114" i="7"/>
  <c r="I115" i="1" s="1"/>
  <c r="H130" i="7"/>
  <c r="E153" i="7"/>
  <c r="H156" i="7"/>
  <c r="H162" i="1" s="1"/>
  <c r="G157" i="7"/>
  <c r="H149" i="7" s="1"/>
  <c r="F172" i="7"/>
  <c r="G169" i="7"/>
  <c r="F164" i="7"/>
  <c r="E143" i="7"/>
  <c r="G106" i="7"/>
  <c r="G108" i="1" s="1"/>
  <c r="F76" i="7"/>
  <c r="J22" i="7"/>
  <c r="I37" i="7"/>
  <c r="J200" i="1" l="1"/>
  <c r="J64" i="8"/>
  <c r="K500" i="1" s="1"/>
  <c r="K198" i="1"/>
  <c r="J20" i="8"/>
  <c r="K464" i="1" s="1"/>
  <c r="K197" i="1"/>
  <c r="J85" i="8"/>
  <c r="K513" i="1" s="1"/>
  <c r="K199" i="1"/>
  <c r="AD179" i="10"/>
  <c r="AE175" i="10" s="1"/>
  <c r="AD176" i="10"/>
  <c r="AD178" i="10" s="1"/>
  <c r="L188" i="10"/>
  <c r="AG57" i="10"/>
  <c r="AG59" i="10" s="1"/>
  <c r="AG60" i="10"/>
  <c r="AH56" i="10" s="1"/>
  <c r="J27" i="1"/>
  <c r="I115" i="7"/>
  <c r="H130" i="1"/>
  <c r="I133" i="1"/>
  <c r="K128" i="1"/>
  <c r="K130" i="7"/>
  <c r="L113" i="7"/>
  <c r="I43" i="7"/>
  <c r="I47" i="1"/>
  <c r="I50" i="7"/>
  <c r="H135" i="7"/>
  <c r="H71" i="1"/>
  <c r="I45" i="1"/>
  <c r="H21" i="8"/>
  <c r="I465" i="1" s="1"/>
  <c r="I635" i="1" s="1"/>
  <c r="L195" i="7"/>
  <c r="K210" i="1"/>
  <c r="L203" i="7"/>
  <c r="L212" i="1"/>
  <c r="I49" i="8"/>
  <c r="K118" i="7"/>
  <c r="K116" i="1"/>
  <c r="I53" i="8"/>
  <c r="J53" i="8" s="1"/>
  <c r="J23" i="7"/>
  <c r="J24" i="7" s="1"/>
  <c r="K9" i="7"/>
  <c r="J30" i="1"/>
  <c r="H153" i="7"/>
  <c r="H159" i="1" s="1"/>
  <c r="H155" i="1"/>
  <c r="H79" i="7"/>
  <c r="H84" i="1" s="1"/>
  <c r="H76" i="1"/>
  <c r="J126" i="7"/>
  <c r="J126" i="1" s="1"/>
  <c r="J125" i="1"/>
  <c r="J131" i="7"/>
  <c r="J62" i="7"/>
  <c r="J56" i="1"/>
  <c r="J20" i="7"/>
  <c r="F167" i="7"/>
  <c r="H169" i="7"/>
  <c r="H161" i="7"/>
  <c r="H167" i="1" s="1"/>
  <c r="G171" i="7"/>
  <c r="H157" i="7"/>
  <c r="H163" i="1" s="1"/>
  <c r="I156" i="7"/>
  <c r="I162" i="1" s="1"/>
  <c r="G164" i="7"/>
  <c r="G167" i="7" s="1"/>
  <c r="F143" i="7"/>
  <c r="G172" i="7"/>
  <c r="G109" i="7"/>
  <c r="H91" i="7"/>
  <c r="H94" i="1" s="1"/>
  <c r="G108" i="7"/>
  <c r="F82" i="7"/>
  <c r="F84" i="7"/>
  <c r="K22" i="7"/>
  <c r="I38" i="7"/>
  <c r="I42" i="7"/>
  <c r="I50" i="1" s="1"/>
  <c r="K200" i="1" l="1"/>
  <c r="L190" i="10"/>
  <c r="AE179" i="10"/>
  <c r="AF175" i="10" s="1"/>
  <c r="AE176" i="10"/>
  <c r="AH57" i="10"/>
  <c r="AH59" i="10" s="1"/>
  <c r="AH60" i="10"/>
  <c r="AI56" i="10" s="1"/>
  <c r="K53" i="8"/>
  <c r="I169" i="7"/>
  <c r="H175" i="1"/>
  <c r="I53" i="7"/>
  <c r="I58" i="1"/>
  <c r="L138" i="7"/>
  <c r="L137" i="1" s="1"/>
  <c r="L214" i="1"/>
  <c r="K10" i="11" s="1"/>
  <c r="L9" i="7"/>
  <c r="L22" i="7" s="1"/>
  <c r="L30" i="1" s="1"/>
  <c r="K30" i="1"/>
  <c r="J134" i="7"/>
  <c r="J32" i="1"/>
  <c r="K19" i="7"/>
  <c r="K17" i="1"/>
  <c r="K10" i="7"/>
  <c r="K18" i="1" s="1"/>
  <c r="J31" i="1"/>
  <c r="J49" i="8"/>
  <c r="K49" i="8" s="1"/>
  <c r="L206" i="1"/>
  <c r="L199" i="7"/>
  <c r="L210" i="1" s="1"/>
  <c r="I51" i="1"/>
  <c r="J30" i="7"/>
  <c r="J38" i="1" s="1"/>
  <c r="K14" i="7"/>
  <c r="J28" i="1"/>
  <c r="I118" i="7"/>
  <c r="I116" i="1"/>
  <c r="H93" i="7"/>
  <c r="G110" i="1"/>
  <c r="I40" i="7"/>
  <c r="I48" i="1" s="1"/>
  <c r="I46" i="1"/>
  <c r="L128" i="7"/>
  <c r="L114" i="1"/>
  <c r="K48" i="7"/>
  <c r="K56" i="1" s="1"/>
  <c r="J69" i="1"/>
  <c r="K119" i="1"/>
  <c r="K125" i="7"/>
  <c r="K126" i="7"/>
  <c r="K126" i="1" s="1"/>
  <c r="L115" i="7"/>
  <c r="K130" i="1"/>
  <c r="H134" i="1"/>
  <c r="I161" i="7"/>
  <c r="I167" i="1" s="1"/>
  <c r="I149" i="7"/>
  <c r="G143" i="7"/>
  <c r="H164" i="7"/>
  <c r="I157" i="7"/>
  <c r="I163" i="1" s="1"/>
  <c r="J156" i="7"/>
  <c r="J162" i="1" s="1"/>
  <c r="H97" i="7"/>
  <c r="L19" i="7"/>
  <c r="F87" i="7"/>
  <c r="G70" i="7"/>
  <c r="G75" i="1" s="1"/>
  <c r="F86" i="7"/>
  <c r="G72" i="7" s="1"/>
  <c r="J29" i="7"/>
  <c r="J37" i="1" s="1"/>
  <c r="I44" i="7"/>
  <c r="I52" i="1" s="1"/>
  <c r="AE178" i="10" l="1"/>
  <c r="AF179" i="10"/>
  <c r="AG175" i="10" s="1"/>
  <c r="AF176" i="10"/>
  <c r="AF178" i="10" s="1"/>
  <c r="AI57" i="10"/>
  <c r="AI59" i="10" s="1"/>
  <c r="AI60" i="10"/>
  <c r="AJ56" i="10" s="1"/>
  <c r="L27" i="1"/>
  <c r="K131" i="7"/>
  <c r="K125" i="1"/>
  <c r="H106" i="7"/>
  <c r="H108" i="1" s="1"/>
  <c r="H100" i="1"/>
  <c r="H682" i="1" s="1"/>
  <c r="K23" i="7"/>
  <c r="K27" i="1"/>
  <c r="I61" i="1"/>
  <c r="I59" i="7"/>
  <c r="H96" i="7"/>
  <c r="H99" i="1" s="1"/>
  <c r="H96" i="1"/>
  <c r="I153" i="7"/>
  <c r="I159" i="1" s="1"/>
  <c r="I155" i="1"/>
  <c r="J133" i="1"/>
  <c r="J161" i="7"/>
  <c r="J167" i="1" s="1"/>
  <c r="I175" i="1"/>
  <c r="G75" i="7"/>
  <c r="G80" i="1" s="1"/>
  <c r="G77" i="1"/>
  <c r="I119" i="1"/>
  <c r="I125" i="7"/>
  <c r="L130" i="7"/>
  <c r="L130" i="1" s="1"/>
  <c r="L128" i="1"/>
  <c r="L17" i="1"/>
  <c r="L118" i="7"/>
  <c r="L116" i="1"/>
  <c r="H166" i="7"/>
  <c r="H172" i="1" s="1"/>
  <c r="H178" i="1" s="1"/>
  <c r="H170" i="1"/>
  <c r="K22" i="1"/>
  <c r="K20" i="7"/>
  <c r="K11" i="7"/>
  <c r="K19" i="1" s="1"/>
  <c r="J149" i="7"/>
  <c r="J157" i="7"/>
  <c r="J163" i="1" s="1"/>
  <c r="K156" i="7"/>
  <c r="K162" i="1" s="1"/>
  <c r="I91" i="7"/>
  <c r="I94" i="1" s="1"/>
  <c r="G76" i="7"/>
  <c r="J35" i="7"/>
  <c r="J31" i="7"/>
  <c r="J39" i="7"/>
  <c r="AG179" i="10" l="1"/>
  <c r="AH175" i="10" s="1"/>
  <c r="AG176" i="10"/>
  <c r="AJ57" i="10"/>
  <c r="AJ59" i="10" s="1"/>
  <c r="AJ60" i="10"/>
  <c r="AK56" i="10" s="1"/>
  <c r="H172" i="7"/>
  <c r="H167" i="7"/>
  <c r="H173" i="1" s="1"/>
  <c r="J42" i="7"/>
  <c r="J50" i="1" s="1"/>
  <c r="J43" i="1"/>
  <c r="J34" i="7"/>
  <c r="J42" i="1" s="1"/>
  <c r="J39" i="1"/>
  <c r="L14" i="7"/>
  <c r="K28" i="1"/>
  <c r="I60" i="7"/>
  <c r="I67" i="1" s="1"/>
  <c r="I66" i="1"/>
  <c r="I63" i="7"/>
  <c r="I65" i="7"/>
  <c r="I131" i="7"/>
  <c r="I125" i="1"/>
  <c r="G82" i="7"/>
  <c r="G86" i="1" s="1"/>
  <c r="G81" i="1"/>
  <c r="G682" i="1" s="1"/>
  <c r="H170" i="7"/>
  <c r="H176" i="1" s="1"/>
  <c r="L119" i="1"/>
  <c r="L125" i="7"/>
  <c r="L126" i="7" s="1"/>
  <c r="L126" i="1" s="1"/>
  <c r="L10" i="7"/>
  <c r="K31" i="1"/>
  <c r="K24" i="7"/>
  <c r="L23" i="7"/>
  <c r="J153" i="7"/>
  <c r="J159" i="1" s="1"/>
  <c r="J155" i="1"/>
  <c r="J43" i="7"/>
  <c r="J51" i="1" s="1"/>
  <c r="J47" i="1"/>
  <c r="H103" i="7"/>
  <c r="H109" i="7" s="1"/>
  <c r="I126" i="7"/>
  <c r="I126" i="1" s="1"/>
  <c r="K149" i="7"/>
  <c r="L156" i="7"/>
  <c r="K157" i="7"/>
  <c r="K163" i="1" s="1"/>
  <c r="I97" i="7"/>
  <c r="G84" i="7"/>
  <c r="G88" i="1" s="1"/>
  <c r="K29" i="7"/>
  <c r="K37" i="1" s="1"/>
  <c r="G15" i="13" l="1"/>
  <c r="D23" i="14" s="1"/>
  <c r="AG178" i="10"/>
  <c r="AH179" i="10"/>
  <c r="AI175" i="10" s="1"/>
  <c r="AH176" i="10"/>
  <c r="AH178" i="10" s="1"/>
  <c r="AK57" i="10"/>
  <c r="AK59" i="10" s="1"/>
  <c r="AK60" i="10"/>
  <c r="AL56" i="10" s="1"/>
  <c r="K30" i="7"/>
  <c r="K38" i="1" s="1"/>
  <c r="J44" i="7"/>
  <c r="J52" i="1" s="1"/>
  <c r="J40" i="7"/>
  <c r="J48" i="1" s="1"/>
  <c r="H171" i="7"/>
  <c r="H143" i="7" s="1"/>
  <c r="H107" i="7"/>
  <c r="H109" i="1" s="1"/>
  <c r="K32" i="1"/>
  <c r="K134" i="7"/>
  <c r="H104" i="7"/>
  <c r="H106" i="1" s="1"/>
  <c r="H105" i="1"/>
  <c r="L22" i="1"/>
  <c r="L20" i="7"/>
  <c r="L28" i="1" s="1"/>
  <c r="L31" i="1"/>
  <c r="L24" i="7"/>
  <c r="L18" i="1"/>
  <c r="L11" i="7"/>
  <c r="L19" i="1" s="1"/>
  <c r="L131" i="7"/>
  <c r="L125" i="1"/>
  <c r="L157" i="7"/>
  <c r="L163" i="1" s="1"/>
  <c r="L162" i="1"/>
  <c r="I70" i="1"/>
  <c r="I64" i="7"/>
  <c r="J49" i="7"/>
  <c r="J57" i="1" s="1"/>
  <c r="I164" i="7"/>
  <c r="I170" i="1" s="1"/>
  <c r="I106" i="7"/>
  <c r="I108" i="1" s="1"/>
  <c r="I100" i="1"/>
  <c r="K153" i="7"/>
  <c r="K159" i="1" s="1"/>
  <c r="K155" i="1"/>
  <c r="L149" i="7"/>
  <c r="I92" i="7"/>
  <c r="I95" i="1" s="1"/>
  <c r="H108" i="7"/>
  <c r="G87" i="7"/>
  <c r="H70" i="7"/>
  <c r="G86" i="7"/>
  <c r="K31" i="7"/>
  <c r="K39" i="7"/>
  <c r="K35" i="7"/>
  <c r="AI179" i="10" l="1"/>
  <c r="AJ175" i="10" s="1"/>
  <c r="AI176" i="10"/>
  <c r="M188" i="10"/>
  <c r="AL57" i="10"/>
  <c r="AL59" i="10" s="1"/>
  <c r="AL60" i="10"/>
  <c r="AM56" i="10" s="1"/>
  <c r="J91" i="7"/>
  <c r="H177" i="1"/>
  <c r="H149" i="1" s="1"/>
  <c r="G9" i="11" s="1"/>
  <c r="L32" i="1"/>
  <c r="L134" i="7"/>
  <c r="K42" i="7"/>
  <c r="K50" i="1" s="1"/>
  <c r="K43" i="1"/>
  <c r="I93" i="7"/>
  <c r="H110" i="1"/>
  <c r="H137" i="7"/>
  <c r="H78" i="7"/>
  <c r="H83" i="1" s="1"/>
  <c r="H683" i="1" s="1"/>
  <c r="H75" i="1"/>
  <c r="J50" i="7"/>
  <c r="I135" i="7"/>
  <c r="I71" i="1"/>
  <c r="K34" i="7"/>
  <c r="K42" i="1" s="1"/>
  <c r="K39" i="1"/>
  <c r="J97" i="7"/>
  <c r="J94" i="1"/>
  <c r="K43" i="7"/>
  <c r="K51" i="1" s="1"/>
  <c r="K47" i="1"/>
  <c r="L153" i="7"/>
  <c r="L159" i="1" s="1"/>
  <c r="L155" i="1"/>
  <c r="I166" i="7"/>
  <c r="H72" i="7"/>
  <c r="G90" i="1"/>
  <c r="K133" i="1"/>
  <c r="I170" i="7"/>
  <c r="I176" i="1" s="1"/>
  <c r="H87" i="7"/>
  <c r="H81" i="7" s="1"/>
  <c r="L87" i="7"/>
  <c r="K87" i="7"/>
  <c r="J87" i="7"/>
  <c r="I87" i="7"/>
  <c r="K40" i="7"/>
  <c r="K48" i="1" s="1"/>
  <c r="L29" i="7"/>
  <c r="L37" i="1" s="1"/>
  <c r="K44" i="7"/>
  <c r="K52" i="1" s="1"/>
  <c r="M190" i="10" l="1"/>
  <c r="AJ179" i="10"/>
  <c r="AK175" i="10" s="1"/>
  <c r="AJ176" i="10"/>
  <c r="AJ178" i="10" s="1"/>
  <c r="AI178" i="10"/>
  <c r="AM60" i="10"/>
  <c r="AN56" i="10" s="1"/>
  <c r="AM57" i="10"/>
  <c r="AM59" i="10" s="1"/>
  <c r="L30" i="7"/>
  <c r="L38" i="1" s="1"/>
  <c r="H136" i="1"/>
  <c r="H140" i="1" s="1"/>
  <c r="H133" i="7"/>
  <c r="H4" i="7"/>
  <c r="H10" i="1" s="1"/>
  <c r="I167" i="7"/>
  <c r="I173" i="1" s="1"/>
  <c r="I172" i="1"/>
  <c r="I178" i="1" s="1"/>
  <c r="I96" i="7"/>
  <c r="I96" i="1"/>
  <c r="I134" i="1"/>
  <c r="H75" i="7"/>
  <c r="H80" i="1" s="1"/>
  <c r="H77" i="1"/>
  <c r="J106" i="7"/>
  <c r="J100" i="1"/>
  <c r="H85" i="7"/>
  <c r="H89" i="1" s="1"/>
  <c r="H85" i="1"/>
  <c r="G47" i="8"/>
  <c r="L133" i="1"/>
  <c r="I172" i="7"/>
  <c r="J53" i="7"/>
  <c r="J58" i="1"/>
  <c r="H80" i="7"/>
  <c r="G21" i="8" s="1"/>
  <c r="H465" i="1" s="1"/>
  <c r="H635" i="1" s="1"/>
  <c r="H84" i="7"/>
  <c r="H88" i="1" s="1"/>
  <c r="I171" i="7"/>
  <c r="I85" i="7"/>
  <c r="I89" i="1" s="1"/>
  <c r="L80" i="7"/>
  <c r="L39" i="7"/>
  <c r="L35" i="7"/>
  <c r="L43" i="1" s="1"/>
  <c r="AK179" i="10" l="1"/>
  <c r="AL175" i="10" s="1"/>
  <c r="AL179" i="10" s="1"/>
  <c r="AK176" i="10"/>
  <c r="AK178" i="10" s="1"/>
  <c r="AN57" i="10"/>
  <c r="AN59" i="10" s="1"/>
  <c r="AN60" i="10"/>
  <c r="AO56" i="10" s="1"/>
  <c r="I71" i="7"/>
  <c r="I76" i="1" s="1"/>
  <c r="L31" i="7"/>
  <c r="H82" i="7"/>
  <c r="H86" i="1" s="1"/>
  <c r="G50" i="8"/>
  <c r="G63" i="8" s="1"/>
  <c r="H499" i="1" s="1"/>
  <c r="G48" i="8"/>
  <c r="G19" i="8" s="1"/>
  <c r="H463" i="1" s="1"/>
  <c r="G52" i="8"/>
  <c r="G83" i="8" s="1"/>
  <c r="I70" i="7"/>
  <c r="I75" i="1" s="1"/>
  <c r="L43" i="7"/>
  <c r="L51" i="1" s="1"/>
  <c r="L47" i="1"/>
  <c r="J61" i="1"/>
  <c r="J59" i="7"/>
  <c r="I99" i="1"/>
  <c r="I103" i="7"/>
  <c r="H86" i="7"/>
  <c r="H90" i="1" s="1"/>
  <c r="L34" i="7"/>
  <c r="L42" i="1" s="1"/>
  <c r="L39" i="1"/>
  <c r="J108" i="1"/>
  <c r="K91" i="7"/>
  <c r="I143" i="7"/>
  <c r="I177" i="1"/>
  <c r="I149" i="1" s="1"/>
  <c r="H9" i="11" s="1"/>
  <c r="J164" i="7"/>
  <c r="J71" i="7"/>
  <c r="J76" i="1" s="1"/>
  <c r="J85" i="7"/>
  <c r="J89" i="1" s="1"/>
  <c r="I76" i="7"/>
  <c r="N188" i="10" l="1"/>
  <c r="N190" i="10" s="1"/>
  <c r="AO57" i="10"/>
  <c r="AO59" i="10" s="1"/>
  <c r="AO60" i="10"/>
  <c r="AP56" i="10" s="1"/>
  <c r="H3" i="7"/>
  <c r="I72" i="7"/>
  <c r="I75" i="7" s="1"/>
  <c r="L37" i="7"/>
  <c r="L45" i="1" s="1"/>
  <c r="J165" i="7"/>
  <c r="J166" i="7" s="1"/>
  <c r="J170" i="1"/>
  <c r="I84" i="7"/>
  <c r="I88" i="1" s="1"/>
  <c r="I81" i="1"/>
  <c r="I682" i="1" s="1"/>
  <c r="I589" i="1" s="1"/>
  <c r="H15" i="13" s="1"/>
  <c r="E23" i="14" s="1"/>
  <c r="I104" i="7"/>
  <c r="I106" i="1" s="1"/>
  <c r="I105" i="1"/>
  <c r="H47" i="8"/>
  <c r="I107" i="7"/>
  <c r="I109" i="7"/>
  <c r="H2" i="7"/>
  <c r="H8" i="1" s="1"/>
  <c r="G8" i="11" s="1"/>
  <c r="G15" i="11" s="1"/>
  <c r="H9" i="1"/>
  <c r="G96" i="8"/>
  <c r="J60" i="7"/>
  <c r="J67" i="1" s="1"/>
  <c r="J66" i="1"/>
  <c r="J65" i="7"/>
  <c r="J63" i="7"/>
  <c r="H511" i="1"/>
  <c r="G90" i="8"/>
  <c r="K97" i="7"/>
  <c r="K94" i="1"/>
  <c r="K71" i="7"/>
  <c r="K85" i="7"/>
  <c r="K89" i="1" s="1"/>
  <c r="L42" i="7"/>
  <c r="AP57" i="10" l="1"/>
  <c r="AP59" i="10" s="1"/>
  <c r="AP60" i="10"/>
  <c r="AQ56" i="10" s="1"/>
  <c r="K21" i="8"/>
  <c r="L465" i="1" s="1"/>
  <c r="L635" i="1" s="1"/>
  <c r="L38" i="7"/>
  <c r="L46" i="1" s="1"/>
  <c r="I77" i="1"/>
  <c r="I80" i="1"/>
  <c r="I82" i="7"/>
  <c r="I86" i="1" s="1"/>
  <c r="J167" i="7"/>
  <c r="J173" i="1" s="1"/>
  <c r="J172" i="1"/>
  <c r="I109" i="1"/>
  <c r="I108" i="7"/>
  <c r="J92" i="7"/>
  <c r="J95" i="1" s="1"/>
  <c r="L40" i="7"/>
  <c r="L48" i="1" s="1"/>
  <c r="H524" i="1"/>
  <c r="G100" i="8"/>
  <c r="H50" i="8"/>
  <c r="H63" i="8" s="1"/>
  <c r="I499" i="1" s="1"/>
  <c r="H48" i="8"/>
  <c r="H19" i="8" s="1"/>
  <c r="I463" i="1" s="1"/>
  <c r="H52" i="8"/>
  <c r="H83" i="8" s="1"/>
  <c r="K106" i="7"/>
  <c r="K100" i="1"/>
  <c r="K682" i="1" s="1"/>
  <c r="K589" i="1" s="1"/>
  <c r="J15" i="13" s="1"/>
  <c r="G23" i="14" s="1"/>
  <c r="L44" i="7"/>
  <c r="L52" i="1" s="1"/>
  <c r="L50" i="1"/>
  <c r="H518" i="1"/>
  <c r="G11" i="9"/>
  <c r="J70" i="7"/>
  <c r="J75" i="1" s="1"/>
  <c r="J70" i="1"/>
  <c r="J64" i="7"/>
  <c r="K49" i="7"/>
  <c r="K57" i="1" s="1"/>
  <c r="K79" i="7"/>
  <c r="K84" i="1" s="1"/>
  <c r="K76" i="1"/>
  <c r="I86" i="7"/>
  <c r="I90" i="1" s="1"/>
  <c r="J169" i="7"/>
  <c r="J172" i="7" s="1"/>
  <c r="J171" i="1"/>
  <c r="J170" i="7"/>
  <c r="J176" i="1" s="1"/>
  <c r="L71" i="7"/>
  <c r="L76" i="1" s="1"/>
  <c r="L85" i="7"/>
  <c r="L89" i="1" s="1"/>
  <c r="AQ57" i="10" l="1"/>
  <c r="AQ59" i="10" s="1"/>
  <c r="AQ60" i="10"/>
  <c r="AR56" i="10" s="1"/>
  <c r="J72" i="7"/>
  <c r="J75" i="7" s="1"/>
  <c r="J80" i="1" s="1"/>
  <c r="H528" i="1"/>
  <c r="G12" i="9"/>
  <c r="J76" i="7"/>
  <c r="J81" i="1" s="1"/>
  <c r="J682" i="1" s="1"/>
  <c r="J589" i="1" s="1"/>
  <c r="I15" i="13" s="1"/>
  <c r="F23" i="14" s="1"/>
  <c r="I3" i="7"/>
  <c r="K50" i="7"/>
  <c r="J135" i="7"/>
  <c r="J71" i="1"/>
  <c r="K108" i="1"/>
  <c r="L91" i="7"/>
  <c r="J93" i="7"/>
  <c r="I137" i="7"/>
  <c r="I110" i="1"/>
  <c r="I511" i="1"/>
  <c r="H90" i="8"/>
  <c r="J175" i="1"/>
  <c r="J178" i="1" s="1"/>
  <c r="K161" i="7"/>
  <c r="K167" i="1" s="1"/>
  <c r="K169" i="7"/>
  <c r="J171" i="7"/>
  <c r="J177" i="1" s="1"/>
  <c r="J149" i="1" s="1"/>
  <c r="I9" i="11" s="1"/>
  <c r="J84" i="7"/>
  <c r="J88" i="1" s="1"/>
  <c r="AR57" i="10" l="1"/>
  <c r="AR59" i="10" s="1"/>
  <c r="AR60" i="10"/>
  <c r="AS56" i="10" s="1"/>
  <c r="J77" i="1"/>
  <c r="J82" i="7"/>
  <c r="J86" i="1" s="1"/>
  <c r="K53" i="7"/>
  <c r="K58" i="1"/>
  <c r="H11" i="9"/>
  <c r="I518" i="1"/>
  <c r="I136" i="1"/>
  <c r="I140" i="1" s="1"/>
  <c r="I133" i="7"/>
  <c r="I4" i="7"/>
  <c r="I10" i="1" s="1"/>
  <c r="K175" i="1"/>
  <c r="L161" i="7"/>
  <c r="L167" i="1" s="1"/>
  <c r="L169" i="7"/>
  <c r="L175" i="1" s="1"/>
  <c r="J96" i="7"/>
  <c r="J96" i="1"/>
  <c r="I9" i="1"/>
  <c r="H96" i="8"/>
  <c r="L94" i="1"/>
  <c r="L97" i="7"/>
  <c r="J134" i="1"/>
  <c r="K164" i="7"/>
  <c r="K170" i="1" s="1"/>
  <c r="J143" i="7"/>
  <c r="K70" i="7"/>
  <c r="K75" i="1" s="1"/>
  <c r="J86" i="7"/>
  <c r="J90" i="1" s="1"/>
  <c r="AS57" i="10" l="1"/>
  <c r="AS59" i="10" s="1"/>
  <c r="AS60" i="10"/>
  <c r="AT56" i="10" s="1"/>
  <c r="AT60" i="10" s="1"/>
  <c r="AU56" i="10" s="1"/>
  <c r="AU60" i="10" s="1"/>
  <c r="I2" i="7"/>
  <c r="I8" i="1" s="1"/>
  <c r="H8" i="11" s="1"/>
  <c r="H15" i="11" s="1"/>
  <c r="J99" i="1"/>
  <c r="J103" i="7"/>
  <c r="I524" i="1"/>
  <c r="H100" i="8"/>
  <c r="L106" i="7"/>
  <c r="L108" i="1" s="1"/>
  <c r="L100" i="1"/>
  <c r="K61" i="1"/>
  <c r="K59" i="7"/>
  <c r="K56" i="7"/>
  <c r="K72" i="7"/>
  <c r="K166" i="7"/>
  <c r="K78" i="7"/>
  <c r="K57" i="7" l="1"/>
  <c r="K64" i="1"/>
  <c r="K66" i="1"/>
  <c r="K63" i="7"/>
  <c r="J104" i="7"/>
  <c r="J106" i="1" s="1"/>
  <c r="J105" i="1"/>
  <c r="I47" i="8"/>
  <c r="J107" i="7"/>
  <c r="J109" i="7"/>
  <c r="K80" i="7"/>
  <c r="K83" i="1"/>
  <c r="K75" i="7"/>
  <c r="K80" i="1" s="1"/>
  <c r="K77" i="1"/>
  <c r="I528" i="1"/>
  <c r="H12" i="9"/>
  <c r="K167" i="7"/>
  <c r="K173" i="1" s="1"/>
  <c r="K172" i="1"/>
  <c r="K178" i="1" s="1"/>
  <c r="K82" i="7"/>
  <c r="K86" i="1" s="1"/>
  <c r="K172" i="7"/>
  <c r="K170" i="7"/>
  <c r="K176" i="1" s="1"/>
  <c r="K84" i="7"/>
  <c r="K88" i="1" s="1"/>
  <c r="K683" i="1" l="1"/>
  <c r="K58" i="7"/>
  <c r="K65" i="1"/>
  <c r="I50" i="8"/>
  <c r="I63" i="8" s="1"/>
  <c r="J499" i="1" s="1"/>
  <c r="I52" i="8"/>
  <c r="I83" i="8" s="1"/>
  <c r="I48" i="8"/>
  <c r="I19" i="8" s="1"/>
  <c r="J463" i="1" s="1"/>
  <c r="L49" i="7"/>
  <c r="L57" i="1" s="1"/>
  <c r="K70" i="1"/>
  <c r="J109" i="1"/>
  <c r="K92" i="7"/>
  <c r="K95" i="1" s="1"/>
  <c r="J108" i="7"/>
  <c r="K171" i="7"/>
  <c r="K177" i="1" s="1"/>
  <c r="K149" i="1" s="1"/>
  <c r="J9" i="11" s="1"/>
  <c r="L70" i="7"/>
  <c r="L75" i="1" s="1"/>
  <c r="K86" i="7"/>
  <c r="K90" i="1" s="1"/>
  <c r="K93" i="7" l="1"/>
  <c r="J137" i="7"/>
  <c r="J110" i="1"/>
  <c r="J3" i="7"/>
  <c r="K62" i="7"/>
  <c r="J21" i="8"/>
  <c r="K465" i="1" s="1"/>
  <c r="K635" i="1" s="1"/>
  <c r="K60" i="7"/>
  <c r="K67" i="1" s="1"/>
  <c r="J511" i="1"/>
  <c r="I90" i="8"/>
  <c r="L72" i="7"/>
  <c r="L164" i="7"/>
  <c r="L170" i="1" s="1"/>
  <c r="K143" i="7"/>
  <c r="L76" i="7"/>
  <c r="L81" i="1" s="1"/>
  <c r="L682" i="1" s="1"/>
  <c r="L589" i="1" s="1"/>
  <c r="K15" i="13" s="1"/>
  <c r="H23" i="14" s="1"/>
  <c r="L75" i="7" l="1"/>
  <c r="L80" i="1" s="1"/>
  <c r="L77" i="1"/>
  <c r="K96" i="7"/>
  <c r="K96" i="1"/>
  <c r="J518" i="1"/>
  <c r="I11" i="9"/>
  <c r="J9" i="1"/>
  <c r="I96" i="8"/>
  <c r="K69" i="1"/>
  <c r="L48" i="7"/>
  <c r="K64" i="7"/>
  <c r="K65" i="7"/>
  <c r="J136" i="1"/>
  <c r="J140" i="1" s="1"/>
  <c r="J4" i="7"/>
  <c r="J10" i="1" s="1"/>
  <c r="J133" i="7"/>
  <c r="L82" i="7"/>
  <c r="L86" i="1" s="1"/>
  <c r="L166" i="7"/>
  <c r="L172" i="1" s="1"/>
  <c r="L178" i="1" s="1"/>
  <c r="L84" i="7"/>
  <c r="J2" i="7" l="1"/>
  <c r="J8" i="1" s="1"/>
  <c r="I8" i="11" s="1"/>
  <c r="I15" i="11" s="1"/>
  <c r="L50" i="7"/>
  <c r="K135" i="7"/>
  <c r="K71" i="1"/>
  <c r="L86" i="7"/>
  <c r="L88" i="1"/>
  <c r="L62" i="7"/>
  <c r="L69" i="1" s="1"/>
  <c r="L56" i="1"/>
  <c r="K103" i="7"/>
  <c r="K99" i="1"/>
  <c r="J524" i="1"/>
  <c r="I100" i="8"/>
  <c r="L172" i="7"/>
  <c r="L170" i="7"/>
  <c r="L167" i="7"/>
  <c r="L173" i="1" s="1"/>
  <c r="K107" i="7" l="1"/>
  <c r="K105" i="1"/>
  <c r="K109" i="7"/>
  <c r="J47" i="8"/>
  <c r="K134" i="1"/>
  <c r="L53" i="7"/>
  <c r="L58" i="1"/>
  <c r="L171" i="7"/>
  <c r="L176" i="1"/>
  <c r="J528" i="1"/>
  <c r="I12" i="9"/>
  <c r="L90" i="1"/>
  <c r="K104" i="7"/>
  <c r="K106" i="1" s="1"/>
  <c r="L143" i="7" l="1"/>
  <c r="L177" i="1"/>
  <c r="L149" i="1" s="1"/>
  <c r="K9" i="11" s="1"/>
  <c r="L61" i="1"/>
  <c r="L59" i="7"/>
  <c r="J48" i="8"/>
  <c r="J19" i="8" s="1"/>
  <c r="K463" i="1" s="1"/>
  <c r="J50" i="8"/>
  <c r="J63" i="8" s="1"/>
  <c r="K499" i="1" s="1"/>
  <c r="J52" i="8"/>
  <c r="J83" i="8" s="1"/>
  <c r="K109" i="1"/>
  <c r="K108" i="7"/>
  <c r="L92" i="7"/>
  <c r="L95" i="1" s="1"/>
  <c r="L60" i="7" l="1"/>
  <c r="L67" i="1" s="1"/>
  <c r="L66" i="1"/>
  <c r="L65" i="7"/>
  <c r="L63" i="7"/>
  <c r="K511" i="1"/>
  <c r="J90" i="8"/>
  <c r="L93" i="7"/>
  <c r="K110" i="1"/>
  <c r="K137" i="7"/>
  <c r="K3" i="7"/>
  <c r="L96" i="7" l="1"/>
  <c r="L96" i="1"/>
  <c r="J11" i="9"/>
  <c r="K518" i="1"/>
  <c r="L64" i="7"/>
  <c r="L70" i="1"/>
  <c r="K136" i="1"/>
  <c r="K140" i="1" s="1"/>
  <c r="K133" i="7"/>
  <c r="K4" i="7"/>
  <c r="K10" i="1" s="1"/>
  <c r="K2" i="7"/>
  <c r="K8" i="1" s="1"/>
  <c r="J8" i="11" s="1"/>
  <c r="J15" i="11" s="1"/>
  <c r="J96" i="8"/>
  <c r="K9" i="1"/>
  <c r="G132" i="8" l="1"/>
  <c r="H546" i="1"/>
  <c r="L135" i="7"/>
  <c r="L71" i="1"/>
  <c r="K524" i="1"/>
  <c r="J100" i="8"/>
  <c r="L99" i="1"/>
  <c r="L103" i="7"/>
  <c r="L104" i="7" s="1"/>
  <c r="L106" i="1" s="1"/>
  <c r="H602" i="1" l="1"/>
  <c r="G28" i="13" s="1"/>
  <c r="H601" i="1"/>
  <c r="G27" i="13" s="1"/>
  <c r="H551" i="1"/>
  <c r="G143" i="8"/>
  <c r="L105" i="1"/>
  <c r="L109" i="7"/>
  <c r="L107" i="7"/>
  <c r="K47" i="8"/>
  <c r="K19" i="8"/>
  <c r="L463" i="1" s="1"/>
  <c r="K528" i="1"/>
  <c r="J12" i="9"/>
  <c r="L134" i="1"/>
  <c r="H562" i="1" l="1"/>
  <c r="H650" i="1" s="1"/>
  <c r="H609" i="1" s="1"/>
  <c r="G35" i="13" s="1"/>
  <c r="K50" i="8"/>
  <c r="K63" i="8" s="1"/>
  <c r="L499" i="1" s="1"/>
  <c r="K52" i="8"/>
  <c r="K83" i="8" s="1"/>
  <c r="K48" i="8"/>
  <c r="L108" i="7"/>
  <c r="L109" i="1"/>
  <c r="L110" i="1" l="1"/>
  <c r="L137" i="7"/>
  <c r="L3" i="7"/>
  <c r="L511" i="1"/>
  <c r="K90" i="8"/>
  <c r="H132" i="8" l="1"/>
  <c r="I546" i="1"/>
  <c r="L136" i="1"/>
  <c r="L140" i="1" s="1"/>
  <c r="L133" i="7"/>
  <c r="L4" i="7"/>
  <c r="L10" i="1" s="1"/>
  <c r="L518" i="1"/>
  <c r="K11" i="9"/>
  <c r="K96" i="8"/>
  <c r="L9" i="1"/>
  <c r="I602" i="1" l="1"/>
  <c r="H28" i="13" s="1"/>
  <c r="I601" i="1"/>
  <c r="H27" i="13" s="1"/>
  <c r="H143" i="8"/>
  <c r="I551" i="1"/>
  <c r="L524" i="1"/>
  <c r="K100" i="8"/>
  <c r="L2" i="7"/>
  <c r="L8" i="1" s="1"/>
  <c r="K8" i="11" s="1"/>
  <c r="K15" i="11" s="1"/>
  <c r="H15" i="9" l="1"/>
  <c r="E22" i="14" s="1"/>
  <c r="I562" i="1"/>
  <c r="I650" i="1" s="1"/>
  <c r="I609" i="1" s="1"/>
  <c r="H35" i="13" s="1"/>
  <c r="L528" i="1"/>
  <c r="K12" i="9"/>
  <c r="I132" i="8" l="1"/>
  <c r="J546" i="1"/>
  <c r="J602" i="1" l="1"/>
  <c r="I28" i="13" s="1"/>
  <c r="J601" i="1"/>
  <c r="I27" i="13" s="1"/>
  <c r="I143" i="8"/>
  <c r="J551" i="1"/>
  <c r="I15" i="9" l="1"/>
  <c r="F22" i="14" s="1"/>
  <c r="J562" i="1"/>
  <c r="J650" i="1" s="1"/>
  <c r="J609" i="1" s="1"/>
  <c r="I35" i="13" s="1"/>
  <c r="K546" i="1" l="1"/>
  <c r="J132" i="8"/>
  <c r="K602" i="1" l="1"/>
  <c r="J28" i="13" s="1"/>
  <c r="K601" i="1"/>
  <c r="J27" i="13" s="1"/>
  <c r="K551" i="1"/>
  <c r="J143" i="8"/>
  <c r="J15" i="9" l="1"/>
  <c r="G22" i="14" s="1"/>
  <c r="K562" i="1"/>
  <c r="K650" i="1" s="1"/>
  <c r="K609" i="1" s="1"/>
  <c r="J35" i="13" s="1"/>
  <c r="L546" i="1" l="1"/>
  <c r="K132" i="8"/>
  <c r="L601" i="1" l="1"/>
  <c r="K27" i="13" s="1"/>
  <c r="L602" i="1"/>
  <c r="K28" i="13" s="1"/>
  <c r="L551" i="1"/>
  <c r="K143" i="8"/>
  <c r="L562" i="1" l="1"/>
  <c r="L650" i="1" s="1"/>
  <c r="L609" i="1" s="1"/>
  <c r="K35" i="13" s="1"/>
  <c r="K15" i="9"/>
  <c r="H22" i="14" s="1"/>
  <c r="J447" i="1" l="1"/>
  <c r="K447" i="1"/>
  <c r="L447" i="1"/>
  <c r="I447" i="1"/>
  <c r="L449" i="1" l="1"/>
  <c r="K5" i="8" s="1"/>
  <c r="K3" i="8"/>
  <c r="K119" i="8" s="1"/>
  <c r="L450" i="1"/>
  <c r="K6" i="8" s="1"/>
  <c r="I449" i="1"/>
  <c r="H5" i="8" s="1"/>
  <c r="I450" i="1"/>
  <c r="H6" i="8" s="1"/>
  <c r="H3" i="8"/>
  <c r="H119" i="8" s="1"/>
  <c r="K449" i="1"/>
  <c r="J5" i="8" s="1"/>
  <c r="J3" i="8"/>
  <c r="J119" i="8" s="1"/>
  <c r="K450" i="1"/>
  <c r="J6" i="8" s="1"/>
  <c r="J449" i="1"/>
  <c r="I5" i="8" s="1"/>
  <c r="J450" i="1"/>
  <c r="I6" i="8" s="1"/>
  <c r="I3" i="8"/>
  <c r="I119" i="8" s="1"/>
  <c r="H451" i="1"/>
  <c r="I451" i="1" l="1"/>
  <c r="J451" i="1"/>
  <c r="K538" i="1"/>
  <c r="J123" i="8"/>
  <c r="K451" i="1"/>
  <c r="H123" i="8"/>
  <c r="I538" i="1"/>
  <c r="H452" i="1"/>
  <c r="G8" i="8" s="1"/>
  <c r="G7" i="8"/>
  <c r="L538" i="1"/>
  <c r="K123" i="8"/>
  <c r="I123" i="8"/>
  <c r="J538" i="1"/>
  <c r="L451" i="1"/>
  <c r="I542" i="1" l="1"/>
  <c r="H13" i="9"/>
  <c r="K452" i="1"/>
  <c r="J7" i="8"/>
  <c r="K542" i="1"/>
  <c r="J13" i="9"/>
  <c r="I13" i="9"/>
  <c r="J542" i="1"/>
  <c r="L452" i="1"/>
  <c r="K7" i="8"/>
  <c r="L542" i="1"/>
  <c r="K13" i="9"/>
  <c r="J452" i="1"/>
  <c r="I7" i="8"/>
  <c r="I452" i="1"/>
  <c r="H7" i="8"/>
  <c r="J455" i="1" l="1"/>
  <c r="I8" i="8"/>
  <c r="K455" i="1"/>
  <c r="J8" i="8"/>
  <c r="I455" i="1"/>
  <c r="H8" i="8"/>
  <c r="L455" i="1"/>
  <c r="K8" i="8"/>
  <c r="C673" i="1"/>
  <c r="C664" i="1"/>
  <c r="C667" i="1" s="1"/>
  <c r="E673" i="1"/>
  <c r="F673" i="1"/>
  <c r="G673" i="1"/>
  <c r="D673" i="1"/>
  <c r="E664" i="1"/>
  <c r="E667" i="1" s="1"/>
  <c r="F664" i="1"/>
  <c r="F667" i="1" s="1"/>
  <c r="G664" i="1"/>
  <c r="G667" i="1" s="1"/>
  <c r="D664" i="1"/>
  <c r="D667" i="1" s="1"/>
  <c r="E656" i="1"/>
  <c r="F656" i="1"/>
  <c r="G656" i="1"/>
  <c r="C656" i="1"/>
  <c r="F130" i="1"/>
  <c r="G130" i="1"/>
  <c r="F126" i="1"/>
  <c r="F96" i="1"/>
  <c r="G96" i="1"/>
  <c r="C140" i="1"/>
  <c r="F89" i="1"/>
  <c r="F85" i="1"/>
  <c r="F76" i="1"/>
  <c r="F75" i="1"/>
  <c r="F88" i="1" s="1"/>
  <c r="D58" i="1"/>
  <c r="E58" i="1"/>
  <c r="F58" i="1"/>
  <c r="D67" i="1"/>
  <c r="E67" i="1"/>
  <c r="F67" i="1"/>
  <c r="D71" i="1"/>
  <c r="E71" i="1"/>
  <c r="F71" i="1"/>
  <c r="C415" i="1"/>
  <c r="B42" i="11" s="1"/>
  <c r="C370" i="1"/>
  <c r="C572" i="1"/>
  <c r="C568" i="1"/>
  <c r="C536" i="1"/>
  <c r="C542" i="1" s="1"/>
  <c r="C528" i="1"/>
  <c r="C518" i="1"/>
  <c r="C505" i="1"/>
  <c r="C482" i="1"/>
  <c r="C484" i="1" s="1"/>
  <c r="C487" i="1"/>
  <c r="C444" i="1"/>
  <c r="C431" i="1"/>
  <c r="B48" i="11" s="1"/>
  <c r="C425" i="1"/>
  <c r="C389" i="1"/>
  <c r="C391" i="1" s="1"/>
  <c r="C379" i="1"/>
  <c r="B38" i="11" s="1"/>
  <c r="C359" i="1"/>
  <c r="B35" i="11" s="1"/>
  <c r="D350" i="1"/>
  <c r="D359" i="1" s="1"/>
  <c r="C35" i="11" s="1"/>
  <c r="C315" i="1"/>
  <c r="C308" i="1"/>
  <c r="C289" i="1"/>
  <c r="C297" i="1" s="1"/>
  <c r="B21" i="11" s="1"/>
  <c r="C270" i="1"/>
  <c r="C265" i="1"/>
  <c r="D265" i="1"/>
  <c r="C253" i="1"/>
  <c r="B17" i="11" s="1"/>
  <c r="C245" i="1"/>
  <c r="C237" i="1"/>
  <c r="B12" i="11" s="1"/>
  <c r="C214" i="1"/>
  <c r="B10" i="11" s="1"/>
  <c r="C210" i="1"/>
  <c r="D562" i="1"/>
  <c r="D536" i="1"/>
  <c r="D542" i="1" s="1"/>
  <c r="D528" i="1"/>
  <c r="D518" i="1"/>
  <c r="D505" i="1"/>
  <c r="D572" i="1"/>
  <c r="D568" i="1"/>
  <c r="D489" i="1"/>
  <c r="D482" i="1"/>
  <c r="D444" i="1"/>
  <c r="D431" i="1"/>
  <c r="C48" i="11" s="1"/>
  <c r="D415" i="1"/>
  <c r="C42" i="11" s="1"/>
  <c r="D391" i="1"/>
  <c r="D370" i="1"/>
  <c r="D379" i="1"/>
  <c r="C38" i="11" s="1"/>
  <c r="E379" i="1"/>
  <c r="D38" i="11" s="1"/>
  <c r="D315" i="1"/>
  <c r="D308" i="1"/>
  <c r="C22" i="11" s="1"/>
  <c r="D289" i="1"/>
  <c r="D297" i="1" s="1"/>
  <c r="C21" i="11" s="1"/>
  <c r="D270" i="1"/>
  <c r="D253" i="1"/>
  <c r="C17" i="11" s="1"/>
  <c r="D245" i="1"/>
  <c r="C13" i="11" s="1"/>
  <c r="D237" i="1"/>
  <c r="C12" i="11" s="1"/>
  <c r="D214" i="1"/>
  <c r="C10" i="11" s="1"/>
  <c r="D140" i="1"/>
  <c r="C130" i="1"/>
  <c r="C126" i="1"/>
  <c r="C116" i="1"/>
  <c r="C96" i="1"/>
  <c r="C99" i="1" s="1"/>
  <c r="D96" i="1"/>
  <c r="C89" i="1"/>
  <c r="C85" i="1"/>
  <c r="C80" i="1"/>
  <c r="C76" i="1"/>
  <c r="C75" i="1"/>
  <c r="C8" i="1"/>
  <c r="B8" i="11" s="1"/>
  <c r="D8" i="1"/>
  <c r="C8" i="11" s="1"/>
  <c r="E8" i="1"/>
  <c r="D8" i="11" s="1"/>
  <c r="D116" i="1"/>
  <c r="E116" i="1"/>
  <c r="F116" i="1"/>
  <c r="D89" i="1"/>
  <c r="D85" i="1"/>
  <c r="D80" i="1"/>
  <c r="D76" i="1"/>
  <c r="D75" i="1"/>
  <c r="D88" i="1" s="1"/>
  <c r="D39" i="1"/>
  <c r="D32" i="1"/>
  <c r="D28" i="1"/>
  <c r="D19" i="1"/>
  <c r="E572" i="1"/>
  <c r="E568" i="1"/>
  <c r="E551" i="1"/>
  <c r="E562" i="1" s="1"/>
  <c r="E536" i="1"/>
  <c r="E542" i="1" s="1"/>
  <c r="E528" i="1"/>
  <c r="E518" i="1"/>
  <c r="E505" i="1"/>
  <c r="E487" i="1"/>
  <c r="E482" i="1"/>
  <c r="E484" i="1" s="1"/>
  <c r="G572" i="1"/>
  <c r="F572" i="1"/>
  <c r="F568" i="1"/>
  <c r="G568" i="1"/>
  <c r="F551" i="1"/>
  <c r="F562" i="1" s="1"/>
  <c r="G551" i="1"/>
  <c r="G562" i="1" s="1"/>
  <c r="F536" i="1"/>
  <c r="F542" i="1" s="1"/>
  <c r="G536" i="1"/>
  <c r="G542" i="1" s="1"/>
  <c r="F528" i="1"/>
  <c r="G528" i="1"/>
  <c r="F518" i="1"/>
  <c r="G518" i="1"/>
  <c r="G505" i="1"/>
  <c r="F505" i="1"/>
  <c r="F487" i="1"/>
  <c r="G487" i="1"/>
  <c r="F482" i="1"/>
  <c r="F484" i="1" s="1"/>
  <c r="G482" i="1"/>
  <c r="G484" i="1" s="1"/>
  <c r="C451" i="1"/>
  <c r="C452" i="1" s="1"/>
  <c r="C455" i="1" s="1"/>
  <c r="D451" i="1"/>
  <c r="D452" i="1" s="1"/>
  <c r="D455" i="1" s="1"/>
  <c r="C7" i="9" s="1"/>
  <c r="C9" i="9" s="1"/>
  <c r="C14" i="9" s="1"/>
  <c r="C16" i="9" s="1"/>
  <c r="G451" i="1"/>
  <c r="G452" i="1" s="1"/>
  <c r="G455" i="1" s="1"/>
  <c r="F7" i="9" s="1"/>
  <c r="F9" i="9" s="1"/>
  <c r="F14" i="9" s="1"/>
  <c r="F16" i="9" s="1"/>
  <c r="F451" i="1"/>
  <c r="F452" i="1" s="1"/>
  <c r="F455" i="1" s="1"/>
  <c r="E7" i="9" s="1"/>
  <c r="E9" i="9" s="1"/>
  <c r="E14" i="9" s="1"/>
  <c r="E16" i="9" s="1"/>
  <c r="E451" i="1"/>
  <c r="E452" i="1" s="1"/>
  <c r="E455" i="1" s="1"/>
  <c r="D7" i="9" s="1"/>
  <c r="D9" i="9" s="1"/>
  <c r="D14" i="9" s="1"/>
  <c r="D16" i="9" s="1"/>
  <c r="E444" i="1"/>
  <c r="E431" i="1"/>
  <c r="D48" i="11" s="1"/>
  <c r="E415" i="1"/>
  <c r="D42" i="11" s="1"/>
  <c r="E392" i="1"/>
  <c r="G379" i="1"/>
  <c r="F38" i="11" s="1"/>
  <c r="E372" i="1"/>
  <c r="D37" i="11" s="1"/>
  <c r="E365" i="1"/>
  <c r="E367" i="1" s="1"/>
  <c r="D36" i="11" s="1"/>
  <c r="E350" i="1"/>
  <c r="E315" i="1"/>
  <c r="D23" i="11" s="1"/>
  <c r="G314" i="1"/>
  <c r="H314" i="1" s="1" a="1"/>
  <c r="H314" i="1" s="1"/>
  <c r="G313" i="1"/>
  <c r="F313" i="1"/>
  <c r="E308" i="1"/>
  <c r="D22" i="11" s="1"/>
  <c r="E296" i="1"/>
  <c r="E293" i="1"/>
  <c r="E289" i="1"/>
  <c r="E270" i="1"/>
  <c r="E265" i="1"/>
  <c r="E253" i="1"/>
  <c r="D17" i="11" s="1"/>
  <c r="E245" i="1"/>
  <c r="D13" i="11" s="1"/>
  <c r="E237" i="1"/>
  <c r="D12" i="11" s="1"/>
  <c r="E210" i="1"/>
  <c r="E214" i="1"/>
  <c r="D10" i="11" s="1"/>
  <c r="E140" i="1"/>
  <c r="E128" i="1"/>
  <c r="E130" i="1" s="1"/>
  <c r="E126" i="1"/>
  <c r="E96" i="1"/>
  <c r="E99" i="1" s="1"/>
  <c r="E89" i="1"/>
  <c r="E88" i="1"/>
  <c r="E85" i="1"/>
  <c r="E84" i="1"/>
  <c r="E83" i="1"/>
  <c r="E683" i="1" s="1"/>
  <c r="E80" i="1"/>
  <c r="E76" i="1"/>
  <c r="E75" i="1"/>
  <c r="C58" i="1"/>
  <c r="C67" i="1"/>
  <c r="C71" i="1"/>
  <c r="C39" i="1"/>
  <c r="C42" i="1" s="1"/>
  <c r="C48" i="1" s="1"/>
  <c r="C52" i="1"/>
  <c r="E52" i="1"/>
  <c r="E39" i="1"/>
  <c r="E42" i="1" s="1"/>
  <c r="E48" i="1" s="1"/>
  <c r="C19" i="1"/>
  <c r="C22" i="1" s="1"/>
  <c r="C28" i="1" s="1"/>
  <c r="C32" i="1"/>
  <c r="E32" i="1"/>
  <c r="E19" i="1"/>
  <c r="E22" i="1" s="1"/>
  <c r="E28" i="1" s="1"/>
  <c r="F444" i="1"/>
  <c r="F431" i="1"/>
  <c r="E48" i="11" s="1"/>
  <c r="G431" i="1"/>
  <c r="F48" i="11" s="1"/>
  <c r="E47" i="11"/>
  <c r="G367" i="1"/>
  <c r="F36" i="11" s="1"/>
  <c r="E36" i="11"/>
  <c r="G415" i="1"/>
  <c r="F42" i="11" s="1"/>
  <c r="F415" i="1"/>
  <c r="E42" i="11" s="1"/>
  <c r="G392" i="1"/>
  <c r="F392" i="1"/>
  <c r="F379" i="1"/>
  <c r="E38" i="11" s="1"/>
  <c r="G372" i="1"/>
  <c r="F37" i="11" s="1"/>
  <c r="F372" i="1"/>
  <c r="E37" i="11" s="1"/>
  <c r="G359" i="1"/>
  <c r="F35" i="11" s="1"/>
  <c r="F359" i="1"/>
  <c r="E35" i="11" s="1"/>
  <c r="F308" i="1"/>
  <c r="E22" i="11" s="1"/>
  <c r="G308" i="1"/>
  <c r="F22" i="11" s="1"/>
  <c r="G296" i="1"/>
  <c r="F296" i="1"/>
  <c r="F293" i="1"/>
  <c r="G293" i="1"/>
  <c r="F289" i="1"/>
  <c r="G289" i="1"/>
  <c r="F270" i="1"/>
  <c r="G270" i="1"/>
  <c r="F265" i="1"/>
  <c r="G265" i="1"/>
  <c r="F253" i="1"/>
  <c r="E17" i="11" s="1"/>
  <c r="F245" i="1"/>
  <c r="E13" i="11" s="1"/>
  <c r="G245" i="1"/>
  <c r="F13" i="11" s="1"/>
  <c r="G234" i="1"/>
  <c r="F237" i="1"/>
  <c r="E12" i="11" s="1"/>
  <c r="G214" i="1"/>
  <c r="F10" i="11" s="1"/>
  <c r="F214" i="1"/>
  <c r="E10" i="11" s="1"/>
  <c r="G140" i="1"/>
  <c r="F140" i="1"/>
  <c r="B47" i="11" l="1"/>
  <c r="B53" i="11" s="1"/>
  <c r="I30" i="13"/>
  <c r="K29" i="13"/>
  <c r="H30" i="13"/>
  <c r="J29" i="13"/>
  <c r="J30" i="13"/>
  <c r="K30" i="13"/>
  <c r="G29" i="13"/>
  <c r="G30" i="13"/>
  <c r="H29" i="13"/>
  <c r="I29" i="13"/>
  <c r="L590" i="1"/>
  <c r="K16" i="13" s="1"/>
  <c r="H590" i="1"/>
  <c r="G16" i="13" s="1"/>
  <c r="K590" i="1"/>
  <c r="J16" i="13" s="1"/>
  <c r="J590" i="1"/>
  <c r="I16" i="13" s="1"/>
  <c r="I590" i="1"/>
  <c r="H16" i="13" s="1"/>
  <c r="B22" i="11"/>
  <c r="I596" i="1"/>
  <c r="H22" i="13" s="1"/>
  <c r="J596" i="1"/>
  <c r="I22" i="13" s="1"/>
  <c r="L595" i="1"/>
  <c r="K21" i="13" s="1"/>
  <c r="K596" i="1"/>
  <c r="J22" i="13" s="1"/>
  <c r="L596" i="1"/>
  <c r="K22" i="13" s="1"/>
  <c r="K595" i="1"/>
  <c r="J21" i="13" s="1"/>
  <c r="I595" i="1"/>
  <c r="H21" i="13" s="1"/>
  <c r="H596" i="1"/>
  <c r="G22" i="13" s="1"/>
  <c r="J595" i="1"/>
  <c r="I21" i="13" s="1"/>
  <c r="G21" i="13"/>
  <c r="B13" i="11"/>
  <c r="B15" i="11" s="1"/>
  <c r="J583" i="1"/>
  <c r="I9" i="13" s="1"/>
  <c r="K583" i="1"/>
  <c r="J9" i="13" s="1"/>
  <c r="H583" i="1"/>
  <c r="G9" i="13" s="1"/>
  <c r="I583" i="1"/>
  <c r="H9" i="13" s="1"/>
  <c r="L583" i="1"/>
  <c r="K9" i="13" s="1"/>
  <c r="E15" i="11"/>
  <c r="C53" i="11"/>
  <c r="F15" i="11"/>
  <c r="C15" i="11"/>
  <c r="F53" i="11"/>
  <c r="D15" i="11"/>
  <c r="E53" i="11"/>
  <c r="E40" i="11"/>
  <c r="M405" i="1"/>
  <c r="J414" i="1"/>
  <c r="K414" i="1"/>
  <c r="L414" i="1"/>
  <c r="H414" i="1"/>
  <c r="I414" i="1"/>
  <c r="F40" i="11"/>
  <c r="D53" i="11"/>
  <c r="M404" i="1"/>
  <c r="I288" i="1"/>
  <c r="C18" i="9"/>
  <c r="C23" i="9" s="1"/>
  <c r="D576" i="1"/>
  <c r="D577" i="1" s="1"/>
  <c r="E18" i="9"/>
  <c r="E24" i="9" s="1"/>
  <c r="F576" i="1"/>
  <c r="F577" i="1" s="1"/>
  <c r="D18" i="9"/>
  <c r="D23" i="9" s="1"/>
  <c r="E576" i="1"/>
  <c r="E577" i="1" s="1"/>
  <c r="F18" i="9"/>
  <c r="F24" i="9" s="1"/>
  <c r="G576" i="1"/>
  <c r="G577" i="1" s="1"/>
  <c r="C392" i="1"/>
  <c r="C397" i="1"/>
  <c r="C398" i="1" s="1"/>
  <c r="C381" i="1" s="1"/>
  <c r="B39" i="11" s="1"/>
  <c r="D392" i="1"/>
  <c r="D397" i="1"/>
  <c r="D398" i="1" s="1"/>
  <c r="D381" i="1" s="1"/>
  <c r="C39" i="11" s="1"/>
  <c r="F315" i="1"/>
  <c r="E23" i="11" s="1"/>
  <c r="H315" i="1"/>
  <c r="L288" i="1"/>
  <c r="K288" i="1"/>
  <c r="J288" i="1"/>
  <c r="K278" i="1"/>
  <c r="L278" i="1"/>
  <c r="H278" i="1"/>
  <c r="I278" i="1"/>
  <c r="J278" i="1"/>
  <c r="B7" i="9"/>
  <c r="B9" i="9" s="1"/>
  <c r="B14" i="9" s="1"/>
  <c r="B16" i="9" s="1"/>
  <c r="J281" i="1"/>
  <c r="I281" i="1"/>
  <c r="L281" i="1"/>
  <c r="K281" i="1"/>
  <c r="K2" i="8"/>
  <c r="L269" i="1"/>
  <c r="L268" i="1"/>
  <c r="L264" i="1"/>
  <c r="L258" i="1"/>
  <c r="L267" i="1"/>
  <c r="K7" i="9"/>
  <c r="L263" i="1"/>
  <c r="H2" i="8"/>
  <c r="I263" i="1"/>
  <c r="I268" i="1"/>
  <c r="I269" i="1"/>
  <c r="I264" i="1"/>
  <c r="I258" i="1"/>
  <c r="H7" i="9"/>
  <c r="I267" i="1"/>
  <c r="J2" i="8"/>
  <c r="K268" i="1"/>
  <c r="K258" i="1"/>
  <c r="K267" i="1"/>
  <c r="J7" i="9"/>
  <c r="K264" i="1"/>
  <c r="K263" i="1"/>
  <c r="K269" i="1"/>
  <c r="I2" i="8"/>
  <c r="J268" i="1"/>
  <c r="J263" i="1"/>
  <c r="I7" i="9"/>
  <c r="J264" i="1"/>
  <c r="J258" i="1"/>
  <c r="J267" i="1"/>
  <c r="J269" i="1"/>
  <c r="D90" i="1"/>
  <c r="Q130" i="1"/>
  <c r="Q131" i="1" s="1"/>
  <c r="I68" i="8"/>
  <c r="J504" i="1" s="1"/>
  <c r="D2" i="8"/>
  <c r="I37" i="8"/>
  <c r="J481" i="1" s="1"/>
  <c r="J68" i="8"/>
  <c r="K504" i="1" s="1"/>
  <c r="E2" i="8"/>
  <c r="J37" i="8"/>
  <c r="K481" i="1" s="1"/>
  <c r="K68" i="8"/>
  <c r="L504" i="1" s="1"/>
  <c r="F2" i="8"/>
  <c r="K37" i="8"/>
  <c r="L481" i="1" s="1"/>
  <c r="H68" i="8"/>
  <c r="I504" i="1" s="1"/>
  <c r="C2" i="8"/>
  <c r="H37" i="8"/>
  <c r="I481" i="1" s="1"/>
  <c r="B2" i="8"/>
  <c r="D86" i="1"/>
  <c r="F90" i="1"/>
  <c r="E86" i="1"/>
  <c r="E90" i="1"/>
  <c r="F77" i="1"/>
  <c r="F80" i="1" s="1"/>
  <c r="F86" i="1" s="1"/>
  <c r="C573" i="1"/>
  <c r="C271" i="1"/>
  <c r="B19" i="11" s="1"/>
  <c r="C489" i="1"/>
  <c r="C77" i="1"/>
  <c r="C86" i="1"/>
  <c r="E297" i="1"/>
  <c r="D21" i="11" s="1"/>
  <c r="E359" i="1"/>
  <c r="D35" i="11" s="1"/>
  <c r="D40" i="11" s="1"/>
  <c r="D77" i="1"/>
  <c r="D271" i="1"/>
  <c r="C19" i="11" s="1"/>
  <c r="D573" i="1"/>
  <c r="D578" i="1" s="1"/>
  <c r="C88" i="1"/>
  <c r="C90" i="1" s="1"/>
  <c r="E573" i="1"/>
  <c r="E578" i="1" s="1"/>
  <c r="E489" i="1"/>
  <c r="G573" i="1"/>
  <c r="G578" i="1" s="1"/>
  <c r="G315" i="1"/>
  <c r="F23" i="11" s="1"/>
  <c r="E271" i="1"/>
  <c r="D19" i="11" s="1"/>
  <c r="F573" i="1"/>
  <c r="F578" i="1" s="1"/>
  <c r="G489" i="1"/>
  <c r="F489" i="1"/>
  <c r="E77" i="1"/>
  <c r="F271" i="1"/>
  <c r="E19" i="11" s="1"/>
  <c r="G297" i="1"/>
  <c r="F21" i="11" s="1"/>
  <c r="G271" i="1"/>
  <c r="F297" i="1"/>
  <c r="E21" i="11" s="1"/>
  <c r="H671" i="1" l="1"/>
  <c r="H673" i="1" s="1"/>
  <c r="F19" i="11"/>
  <c r="G23" i="13"/>
  <c r="D54" i="11"/>
  <c r="F23" i="9"/>
  <c r="F54" i="11"/>
  <c r="E54" i="11"/>
  <c r="E395" i="1"/>
  <c r="C40" i="11"/>
  <c r="C54" i="11" s="1"/>
  <c r="C578" i="1"/>
  <c r="D24" i="9"/>
  <c r="E23" i="9"/>
  <c r="C24" i="9"/>
  <c r="I405" i="1"/>
  <c r="J405" i="1"/>
  <c r="K405" i="1"/>
  <c r="L405" i="1"/>
  <c r="B18" i="9"/>
  <c r="B23" i="9" s="1"/>
  <c r="C576" i="1"/>
  <c r="H397" i="1" a="1"/>
  <c r="L270" i="1"/>
  <c r="K270" i="1"/>
  <c r="I270" i="1"/>
  <c r="L265" i="1"/>
  <c r="J270" i="1"/>
  <c r="K265" i="1"/>
  <c r="J58" i="8"/>
  <c r="J265" i="1"/>
  <c r="I265" i="1"/>
  <c r="K23" i="8"/>
  <c r="L467" i="1" s="1"/>
  <c r="K58" i="8"/>
  <c r="K24" i="8"/>
  <c r="L468" i="1" s="1"/>
  <c r="J23" i="8"/>
  <c r="K467" i="1" s="1"/>
  <c r="J24" i="8"/>
  <c r="K468" i="1" s="1"/>
  <c r="H58" i="8"/>
  <c r="H23" i="8"/>
  <c r="I467" i="1" s="1"/>
  <c r="H24" i="8"/>
  <c r="I468" i="1" s="1"/>
  <c r="I58" i="8"/>
  <c r="I23" i="8"/>
  <c r="J467" i="1" s="1"/>
  <c r="I24" i="8"/>
  <c r="J468" i="1" s="1"/>
  <c r="H598" i="1" l="1"/>
  <c r="G24" i="13" s="1"/>
  <c r="C577" i="1"/>
  <c r="D395" i="1"/>
  <c r="B40" i="11"/>
  <c r="B54" i="11" s="1"/>
  <c r="B576" i="1"/>
  <c r="B24" i="9"/>
  <c r="H397" i="1"/>
  <c r="H398" i="1" s="1"/>
  <c r="K398" i="1"/>
  <c r="L398" i="1"/>
  <c r="L381" i="1" s="1"/>
  <c r="K39" i="11" s="1"/>
  <c r="K40" i="11" s="1"/>
  <c r="I398" i="1"/>
  <c r="J398" i="1"/>
  <c r="J271" i="1"/>
  <c r="I315" i="1"/>
  <c r="I271" i="1"/>
  <c r="K271" i="1"/>
  <c r="L271" i="1"/>
  <c r="K19" i="11" s="1"/>
  <c r="I494" i="1"/>
  <c r="H69" i="8"/>
  <c r="K494" i="1"/>
  <c r="J69" i="8"/>
  <c r="J494" i="1"/>
  <c r="I69" i="8"/>
  <c r="L494" i="1"/>
  <c r="K69" i="8"/>
  <c r="H38" i="8"/>
  <c r="J38" i="8"/>
  <c r="K38" i="8"/>
  <c r="I38" i="8"/>
  <c r="H455" i="1"/>
  <c r="H19" i="11" l="1"/>
  <c r="J662" i="1"/>
  <c r="I19" i="11"/>
  <c r="K662" i="1"/>
  <c r="J19" i="11"/>
  <c r="L662" i="1"/>
  <c r="I671" i="1"/>
  <c r="I673" i="1" s="1"/>
  <c r="I597" i="1"/>
  <c r="J395" i="1"/>
  <c r="I381" i="1"/>
  <c r="H39" i="11" s="1"/>
  <c r="H40" i="11" s="1"/>
  <c r="L395" i="1"/>
  <c r="K381" i="1"/>
  <c r="J39" i="11" s="1"/>
  <c r="J40" i="11" s="1"/>
  <c r="I395" i="1"/>
  <c r="H381" i="1"/>
  <c r="G39" i="11" s="1"/>
  <c r="G40" i="11" s="1"/>
  <c r="K395" i="1"/>
  <c r="J381" i="1"/>
  <c r="I39" i="11" s="1"/>
  <c r="I40" i="11" s="1"/>
  <c r="H288" i="1"/>
  <c r="H405" i="1"/>
  <c r="J315" i="1"/>
  <c r="G2" i="8"/>
  <c r="H258" i="1"/>
  <c r="H281" i="1"/>
  <c r="G7" i="9"/>
  <c r="H263" i="1"/>
  <c r="H269" i="1"/>
  <c r="H268" i="1"/>
  <c r="H267" i="1"/>
  <c r="H264" i="1"/>
  <c r="K10" i="9"/>
  <c r="L505" i="1"/>
  <c r="L404" i="1" s="1"/>
  <c r="L415" i="1" s="1"/>
  <c r="J10" i="9"/>
  <c r="K505" i="1"/>
  <c r="K404" i="1" s="1"/>
  <c r="K415" i="1" s="1"/>
  <c r="I10" i="9"/>
  <c r="J505" i="1"/>
  <c r="J404" i="1" s="1"/>
  <c r="J415" i="1" s="1"/>
  <c r="I40" i="8"/>
  <c r="J482" i="1"/>
  <c r="J40" i="8"/>
  <c r="K482" i="1"/>
  <c r="H10" i="9"/>
  <c r="I505" i="1"/>
  <c r="I404" i="1" s="1"/>
  <c r="I415" i="1" s="1"/>
  <c r="K40" i="8"/>
  <c r="L482" i="1"/>
  <c r="H40" i="8"/>
  <c r="I482" i="1"/>
  <c r="G68" i="8"/>
  <c r="H504" i="1" s="1"/>
  <c r="G37" i="8"/>
  <c r="H481" i="1" s="1"/>
  <c r="F93" i="7"/>
  <c r="I598" i="1" l="1"/>
  <c r="H24" i="13" s="1"/>
  <c r="H23" i="13"/>
  <c r="J671" i="1"/>
  <c r="J673" i="1" s="1"/>
  <c r="J597" i="1"/>
  <c r="K42" i="11"/>
  <c r="L666" i="1"/>
  <c r="I42" i="11"/>
  <c r="J666" i="1"/>
  <c r="H42" i="11"/>
  <c r="J42" i="11"/>
  <c r="K666" i="1"/>
  <c r="L315" i="1"/>
  <c r="K315" i="1"/>
  <c r="H265" i="1"/>
  <c r="H270" i="1"/>
  <c r="I45" i="8"/>
  <c r="J484" i="1"/>
  <c r="H45" i="8"/>
  <c r="I484" i="1"/>
  <c r="K45" i="8"/>
  <c r="L484" i="1"/>
  <c r="J45" i="8"/>
  <c r="K484" i="1"/>
  <c r="G24" i="8"/>
  <c r="H468" i="1" s="1"/>
  <c r="G58" i="8"/>
  <c r="G23" i="8"/>
  <c r="H467" i="1" s="1"/>
  <c r="F96" i="7"/>
  <c r="F104" i="7" s="1"/>
  <c r="F106" i="1" s="1"/>
  <c r="G93" i="7"/>
  <c r="J598" i="1" l="1"/>
  <c r="I24" i="13" s="1"/>
  <c r="I23" i="13"/>
  <c r="L671" i="1"/>
  <c r="L673" i="1" s="1"/>
  <c r="L597" i="1"/>
  <c r="K671" i="1"/>
  <c r="K673" i="1" s="1"/>
  <c r="K597" i="1"/>
  <c r="H271" i="1"/>
  <c r="H8" i="9"/>
  <c r="H9" i="9" s="1"/>
  <c r="H14" i="9" s="1"/>
  <c r="H16" i="9" s="1"/>
  <c r="I489" i="1"/>
  <c r="J8" i="9"/>
  <c r="J9" i="9" s="1"/>
  <c r="J14" i="9" s="1"/>
  <c r="J16" i="9" s="1"/>
  <c r="K489" i="1"/>
  <c r="K8" i="9"/>
  <c r="K9" i="9" s="1"/>
  <c r="K14" i="9" s="1"/>
  <c r="K16" i="9" s="1"/>
  <c r="L489" i="1"/>
  <c r="H494" i="1"/>
  <c r="G69" i="8"/>
  <c r="I8" i="9"/>
  <c r="I9" i="9" s="1"/>
  <c r="I14" i="9" s="1"/>
  <c r="I16" i="9" s="1"/>
  <c r="J489" i="1"/>
  <c r="G38" i="8"/>
  <c r="G96" i="7"/>
  <c r="G104" i="7" s="1"/>
  <c r="G106" i="1" s="1"/>
  <c r="F118" i="7"/>
  <c r="F126" i="7" s="1"/>
  <c r="K598" i="1" l="1"/>
  <c r="J24" i="13" s="1"/>
  <c r="J23" i="13"/>
  <c r="L598" i="1"/>
  <c r="K24" i="13" s="1"/>
  <c r="K23" i="13"/>
  <c r="G19" i="11"/>
  <c r="I662" i="1"/>
  <c r="H662" i="1"/>
  <c r="J18" i="9"/>
  <c r="K336" i="1" s="1"/>
  <c r="J33" i="11" s="1"/>
  <c r="K576" i="1"/>
  <c r="K18" i="9"/>
  <c r="L336" i="1" s="1"/>
  <c r="K33" i="11" s="1"/>
  <c r="L576" i="1"/>
  <c r="H18" i="9"/>
  <c r="I336" i="1" s="1"/>
  <c r="H33" i="11" s="1"/>
  <c r="I576" i="1"/>
  <c r="I18" i="9"/>
  <c r="J336" i="1" s="1"/>
  <c r="I33" i="11" s="1"/>
  <c r="J576" i="1"/>
  <c r="L256" i="1"/>
  <c r="L259" i="1" s="1"/>
  <c r="K18" i="11" s="1"/>
  <c r="L280" i="1"/>
  <c r="L289" i="1" s="1"/>
  <c r="L297" i="1" s="1"/>
  <c r="K21" i="11" s="1"/>
  <c r="K256" i="1"/>
  <c r="K259" i="1" s="1"/>
  <c r="K280" i="1"/>
  <c r="K289" i="1" s="1"/>
  <c r="K297" i="1" s="1"/>
  <c r="J256" i="1"/>
  <c r="J259" i="1" s="1"/>
  <c r="J280" i="1"/>
  <c r="J289" i="1" s="1"/>
  <c r="J297" i="1" s="1"/>
  <c r="I256" i="1"/>
  <c r="I259" i="1" s="1"/>
  <c r="I280" i="1"/>
  <c r="I289" i="1" s="1"/>
  <c r="I297" i="1" s="1"/>
  <c r="G10" i="9"/>
  <c r="H505" i="1"/>
  <c r="H404" i="1" s="1"/>
  <c r="H415" i="1" s="1"/>
  <c r="G40" i="8"/>
  <c r="H482" i="1"/>
  <c r="L585" i="1" l="1"/>
  <c r="K11" i="13" s="1"/>
  <c r="K49" i="11"/>
  <c r="K53" i="11" s="1"/>
  <c r="K54" i="11" s="1"/>
  <c r="J585" i="1"/>
  <c r="I11" i="13" s="1"/>
  <c r="I49" i="11"/>
  <c r="I53" i="11" s="1"/>
  <c r="I54" i="11" s="1"/>
  <c r="I585" i="1"/>
  <c r="H11" i="13" s="1"/>
  <c r="H49" i="11"/>
  <c r="H53" i="11" s="1"/>
  <c r="H54" i="11" s="1"/>
  <c r="K585" i="1"/>
  <c r="J11" i="13" s="1"/>
  <c r="J49" i="11"/>
  <c r="J53" i="11" s="1"/>
  <c r="J54" i="11" s="1"/>
  <c r="F12" i="14"/>
  <c r="E12" i="14"/>
  <c r="H12" i="14"/>
  <c r="G12" i="14"/>
  <c r="K24" i="9"/>
  <c r="J23" i="9"/>
  <c r="H23" i="9"/>
  <c r="I23" i="9"/>
  <c r="H18" i="11"/>
  <c r="J661" i="1"/>
  <c r="I21" i="11"/>
  <c r="K663" i="1"/>
  <c r="H21" i="11"/>
  <c r="J663" i="1"/>
  <c r="I18" i="11"/>
  <c r="K661" i="1"/>
  <c r="J21" i="11"/>
  <c r="L663" i="1"/>
  <c r="J18" i="11"/>
  <c r="L661" i="1"/>
  <c r="G42" i="11"/>
  <c r="H666" i="1"/>
  <c r="I666" i="1"/>
  <c r="J577" i="1"/>
  <c r="J626" i="1"/>
  <c r="I577" i="1"/>
  <c r="I626" i="1"/>
  <c r="L577" i="1"/>
  <c r="L626" i="1"/>
  <c r="K577" i="1"/>
  <c r="K626" i="1"/>
  <c r="K23" i="9"/>
  <c r="I24" i="9"/>
  <c r="J24" i="9"/>
  <c r="H24" i="9"/>
  <c r="G45" i="8"/>
  <c r="H484" i="1"/>
  <c r="J106" i="8"/>
  <c r="I106" i="8"/>
  <c r="H106" i="8"/>
  <c r="K106" i="8"/>
  <c r="G13" i="14" l="1"/>
  <c r="G14" i="14" s="1"/>
  <c r="G17" i="14" s="1"/>
  <c r="H13" i="14"/>
  <c r="H14" i="14" s="1"/>
  <c r="H17" i="14" s="1"/>
  <c r="E13" i="14"/>
  <c r="E14" i="14" s="1"/>
  <c r="E17" i="14" s="1"/>
  <c r="F13" i="14"/>
  <c r="F14" i="14" s="1"/>
  <c r="F17" i="14" s="1"/>
  <c r="I612" i="1"/>
  <c r="H37" i="13"/>
  <c r="K612" i="1"/>
  <c r="J37" i="13"/>
  <c r="J612" i="1"/>
  <c r="I37" i="13"/>
  <c r="K37" i="13"/>
  <c r="L612" i="1"/>
  <c r="J664" i="1"/>
  <c r="J667" i="1" s="1"/>
  <c r="J655" i="1" s="1"/>
  <c r="J656" i="1" s="1"/>
  <c r="I8" i="13" s="1"/>
  <c r="I12" i="13" s="1"/>
  <c r="F21" i="14" s="1"/>
  <c r="F24" i="14" s="1"/>
  <c r="K664" i="1"/>
  <c r="K667" i="1" s="1"/>
  <c r="K655" i="1" s="1"/>
  <c r="K656" i="1" s="1"/>
  <c r="J8" i="13" s="1"/>
  <c r="J12" i="13" s="1"/>
  <c r="G21" i="14" s="1"/>
  <c r="G24" i="14" s="1"/>
  <c r="L664" i="1"/>
  <c r="L667" i="1" s="1"/>
  <c r="L655" i="1" s="1"/>
  <c r="L656" i="1" s="1"/>
  <c r="K8" i="13" s="1"/>
  <c r="K12" i="13" s="1"/>
  <c r="H21" i="14" s="1"/>
  <c r="H24" i="14" s="1"/>
  <c r="H489" i="1"/>
  <c r="H566" i="1"/>
  <c r="G8" i="9"/>
  <c r="G9" i="9" s="1"/>
  <c r="G14" i="9" s="1"/>
  <c r="G16" i="9" s="1"/>
  <c r="H576" i="1" s="1"/>
  <c r="G49" i="11" s="1"/>
  <c r="G53" i="11" s="1"/>
  <c r="F15" i="14" l="1"/>
  <c r="F18" i="14" s="1"/>
  <c r="F19" i="14" s="1"/>
  <c r="F25" i="14" s="1"/>
  <c r="E15" i="14"/>
  <c r="E18" i="14" s="1"/>
  <c r="E19" i="14" s="1"/>
  <c r="H15" i="14"/>
  <c r="G15" i="14"/>
  <c r="J615" i="1"/>
  <c r="I41" i="13" s="1"/>
  <c r="I38" i="13"/>
  <c r="L615" i="1"/>
  <c r="K41" i="13" s="1"/>
  <c r="K38" i="13"/>
  <c r="K615" i="1"/>
  <c r="J41" i="13" s="1"/>
  <c r="J38" i="13"/>
  <c r="H38" i="13"/>
  <c r="I615" i="1"/>
  <c r="H626" i="1"/>
  <c r="H585" i="1"/>
  <c r="G11" i="13" s="1"/>
  <c r="H577" i="1"/>
  <c r="G18" i="9"/>
  <c r="H336" i="1" s="1"/>
  <c r="G33" i="11" s="1"/>
  <c r="H256" i="1"/>
  <c r="H259" i="1" s="1"/>
  <c r="H280" i="1"/>
  <c r="H289" i="1" s="1"/>
  <c r="H297" i="1" s="1"/>
  <c r="G18" i="14" l="1"/>
  <c r="G19" i="14" s="1"/>
  <c r="G25" i="14" s="1"/>
  <c r="H18" i="14"/>
  <c r="H19" i="14" s="1"/>
  <c r="H25" i="14" s="1"/>
  <c r="D12" i="14"/>
  <c r="G54" i="11"/>
  <c r="G23" i="9"/>
  <c r="H41" i="13"/>
  <c r="G21" i="11"/>
  <c r="I663" i="1"/>
  <c r="I661" i="1"/>
  <c r="G18" i="11"/>
  <c r="G24" i="9"/>
  <c r="D259" i="1"/>
  <c r="C18" i="11" s="1"/>
  <c r="G259" i="1"/>
  <c r="F18" i="11" s="1"/>
  <c r="F24" i="11" s="1"/>
  <c r="F25" i="11" s="1"/>
  <c r="F56" i="11" s="1"/>
  <c r="F259" i="1"/>
  <c r="E18" i="11" s="1"/>
  <c r="E24" i="11" s="1"/>
  <c r="E25" i="11" s="1"/>
  <c r="E56" i="11" s="1"/>
  <c r="E259" i="1"/>
  <c r="D18" i="11" s="1"/>
  <c r="D24" i="11" s="1"/>
  <c r="D25" i="11" s="1"/>
  <c r="D56" i="11" s="1"/>
  <c r="D28" i="14" l="1"/>
  <c r="D13" i="14"/>
  <c r="D14" i="14" s="1"/>
  <c r="D17" i="14" s="1"/>
  <c r="H661" i="1"/>
  <c r="H664" i="1" s="1"/>
  <c r="H667" i="1" s="1"/>
  <c r="H655" i="1" s="1"/>
  <c r="H656" i="1" s="1"/>
  <c r="G8" i="13" s="1"/>
  <c r="G12" i="13" s="1"/>
  <c r="D21" i="14" s="1"/>
  <c r="D24" i="14" s="1"/>
  <c r="D25" i="14" s="1"/>
  <c r="G37" i="13"/>
  <c r="H612" i="1"/>
  <c r="H615" i="1" s="1"/>
  <c r="I664" i="1"/>
  <c r="I667" i="1" s="1"/>
  <c r="I655" i="1" s="1"/>
  <c r="I656" i="1" s="1"/>
  <c r="H8" i="13" s="1"/>
  <c r="H12" i="13" s="1"/>
  <c r="E21" i="14" s="1"/>
  <c r="E24" i="14" s="1"/>
  <c r="E25" i="14" s="1"/>
  <c r="E57" i="11"/>
  <c r="F57" i="11"/>
  <c r="D57" i="11"/>
  <c r="C259" i="1"/>
  <c r="B18" i="11" s="1"/>
  <c r="H620" i="1" l="1"/>
  <c r="G23" i="11" s="1"/>
  <c r="H618" i="1"/>
  <c r="D15" i="14"/>
  <c r="D18" i="14" s="1"/>
  <c r="D19" i="14" s="1"/>
  <c r="D27" i="14"/>
  <c r="D30" i="14" s="1"/>
  <c r="D32" i="14" s="1"/>
  <c r="D37" i="14" s="1"/>
  <c r="G38" i="13"/>
  <c r="I620" i="1" l="1"/>
  <c r="H23" i="11" s="1"/>
  <c r="G41" i="13"/>
  <c r="G44" i="13" s="1"/>
  <c r="J620" i="1" l="1"/>
  <c r="I23" i="11" s="1"/>
  <c r="I617" i="1"/>
  <c r="F102" i="8"/>
  <c r="F106" i="8" s="1"/>
  <c r="I618" i="1" l="1"/>
  <c r="J617" i="1" s="1"/>
  <c r="H43" i="13"/>
  <c r="H44" i="13" s="1"/>
  <c r="K620" i="1"/>
  <c r="J23" i="11" s="1"/>
  <c r="F104" i="8"/>
  <c r="F108" i="8"/>
  <c r="J618" i="1" l="1"/>
  <c r="K617" i="1" s="1"/>
  <c r="I43" i="13"/>
  <c r="I44" i="13" s="1"/>
  <c r="L620" i="1"/>
  <c r="K23" i="11" s="1"/>
  <c r="H24" i="11"/>
  <c r="H25" i="11" s="1"/>
  <c r="H56" i="11" s="1"/>
  <c r="K618" i="1" l="1"/>
  <c r="L617" i="1" s="1"/>
  <c r="J43" i="13"/>
  <c r="J44" i="13" s="1"/>
  <c r="H57" i="11"/>
  <c r="I24" i="11"/>
  <c r="I25" i="11" s="1"/>
  <c r="I56" i="11" s="1"/>
  <c r="L618" i="1" l="1"/>
  <c r="K43" i="13"/>
  <c r="K44" i="13" s="1"/>
  <c r="I57" i="11"/>
  <c r="J24" i="11"/>
  <c r="J25" i="11" s="1"/>
  <c r="J56" i="11" s="1"/>
  <c r="K24" i="11"/>
  <c r="K25" i="11" s="1"/>
  <c r="K56" i="11" s="1"/>
  <c r="J57" i="11" l="1"/>
  <c r="K57" i="11"/>
  <c r="G24" i="11"/>
  <c r="G25" i="11" s="1"/>
  <c r="G56" i="11" s="1"/>
  <c r="G57" i="11" l="1"/>
  <c r="B24" i="11" l="1"/>
  <c r="B25" i="11" s="1"/>
  <c r="B56" i="11" l="1"/>
  <c r="B57" i="11"/>
  <c r="C24" i="11"/>
  <c r="C25" i="11"/>
  <c r="C56" i="11" s="1"/>
  <c r="C57"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EA899A-84BF-4C5A-9DD0-4640F67DA821}" keepAlive="1" name="Query - Table477 (Page 152)" description="Connection to the 'Table477 (Page 152)' query in the workbook." type="5" refreshedVersion="0" background="1">
    <dbPr connection="Provider=Microsoft.Mashup.OleDb.1;Data Source=$Workbook$;Location=&quot;Table477 (Page 152)&quot;;Extended Properties=&quot;&quot;" command="SELECT * FROM [Table477 (Page 15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<sst xmlns="http://schemas.openxmlformats.org/spreadsheetml/2006/main" count="18255" uniqueCount="695">
  <si>
    <t>Property Plant and equipment</t>
  </si>
  <si>
    <t>Operating assets</t>
  </si>
  <si>
    <t>Capital work in progress</t>
  </si>
  <si>
    <t>Capital Spares</t>
  </si>
  <si>
    <t>Leasehold land</t>
  </si>
  <si>
    <t xml:space="preserve"> Cost </t>
  </si>
  <si>
    <t>Accumulated depreciation</t>
  </si>
  <si>
    <t>Net book value</t>
  </si>
  <si>
    <t>Net carrying value</t>
  </si>
  <si>
    <t xml:space="preserve"> Opening net book value</t>
  </si>
  <si>
    <t xml:space="preserve"> Additions</t>
  </si>
  <si>
    <t xml:space="preserve"> Disposals / write-offs</t>
  </si>
  <si>
    <t xml:space="preserve">Cost </t>
  </si>
  <si>
    <t xml:space="preserve"> Accumulated depreciation</t>
  </si>
  <si>
    <t xml:space="preserve"> Depreciation charge</t>
  </si>
  <si>
    <t xml:space="preserve"> Net book value</t>
  </si>
  <si>
    <t xml:space="preserve">Cost  </t>
  </si>
  <si>
    <t>Buildings on leasehold land</t>
  </si>
  <si>
    <t>-</t>
  </si>
  <si>
    <t>Plant and Machinery</t>
  </si>
  <si>
    <t>Pipelines</t>
  </si>
  <si>
    <t>Cost</t>
  </si>
  <si>
    <t>Opening net book value</t>
  </si>
  <si>
    <t>Furnitures, Fixtures and Equipment</t>
  </si>
  <si>
    <t>Vehicles</t>
  </si>
  <si>
    <t xml:space="preserve">Leasehold land </t>
  </si>
  <si>
    <t>Plant and machinery</t>
  </si>
  <si>
    <t xml:space="preserve">Building and civil works including pipelines </t>
  </si>
  <si>
    <t xml:space="preserve">Furniture, fixture and equipment </t>
  </si>
  <si>
    <t xml:space="preserve">Softwares  </t>
  </si>
  <si>
    <t xml:space="preserve">Advances to suppliers </t>
  </si>
  <si>
    <t xml:space="preserve">Other ancillary costs </t>
  </si>
  <si>
    <t>Capital Work in Progress</t>
  </si>
  <si>
    <t>Right of Use Asset</t>
  </si>
  <si>
    <t>Additions</t>
  </si>
  <si>
    <t>Closing net book value</t>
  </si>
  <si>
    <t>Gross carrying value</t>
  </si>
  <si>
    <t>Storage Tanks</t>
  </si>
  <si>
    <t>Properties</t>
  </si>
  <si>
    <t>Rate of depreciation (%)</t>
  </si>
  <si>
    <t>intangible assets</t>
  </si>
  <si>
    <t>- Computer software and applications</t>
  </si>
  <si>
    <t>Balance at end of the year</t>
  </si>
  <si>
    <t xml:space="preserve">Balance at beginning of the year  </t>
  </si>
  <si>
    <t xml:space="preserve">Add: Additions at cost </t>
  </si>
  <si>
    <t>Less: Amortisation for the year</t>
  </si>
  <si>
    <t>Less: Accumulated amortisation</t>
  </si>
  <si>
    <t>Long Term Investments</t>
  </si>
  <si>
    <t>Subsidiary companies:</t>
  </si>
  <si>
    <t xml:space="preserve"> Think PVC (Private) Limited</t>
  </si>
  <si>
    <t>Engro Peroxide (Private) Limited</t>
  </si>
  <si>
    <t xml:space="preserve"> Engro Plasticizer (Private) Limited</t>
  </si>
  <si>
    <t>investments at amortised cost</t>
  </si>
  <si>
    <t xml:space="preserve">Less: Current maturity </t>
  </si>
  <si>
    <t>Considered good</t>
  </si>
  <si>
    <t>Executives</t>
  </si>
  <si>
    <t>stores, spares and loose tools</t>
  </si>
  <si>
    <t>Consumable stores and spares</t>
  </si>
  <si>
    <t>Stock in Trade</t>
  </si>
  <si>
    <t xml:space="preserve">Raw and packing materials </t>
  </si>
  <si>
    <t>Work-in-process</t>
  </si>
  <si>
    <t>Finished goods - manufactured products and trading product</t>
  </si>
  <si>
    <t>trade debts - considered good</t>
  </si>
  <si>
    <t>Related parties</t>
  </si>
  <si>
    <t xml:space="preserve">Secured </t>
  </si>
  <si>
    <t xml:space="preserve">Unsecured </t>
  </si>
  <si>
    <t>Other</t>
  </si>
  <si>
    <t xml:space="preserve">Less: Provision for expected credit loss </t>
  </si>
  <si>
    <t>loans, advances, deposits, prepayments and other receivables</t>
  </si>
  <si>
    <t>Considered Good</t>
  </si>
  <si>
    <t>Loans to subsidiary companies</t>
  </si>
  <si>
    <t>Other receivables, unsecured</t>
  </si>
  <si>
    <t xml:space="preserve">Advances to employees </t>
  </si>
  <si>
    <t xml:space="preserve">Current portion of long term-loans and advances to executives </t>
  </si>
  <si>
    <t xml:space="preserve">Advances to suppliers and others </t>
  </si>
  <si>
    <t xml:space="preserve">Deposits </t>
  </si>
  <si>
    <t xml:space="preserve">Prepayments </t>
  </si>
  <si>
    <t xml:space="preserve">Workers' Profits Participation Fund </t>
  </si>
  <si>
    <t>Receivable from Government of Pakistan in respect of Sales tax and Federal excise duty refundable</t>
  </si>
  <si>
    <t xml:space="preserve">Due from related parties, unsecured </t>
  </si>
  <si>
    <t>Considered Doubtful</t>
  </si>
  <si>
    <t>- -</t>
  </si>
  <si>
    <t xml:space="preserve">Custom duty claims refundable </t>
  </si>
  <si>
    <t xml:space="preserve">Less: Provision for impairment </t>
  </si>
  <si>
    <t xml:space="preserve">Special Excise Duty (SED) refundable </t>
  </si>
  <si>
    <t>Short term Investments</t>
  </si>
  <si>
    <t>At fair value through profit and loss</t>
  </si>
  <si>
    <t>At amortised cost</t>
  </si>
  <si>
    <t>Term deposit receipts</t>
  </si>
  <si>
    <t xml:space="preserve">Treasury bill </t>
  </si>
  <si>
    <t>Mutual funds</t>
  </si>
  <si>
    <t>Cash and Bank Balances</t>
  </si>
  <si>
    <t xml:space="preserve">Cash in hand </t>
  </si>
  <si>
    <t xml:space="preserve">Cash at bank </t>
  </si>
  <si>
    <t xml:space="preserve"> in current accounts </t>
  </si>
  <si>
    <t xml:space="preserve"> in savings accounts </t>
  </si>
  <si>
    <t>Ordinary Share Capital</t>
  </si>
  <si>
    <t>Authorised capital</t>
  </si>
  <si>
    <t>Issued, subscribed and paid-up capital</t>
  </si>
  <si>
    <t>1,250,000,000 (2022: 1,250,000,000) ordinary shares of Rs. 10 each</t>
  </si>
  <si>
    <t xml:space="preserve">908,923,333 (2022: 908,923,333) ordinary shares of Rs. 10 each, fully paid in cash </t>
  </si>
  <si>
    <t>Preference Shares</t>
  </si>
  <si>
    <t xml:space="preserve">400,000,000 (2022: 400,000,000) preference shares of Rs. 10 each </t>
  </si>
  <si>
    <t>300,000,000 (2022: 300,000,000) preference shares of Rs. 10 each, fully paid in cash -</t>
  </si>
  <si>
    <t>Bilateral Loan - note 18.2</t>
  </si>
  <si>
    <t>Islamic Long Term Financing Facility (ILTFF) - note 18.3</t>
  </si>
  <si>
    <t>Loan under diminishing musharka agreement I - note 18.5</t>
  </si>
  <si>
    <t>Syndicated Long Term Islamic Financing Facility - note 18.6</t>
  </si>
  <si>
    <t>Loan under diminishing musharka agreement II - note 18.7</t>
  </si>
  <si>
    <t>Less: Current portion shown under current liabilities</t>
  </si>
  <si>
    <t>Less: Deferred income - Government grant - note 18.11</t>
  </si>
  <si>
    <t>Loans from International Finance Corporation</t>
  </si>
  <si>
    <t xml:space="preserve"> Bilateral Loan</t>
  </si>
  <si>
    <t xml:space="preserve"> Islamic long Term Financing Facility (ILTFF)</t>
  </si>
  <si>
    <t>Islamic Temporary Economic Refinance Facility (ITERF)</t>
  </si>
  <si>
    <t xml:space="preserve"> Loan under diminishing musharka agreement I</t>
  </si>
  <si>
    <t>Islamic Temporary Economic Refinance Facility (ITERF) - notes 18.4 and 18.11</t>
  </si>
  <si>
    <t>Ijarah facility from International Finance Corporation (IFC) - note 18.8</t>
  </si>
  <si>
    <t>Loan from International Finance Corporation (IFC) - note 18.1</t>
  </si>
  <si>
    <t>Lease Liabilities</t>
  </si>
  <si>
    <t>Current portion</t>
  </si>
  <si>
    <t>Non current portion</t>
  </si>
  <si>
    <t xml:space="preserve">Total lease liabilities  </t>
  </si>
  <si>
    <t>Provisions</t>
  </si>
  <si>
    <t>Provision for:</t>
  </si>
  <si>
    <t xml:space="preserve">Gas Infrastructure Development Cess </t>
  </si>
  <si>
    <t>Gas price revision - note 20.2</t>
  </si>
  <si>
    <t>Less: Current portion of provisions</t>
  </si>
  <si>
    <t>Deferred Tax Liability</t>
  </si>
  <si>
    <t>Credit balances arising due to:</t>
  </si>
  <si>
    <t>Debit balances arising due to:</t>
  </si>
  <si>
    <t xml:space="preserve"> accumulated depreciation</t>
  </si>
  <si>
    <t>unpaid liabilities</t>
  </si>
  <si>
    <t xml:space="preserve"> leases </t>
  </si>
  <si>
    <t xml:space="preserve">provisions </t>
  </si>
  <si>
    <t xml:space="preserve"> shares issuance cost</t>
  </si>
  <si>
    <t xml:space="preserve">Trade and other creditors </t>
  </si>
  <si>
    <t xml:space="preserve">Accrued liabilities - notes 22.1 and 22.2 </t>
  </si>
  <si>
    <t xml:space="preserve">Advances from customers - note 22.3 </t>
  </si>
  <si>
    <t xml:space="preserve">Retention money </t>
  </si>
  <si>
    <t xml:space="preserve">Security deposits - note 22.4 </t>
  </si>
  <si>
    <t xml:space="preserve">Payable to provident fund - </t>
  </si>
  <si>
    <t xml:space="preserve">Payable to gratuity fund </t>
  </si>
  <si>
    <t xml:space="preserve">Payable to pension fund </t>
  </si>
  <si>
    <t>Workers' Welfare Fund - note 22.5</t>
  </si>
  <si>
    <t>Workers' Profits Participation Fund - note 13.5  -</t>
  </si>
  <si>
    <t xml:space="preserve">Withholding tax payable </t>
  </si>
  <si>
    <t xml:space="preserve">Others </t>
  </si>
  <si>
    <t>Trade and other Payables</t>
  </si>
  <si>
    <t xml:space="preserve"> Unappropriated profits</t>
  </si>
  <si>
    <t xml:space="preserve">Share premium </t>
  </si>
  <si>
    <t>Long Term Borrowings</t>
  </si>
  <si>
    <t>Governmanent Grant</t>
  </si>
  <si>
    <t xml:space="preserve">Balance at beginning of the year </t>
  </si>
  <si>
    <t xml:space="preserve">Add: Recognised during the year </t>
  </si>
  <si>
    <t xml:space="preserve">Less: Amortisation during the year  </t>
  </si>
  <si>
    <t xml:space="preserve">Balance at end of the year </t>
  </si>
  <si>
    <t>Less: Current portion</t>
  </si>
  <si>
    <t>Service Benefits Obligation</t>
  </si>
  <si>
    <t>Service incentive plan</t>
  </si>
  <si>
    <t>short-term borrowings</t>
  </si>
  <si>
    <t>Conventional running finance facility - note 24.1  -</t>
  </si>
  <si>
    <t>Islamic running finance facility - note 24.1 -</t>
  </si>
  <si>
    <t xml:space="preserve">Conventional export refinance facility - note 24.2 </t>
  </si>
  <si>
    <t>accrued interest / mark-up</t>
  </si>
  <si>
    <t>Mark-up accrued on:</t>
  </si>
  <si>
    <t xml:space="preserve">long-term borrowings </t>
  </si>
  <si>
    <t xml:space="preserve">short-term borrowings </t>
  </si>
  <si>
    <t>Unclaimed dividend</t>
  </si>
  <si>
    <t>Taxes payable</t>
  </si>
  <si>
    <t>Transfer from right of use assets</t>
  </si>
  <si>
    <t>Transfers to operating assets</t>
  </si>
  <si>
    <t>less: write off during year</t>
  </si>
  <si>
    <t>Sukuks</t>
  </si>
  <si>
    <t>Long Term Loans and Advances</t>
  </si>
  <si>
    <t>revenue from contract with customers - net</t>
  </si>
  <si>
    <t>Less:</t>
  </si>
  <si>
    <t xml:space="preserve">Gross local sales - note 28.1 </t>
  </si>
  <si>
    <t xml:space="preserve">Export sales - note 28.2 </t>
  </si>
  <si>
    <t xml:space="preserve">Supply of electricity - note 28.3 </t>
  </si>
  <si>
    <t>cost of sales</t>
  </si>
  <si>
    <t>Write-off of:</t>
  </si>
  <si>
    <t xml:space="preserve">Opening stock of work-in-process </t>
  </si>
  <si>
    <t xml:space="preserve">Raw and packing materials consumed </t>
  </si>
  <si>
    <t>Salaries, wages and staff welfare</t>
  </si>
  <si>
    <t xml:space="preserve">Fuel, power and gas </t>
  </si>
  <si>
    <t xml:space="preserve">Repairs and maintenance </t>
  </si>
  <si>
    <t>Depreciation on operating assets</t>
  </si>
  <si>
    <t xml:space="preserve">Depreciation on right-of-use asset </t>
  </si>
  <si>
    <t xml:space="preserve">Consumable stores </t>
  </si>
  <si>
    <t xml:space="preserve">Purchased services </t>
  </si>
  <si>
    <t xml:space="preserve">Storage and handling - note 29.2 </t>
  </si>
  <si>
    <t xml:space="preserve">Training, conveyance and travelling </t>
  </si>
  <si>
    <t>Communication, stationery and other office expenses</t>
  </si>
  <si>
    <t>Rent, rates and taxes - note 29.3</t>
  </si>
  <si>
    <t xml:space="preserve">Product transportation </t>
  </si>
  <si>
    <t xml:space="preserve">Insurance, fees and subscription </t>
  </si>
  <si>
    <t xml:space="preserve">Provision against slow moving stores and spares </t>
  </si>
  <si>
    <t xml:space="preserve">Provision against stock-in-trade - note 11.4 </t>
  </si>
  <si>
    <t xml:space="preserve"> stores and spares - note 10.2</t>
  </si>
  <si>
    <t xml:space="preserve">stock in trade - </t>
  </si>
  <si>
    <t xml:space="preserve">Amortisation of intangible assets </t>
  </si>
  <si>
    <t xml:space="preserve">Other expenses </t>
  </si>
  <si>
    <t xml:space="preserve">Closing stock of work-in-process </t>
  </si>
  <si>
    <t xml:space="preserve">Opening stock of manufactured products </t>
  </si>
  <si>
    <t xml:space="preserve">Closing stock of manufactured products </t>
  </si>
  <si>
    <t xml:space="preserve">Cost of sales - trading goods </t>
  </si>
  <si>
    <t xml:space="preserve">Cost of goods manufactured </t>
  </si>
  <si>
    <t>distribution and marketing expenses</t>
  </si>
  <si>
    <t xml:space="preserve">Salaries, wages and staff welfare </t>
  </si>
  <si>
    <t xml:space="preserve">Dealer commission </t>
  </si>
  <si>
    <t xml:space="preserve">Sales promotion </t>
  </si>
  <si>
    <t xml:space="preserve">Rent, rates and taxes - note 30.2 </t>
  </si>
  <si>
    <t xml:space="preserve">Depreciation on operating assets - note 4.3 </t>
  </si>
  <si>
    <t xml:space="preserve">Depreciation on right-of-use asset - note 5.1 </t>
  </si>
  <si>
    <t xml:space="preserve">Communication, stationery and other office expenses </t>
  </si>
  <si>
    <t>Amortisation of intangible assets - note 6.2</t>
  </si>
  <si>
    <t>Other expenses</t>
  </si>
  <si>
    <t>administrative expenses</t>
  </si>
  <si>
    <t>Salaries, wages and staff welfare - note 31.1</t>
  </si>
  <si>
    <t xml:space="preserve">Rent, rates and taxes - note 31.2 </t>
  </si>
  <si>
    <t xml:space="preserve">Amortisation of intangible assets - note 6.2 </t>
  </si>
  <si>
    <t>Depreciation on right-of-use asset - note 5.1</t>
  </si>
  <si>
    <t>Training, conveyance and travelling</t>
  </si>
  <si>
    <t xml:space="preserve">Provision for expected credit loss - note 12 </t>
  </si>
  <si>
    <t>other expenses</t>
  </si>
  <si>
    <t xml:space="preserve">Legal and professional charges </t>
  </si>
  <si>
    <t xml:space="preserve">Auditor's remuneration - note 32.1 </t>
  </si>
  <si>
    <t xml:space="preserve">Donations - note 32.2 </t>
  </si>
  <si>
    <t>Foreign exchange loss (net) - note 32.3</t>
  </si>
  <si>
    <t xml:space="preserve">Workers' Welfare Fund - note 22.5 </t>
  </si>
  <si>
    <t xml:space="preserve">Workers' Profits Participation Fund - note 13.5 </t>
  </si>
  <si>
    <t>other income</t>
  </si>
  <si>
    <t>On financial assets</t>
  </si>
  <si>
    <t>On non-financial assets</t>
  </si>
  <si>
    <t xml:space="preserve">Profit on bank deposits - note 33.1 </t>
  </si>
  <si>
    <t xml:space="preserve">Income from investments - note 33.2 </t>
  </si>
  <si>
    <t>Income on subordinated loans given to subsidairy companies-</t>
  </si>
  <si>
    <t xml:space="preserve">Income on intercompany balance due from associate </t>
  </si>
  <si>
    <t xml:space="preserve">Scrap sales </t>
  </si>
  <si>
    <t xml:space="preserve">Gain on disposal of operating assets - note 4.4 </t>
  </si>
  <si>
    <t xml:space="preserve">Insurance claim </t>
  </si>
  <si>
    <t>Finance Costs</t>
  </si>
  <si>
    <t>Interest / mark-up on:</t>
  </si>
  <si>
    <t>Less: Amortisation of deferred income</t>
  </si>
  <si>
    <t xml:space="preserve"> long-term borrowings - note 34.1 </t>
  </si>
  <si>
    <t xml:space="preserve">lease liabilities </t>
  </si>
  <si>
    <t xml:space="preserve"> short-term borrowings and other facilities </t>
  </si>
  <si>
    <t xml:space="preserve"> Government grant </t>
  </si>
  <si>
    <t xml:space="preserve">Guarantee commission </t>
  </si>
  <si>
    <t xml:space="preserve">Amortisation of transaction costs </t>
  </si>
  <si>
    <t xml:space="preserve">(Reversal of provision) / Provision for default surcharge on GIDC </t>
  </si>
  <si>
    <t xml:space="preserve">Letter of credit charges </t>
  </si>
  <si>
    <t xml:space="preserve">Bank and others charges </t>
  </si>
  <si>
    <t>taxation</t>
  </si>
  <si>
    <t>Current</t>
  </si>
  <si>
    <t>Deferred</t>
  </si>
  <si>
    <t xml:space="preserve"> for the year </t>
  </si>
  <si>
    <t xml:space="preserve">for prior years </t>
  </si>
  <si>
    <t xml:space="preserve"> for the year</t>
  </si>
  <si>
    <t>for prior years</t>
  </si>
  <si>
    <t>Tax rate</t>
  </si>
  <si>
    <t>Tax by rate</t>
  </si>
  <si>
    <t>Actual tax</t>
  </si>
  <si>
    <t>PBT</t>
  </si>
  <si>
    <t>Earnings per share - basic</t>
  </si>
  <si>
    <t>CASH FLOWS FROM OPERATING ACTIVITIES</t>
  </si>
  <si>
    <t>Cash generated from operations</t>
  </si>
  <si>
    <t>Long-term loans and advances, net</t>
  </si>
  <si>
    <t>Retirement benefits paid</t>
  </si>
  <si>
    <t>Income tax paid</t>
  </si>
  <si>
    <t>Net cash generated from operating activities</t>
  </si>
  <si>
    <t>CASH FLOWS FROM INVESTING ACTIVITIES</t>
  </si>
  <si>
    <t>Purchases of property, plant, and equipment and intangible assets</t>
  </si>
  <si>
    <t>Proceeds from disposal of property, plant, and equipment</t>
  </si>
  <si>
    <t>Disbursement of subordinated loan to subsidiary companies</t>
  </si>
  <si>
    <t>Repayment of subordinated loan from subsidiary companies</t>
  </si>
  <si>
    <t>Purchase of short-term investments</t>
  </si>
  <si>
    <t>Proceeds on sale/maturity of short-term investments</t>
  </si>
  <si>
    <t>Income on short-term investments, subordinated loan, intercompany balances, and deposits</t>
  </si>
  <si>
    <t>Net cash generated from / (utilised in) investing activities</t>
  </si>
  <si>
    <t>CASH FLOWS FROM FINANCING ACTIVITIES</t>
  </si>
  <si>
    <t>Proceeds from long-term borrowings - net of transaction costs</t>
  </si>
  <si>
    <t>Repayments of long-term borrowings</t>
  </si>
  <si>
    <t>Proceeds from short-term borrowings</t>
  </si>
  <si>
    <t>Repayment of short-term borrowings</t>
  </si>
  <si>
    <t>Proceeds of subordinated loan from the holding company</t>
  </si>
  <si>
    <t>Repayment of subordinated loan to the holding company</t>
  </si>
  <si>
    <t>Proceeds of subordinated loan from subsidiary company</t>
  </si>
  <si>
    <t>Repayment of subordinated loan to subsidiary company</t>
  </si>
  <si>
    <t>Finance costs paid</t>
  </si>
  <si>
    <t>Lease rentals paid</t>
  </si>
  <si>
    <t>Dividend paid</t>
  </si>
  <si>
    <t>Net cash utilised in financing activities</t>
  </si>
  <si>
    <t>Net decrease in cash and cash equivalents</t>
  </si>
  <si>
    <t>Net foreign exchange differences</t>
  </si>
  <si>
    <t>Cash and cash equivalents at beginning of the year</t>
  </si>
  <si>
    <t>Cash and cash equivalents at end of the year</t>
  </si>
  <si>
    <t>Profit before taxation</t>
  </si>
  <si>
    <t>Adjustments for non-cash charges and other items:</t>
  </si>
  <si>
    <t>Staff retirement and other service benefits</t>
  </si>
  <si>
    <t>Depreciation:</t>
  </si>
  <si>
    <t>- operating assets - note 4.3</t>
  </si>
  <si>
    <t>- right-of-use asset - note 5.1</t>
  </si>
  <si>
    <t>- stores and spares - note 29</t>
  </si>
  <si>
    <t>- stock-in-trade - note 29</t>
  </si>
  <si>
    <t>Provision against:</t>
  </si>
  <si>
    <t>- slow moving stores and spares - note 10.3</t>
  </si>
  <si>
    <t>- stock-in-trade - note 11.4</t>
  </si>
  <si>
    <t>Unrealised foreign exchange (gain) / loss on financial assets and liabilities</t>
  </si>
  <si>
    <t>Income on financial assets - note 33</t>
  </si>
  <si>
    <t>Finance costs - note 34</t>
  </si>
  <si>
    <t>Gain on disposal of operating assets - note 33</t>
  </si>
  <si>
    <t>Remeasurement loss on provision against GIDC - note 20.1.1</t>
  </si>
  <si>
    <t>Provision for expected credit loss - note 31</t>
  </si>
  <si>
    <t>Working capital changes - note 39.1</t>
  </si>
  <si>
    <t>cash generated from operations</t>
  </si>
  <si>
    <t>Working Capital Changes</t>
  </si>
  <si>
    <t>(Increase) / Decrease in current assets</t>
  </si>
  <si>
    <t>Stores, spares, and loose tools</t>
  </si>
  <si>
    <t>Stock-in-trade</t>
  </si>
  <si>
    <t>Trade debts</t>
  </si>
  <si>
    <t>Loans, advances, deposits, and other receivables - net</t>
  </si>
  <si>
    <t>Subtotal</t>
  </si>
  <si>
    <t>(Decrease) / Increase in current liabilities</t>
  </si>
  <si>
    <t>Trade and other payables</t>
  </si>
  <si>
    <t>Total Working Capital Changes</t>
  </si>
  <si>
    <t>Short-term investments - note 14</t>
  </si>
  <si>
    <t>Cash and bank balances - note 15</t>
  </si>
  <si>
    <t>Running finances - note 24.1</t>
  </si>
  <si>
    <t>Total Cash and Cash Equivalents</t>
  </si>
  <si>
    <t>Cash and Cash Equivalents</t>
  </si>
  <si>
    <t>Operating assets write off</t>
  </si>
  <si>
    <t>write off Trade Debts</t>
  </si>
  <si>
    <t>(Gain) / Loss on disposal of operating assets</t>
  </si>
  <si>
    <t>Cash management charges</t>
  </si>
  <si>
    <t>Interest on WPPF</t>
  </si>
  <si>
    <t>trade debts</t>
  </si>
  <si>
    <t>additions</t>
  </si>
  <si>
    <t xml:space="preserve">Less: Current portion shown under current assets  </t>
  </si>
  <si>
    <t xml:space="preserve">Less: Provision against slow moving stores and spares - note 10.3 </t>
  </si>
  <si>
    <t>Recievable from govt pak Duty Claims</t>
  </si>
  <si>
    <t>Treasury Bills</t>
  </si>
  <si>
    <t>Pakistan Investment Bond</t>
  </si>
  <si>
    <t>Write off capital WIP</t>
  </si>
  <si>
    <t>Foreign exchange loss of financial asset and liability</t>
  </si>
  <si>
    <t>Investment made in Term deposit receipts</t>
  </si>
  <si>
    <t>Capital WIP</t>
  </si>
  <si>
    <t>Gain on Derivative Fin Asset</t>
  </si>
  <si>
    <t>Provision against gidc</t>
  </si>
  <si>
    <t xml:space="preserve">Investment in Term Deposit Receipts - note 8.1 </t>
  </si>
  <si>
    <t>recoupable minimum turnover tax</t>
  </si>
  <si>
    <t>recoupable alternative corporatetax</t>
  </si>
  <si>
    <t>Money market loans</t>
  </si>
  <si>
    <t>Provision for doubtful debt</t>
  </si>
  <si>
    <t>Foreign exchange loss of derivativevfinancial liability</t>
  </si>
  <si>
    <t>Comitment fees on borrowngs</t>
  </si>
  <si>
    <t>Derivatine Financial Instruments</t>
  </si>
  <si>
    <t>Investments in subsidiary companies</t>
  </si>
  <si>
    <t>(Reversal of provision) / provision for doubtful debts - note 12.5</t>
  </si>
  <si>
    <t>Foreign exchange loss under derivative financial asset</t>
  </si>
  <si>
    <t>Interest expense on lease liabilities - note 34</t>
  </si>
  <si>
    <t>Amortisation of transaction costs - note 34</t>
  </si>
  <si>
    <t>Gross Sales</t>
  </si>
  <si>
    <t>Year</t>
  </si>
  <si>
    <t>Export sales</t>
  </si>
  <si>
    <t>Real GDP growth (Annual percent change)</t>
  </si>
  <si>
    <t>Pak rupee per Usdollar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</si>
  <si>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</si>
  <si>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</si>
  <si>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</si>
  <si>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</si>
  <si>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</si>
  <si>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</si>
  <si>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</si>
  <si>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</si>
  <si>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</si>
  <si>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</si>
  <si>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</si>
  <si>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</si>
  <si>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</si>
  <si>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</si>
  <si>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</si>
  <si>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</si>
  <si>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</si>
  <si>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</si>
  <si>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</si>
  <si>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</si>
  <si>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</si>
  <si>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</si>
  <si>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</si>
  <si>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</si>
  <si>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EXPORT SALES REGRESSION</t>
  </si>
  <si>
    <t>GROSS SALES REGRESSION</t>
  </si>
  <si>
    <t>Discounts (1.99%)</t>
  </si>
  <si>
    <t>Principal Outstanding</t>
  </si>
  <si>
    <t>Spread (annual)</t>
  </si>
  <si>
    <t>Frequency</t>
  </si>
  <si>
    <t>Years</t>
  </si>
  <si>
    <t>Periods</t>
  </si>
  <si>
    <t>Spread</t>
  </si>
  <si>
    <t>KIBOR (6 M)</t>
  </si>
  <si>
    <t>Period</t>
  </si>
  <si>
    <t>Rate</t>
  </si>
  <si>
    <t>Opening Balance</t>
  </si>
  <si>
    <t>Interest</t>
  </si>
  <si>
    <t>Principal PMT</t>
  </si>
  <si>
    <t>Total PMT</t>
  </si>
  <si>
    <t>Closing balance</t>
  </si>
  <si>
    <t>LIBOR (6 M)</t>
  </si>
  <si>
    <t>Date</t>
  </si>
  <si>
    <t>SBP Rate</t>
  </si>
  <si>
    <t>In 2018, the Company had entered into a financing agreement with IFC for a total of USD 35,000, the draw down of which was made in December 2019. This is secured by way of hypothecation charge of present and future fixed assets of the Company (excluding land and building) to the extent of USD 43,750 which shall rank pari passu with the charges created in favour of the existing creditors.</t>
  </si>
  <si>
    <t>In 2019, the Company entered into a musharaka agreement with Dubai Islamic Bank Pakistan Limited (DIBPL). The borrowing is secured by way of hypothecation charge of present and future fixed assets of the Company (except land and building) to the extent of Rs. 1,199,450, ranking subordinate and subservient to the charges created in favour of the existing creditors, and a lien and a right of set-off over the Term Deposit Receipts maintained with DIBPL (note 8).</t>
  </si>
  <si>
    <t>In 2020, the Company obtained Islamic Long Term Financing Facility (ILTFF) of the State Bank of Pakistan for a period of 10 years through a musharaka agreement entered with financial institutions to finance its PVC-III expansion project. This is secured by way of hypothecation charge of present and future fixed assets of the Company (excluding land and building), to the extent of Rs. 2,437,500 which shall rank pari passu with the charges created in favour of the existing creditors.</t>
  </si>
  <si>
    <t xml:space="preserve"> Sales tax  (14.5%)</t>
  </si>
  <si>
    <t>KIBOR (3 M)</t>
  </si>
  <si>
    <t>KIBOR Forecasts</t>
  </si>
  <si>
    <t>tightening -0.6%, easing +0.6%, normal +0.225%</t>
  </si>
  <si>
    <t>SOFR</t>
  </si>
  <si>
    <t>Total Loan Schedule</t>
  </si>
  <si>
    <t>ITERF Rate</t>
  </si>
  <si>
    <t>SBP TERF Rate</t>
  </si>
  <si>
    <t>In 2021, the Holding Company made a drawdown of Rs. 400,000 under a diminishing musharka agreement entered into with the Bank of Khyber to finance its long-term expenditure. The borrowing is secured by way of a hypothecation charge on the present and future fixed assets of the Holding Company (excluding land and building), to the extent of Rs. 500,000, which shall rank pari passu with the charges created in favor of existing creditors.</t>
  </si>
  <si>
    <t>On December 28, 2022, the Holding Company made a drawdown of Rs. 8,750,000 under a syndicate long-term Islamic financing facility to finance the buyback of its sukuk bonds. The borrowing is secured by way of a hypothecation charge on the present and future fixed assets of the Holding Company, to the extent of Rs. 11,666,667, which shall rank pari passu with the charges created in favor of existing creditors.</t>
  </si>
  <si>
    <t>On December 12, 2022, the Holding Company obtained loans amounting to Rs. 6,000,000 to finance its capital expenditure through a musharaka agreement with financial institutions for a period of 8 years (including a 3-year grace period). The borrowing is secured by a hypothecation charge on the present and future fixed assets of the Holding Company, to the extent of Rs. 7,833,333, which shall rank pari passu with the charges created in favor of existing creditors.</t>
  </si>
  <si>
    <t>In 2021, the Holding Company entered into an ijarah agreement with IFC for a total of USD 15,000, with the drawdown made during November 2023. This borrowing is secured by a hypothecation charge on the present and future fixed assets of the Holding Company (excluding land and building), to the extent of USD 18,750, which shall rank pari passu with the charges created in favor of existing creditors.</t>
  </si>
  <si>
    <t>In 2021, the Holding Company obtained the Islamic Temporary Economic Refinance Facility (ITERF) from SBP for a period of 10 years (including a 2-year grace period) through a musharaka agreement with financial institutions for Rs. 1,000,000 to finance its capital expenditure. The borrowing is secured by a hypothecation charge on the present and future fixed assets of the Holding Company (excluding land and building), to the extent of Rs. 1,250,000, which shall rank pari passu with the charges created in favor of existing creditors. During the year, the Holding Company received an additional Rs. 144,522 under the ITERF loan facility.</t>
  </si>
  <si>
    <t>18.10 In 2022, EPPL entered into a musharaka agreement with Faysal Bank Limited amounting to Rs. 2,000,000 under the ITERF of SBP. The principal is repayable over 10 years in 32 equal quarterly installments commencing from January 2025 and carries markup at SBP Refinance Rate plus 0.95% payable quarterly.</t>
  </si>
  <si>
    <t>Year ended December 31, (Current Year)</t>
  </si>
  <si>
    <t>Gross carrying value - As at January 1,(Current Year)</t>
  </si>
  <si>
    <t>Year ended December 31, Current</t>
  </si>
  <si>
    <t xml:space="preserve">   Gross carrying value - As at December 31, Current Year</t>
  </si>
  <si>
    <t>Rate of Depreciation</t>
  </si>
  <si>
    <t>Assuming theres a disposal completed depreciated after every 3 years. And no other disposals as NBV is significant</t>
  </si>
  <si>
    <t>Assuming Additions in Proportion of 3 years back additions</t>
  </si>
  <si>
    <t>Depr</t>
  </si>
  <si>
    <t>Assuming Additions as average of last 5 yrs</t>
  </si>
  <si>
    <t>Assuming Proportional disposal after every 4 year</t>
  </si>
  <si>
    <t>Using Regression to Find depreciation charges</t>
  </si>
  <si>
    <t>Assuming Disposals when Additions drop</t>
  </si>
  <si>
    <t>Assuming Proportional disposal every 3rd year</t>
  </si>
  <si>
    <t>Assuming Additions in every year except Disposal year</t>
  </si>
  <si>
    <t>Disposal</t>
  </si>
  <si>
    <t>Regression used to forecast depreciation charge</t>
  </si>
  <si>
    <t>Additions and disposals each year proportionally</t>
  </si>
  <si>
    <t>Transfer to Operating Assets</t>
  </si>
  <si>
    <t>Depreciation</t>
  </si>
  <si>
    <t xml:space="preserve">Depreciation </t>
  </si>
  <si>
    <t>Cost Jan 1, Current year</t>
  </si>
  <si>
    <t>Assuming transfers when Additions increase</t>
  </si>
  <si>
    <t>Used Regression for Depreciation charge</t>
  </si>
  <si>
    <t>Disposals are Moving Average</t>
  </si>
  <si>
    <t>assuming additions when there were actual additions in leasehold operating buildings</t>
  </si>
  <si>
    <t>Assuming Transfers to operating assets in 2028 as Openning NBV is less significant</t>
  </si>
  <si>
    <t>Transger from Right of Use Assets</t>
  </si>
  <si>
    <t>Transfer from Storage tanks in 2028</t>
  </si>
  <si>
    <t>Revenue</t>
  </si>
  <si>
    <t>Raw Materials Regression</t>
  </si>
  <si>
    <t>Inflation</t>
  </si>
  <si>
    <t>Raw Material</t>
  </si>
  <si>
    <t>regression</t>
  </si>
  <si>
    <t>trend</t>
  </si>
  <si>
    <t>salaries regression</t>
  </si>
  <si>
    <t>Salaries</t>
  </si>
  <si>
    <t>Moving avg</t>
  </si>
  <si>
    <t>Dep schedule</t>
  </si>
  <si>
    <t>% of Sales</t>
  </si>
  <si>
    <t>Moving Avg</t>
  </si>
  <si>
    <t>Proportionality</t>
  </si>
  <si>
    <t>Moving Average</t>
  </si>
  <si>
    <t>% of revenue</t>
  </si>
  <si>
    <t>Cost of sales</t>
  </si>
  <si>
    <t>Distribution and marketing expense</t>
  </si>
  <si>
    <t>Administrative Expenses</t>
  </si>
  <si>
    <t>Amortisation Charge Allocation</t>
  </si>
  <si>
    <t>Operating AssetsDepr Charge Allocation</t>
  </si>
  <si>
    <t>Right of use Depr Charge Allocation</t>
  </si>
  <si>
    <t>split according %</t>
  </si>
  <si>
    <t>%</t>
  </si>
  <si>
    <t>Auditor's remuneration</t>
  </si>
  <si>
    <t>Donations</t>
  </si>
  <si>
    <t>Foreign exchange loss (net)</t>
  </si>
  <si>
    <t>Workers' Welfare Fund</t>
  </si>
  <si>
    <t>% of Operating Assets</t>
  </si>
  <si>
    <t>% of Salaries</t>
  </si>
  <si>
    <t>% of Gross Sales</t>
  </si>
  <si>
    <t>Trend Analysis</t>
  </si>
  <si>
    <t>no forecast</t>
  </si>
  <si>
    <t>Trend</t>
  </si>
  <si>
    <t>Loan Schedule</t>
  </si>
  <si>
    <t>Revenue from contracts with customers</t>
  </si>
  <si>
    <t>Gross profit</t>
  </si>
  <si>
    <t>Distribution and marketing expenses</t>
  </si>
  <si>
    <t>Administrative expenses</t>
  </si>
  <si>
    <t>Other income</t>
  </si>
  <si>
    <t>Operating profit</t>
  </si>
  <si>
    <t>Finance costs</t>
  </si>
  <si>
    <t>Taxation</t>
  </si>
  <si>
    <t>Profit for the year</t>
  </si>
  <si>
    <t>Weighted Average Outstabding shares</t>
  </si>
  <si>
    <t>Weighted Average Potential Outstabding shares</t>
  </si>
  <si>
    <t>Earnings per share - diluted</t>
  </si>
  <si>
    <t>Assumptions</t>
  </si>
  <si>
    <t>No Forecast</t>
  </si>
  <si>
    <t>% of Leasehold land</t>
  </si>
  <si>
    <t>% of Plant and machinery</t>
  </si>
  <si>
    <t>% of Furniture fixture and equipment</t>
  </si>
  <si>
    <t>% of Softwares</t>
  </si>
  <si>
    <t>Depreciation schedule</t>
  </si>
  <si>
    <t>Depreciation Schedule</t>
  </si>
  <si>
    <t xml:space="preserve">Discounts </t>
  </si>
  <si>
    <t xml:space="preserve"> Sales tax  </t>
  </si>
  <si>
    <t>Moving average</t>
  </si>
  <si>
    <t>Depr Charge Allocation of Right Assets</t>
  </si>
  <si>
    <t>Depr Charge Allocation of Operating Assets</t>
  </si>
  <si>
    <t>constant</t>
  </si>
  <si>
    <t xml:space="preserve">odrinary shares of Rs. 10 each </t>
  </si>
  <si>
    <t>2023's amount to be continue</t>
  </si>
  <si>
    <t>These denote term deposits receipts aggregating to USD 35,000 maintained with Dubai Islamic Bank Pakistan Limited. These carry profit at the rate of six months Libor + 0.89% per annum and are due to mature in six equal semi-annual installments of USD 5.833 million starting from July 15, 2021 and ending on January 15, 2024.</t>
  </si>
  <si>
    <t>moving average</t>
  </si>
  <si>
    <t>By Average of Inventory turnover</t>
  </si>
  <si>
    <t>Proportional to Sales</t>
  </si>
  <si>
    <t>Closing Balance</t>
  </si>
  <si>
    <t>Same as Past/Constant</t>
  </si>
  <si>
    <t>Current maturity of long-Term investments in term deposit receipts</t>
  </si>
  <si>
    <t>X Variable 1</t>
  </si>
  <si>
    <t>X Variable 2</t>
  </si>
  <si>
    <t>CPI Inflation</t>
  </si>
  <si>
    <t>GDP Growth rates</t>
  </si>
  <si>
    <t>modernization%</t>
  </si>
  <si>
    <t>Assumptions sheet</t>
  </si>
  <si>
    <t>Gross sales</t>
  </si>
  <si>
    <t>proportional to sales</t>
  </si>
  <si>
    <t>prop to revenue</t>
  </si>
  <si>
    <t>Proportional to Loans and Advances</t>
  </si>
  <si>
    <t>salaries</t>
  </si>
  <si>
    <t>Regression against salaries</t>
  </si>
  <si>
    <t>Proportional to COGS</t>
  </si>
  <si>
    <t>Fully amortized</t>
  </si>
  <si>
    <t>moving average of last 3 years</t>
  </si>
  <si>
    <t>No forecast as no more investments</t>
  </si>
  <si>
    <t xml:space="preserve">Regression </t>
  </si>
  <si>
    <t>proportional to revenue</t>
  </si>
  <si>
    <t>opening balance</t>
  </si>
  <si>
    <t>credited to Income statement</t>
  </si>
  <si>
    <t>debited/(credited) to Other comprehensive</t>
  </si>
  <si>
    <t>5 year trend</t>
  </si>
  <si>
    <t>Deferred taxation (Notes recreated)</t>
  </si>
  <si>
    <t>Previous year closing</t>
  </si>
  <si>
    <t>Sum</t>
  </si>
  <si>
    <t>closing balance</t>
  </si>
  <si>
    <t>Proportional to other expenses</t>
  </si>
  <si>
    <t>% of Raw Materials</t>
  </si>
  <si>
    <t>% of total expenses</t>
  </si>
  <si>
    <t>% of Revenue</t>
  </si>
  <si>
    <t>Balance Sheet</t>
  </si>
  <si>
    <t>Assets</t>
  </si>
  <si>
    <t>Non Current Assets</t>
  </si>
  <si>
    <t>Property, Plant and Equipment</t>
  </si>
  <si>
    <t>Intangible asstes</t>
  </si>
  <si>
    <t>Long Term Invetsments</t>
  </si>
  <si>
    <t>Investments in Amortised Cost</t>
  </si>
  <si>
    <t>Long term loans and Advance</t>
  </si>
  <si>
    <t>Current Assets</t>
  </si>
  <si>
    <t>Stores, spares and loose tools</t>
  </si>
  <si>
    <t>Loans, advances, deposits, prepayments and other receivables</t>
  </si>
  <si>
    <t>Short Term Investments</t>
  </si>
  <si>
    <t>Cash and bank balances</t>
  </si>
  <si>
    <t>Total Assets</t>
  </si>
  <si>
    <t>Equity and Liabilities</t>
  </si>
  <si>
    <t xml:space="preserve">Equity </t>
  </si>
  <si>
    <t>Ordinary share capital</t>
  </si>
  <si>
    <t>Preference shares</t>
  </si>
  <si>
    <t>share premium</t>
  </si>
  <si>
    <t>Unappropriated profits</t>
  </si>
  <si>
    <t>Non Current Liabilities</t>
  </si>
  <si>
    <t>Government Grant</t>
  </si>
  <si>
    <t>Lease liabilities</t>
  </si>
  <si>
    <t>Defered Tax Liability</t>
  </si>
  <si>
    <t>Current Liabilitiies</t>
  </si>
  <si>
    <t>Service benefit obligations</t>
  </si>
  <si>
    <t>Current portion of long-term borrowings</t>
  </si>
  <si>
    <t>Current portion of Government Grant</t>
  </si>
  <si>
    <t>Current portion of Lease Liabilities</t>
  </si>
  <si>
    <t>Short term borrowings</t>
  </si>
  <si>
    <t>Accrued intersest/mark up</t>
  </si>
  <si>
    <t>Unclaimed dividends</t>
  </si>
  <si>
    <t>Total Equity and Liabilities</t>
  </si>
  <si>
    <t>Total Current portion shown under current liabilities</t>
  </si>
  <si>
    <t>Income tax payments less provision</t>
  </si>
  <si>
    <t>Deferred Tax  Asset</t>
  </si>
  <si>
    <t>Derivative Financial Instrument</t>
  </si>
  <si>
    <t>Lease Schedule</t>
  </si>
  <si>
    <t>Lease schedule (Cell N356)</t>
  </si>
  <si>
    <t>No forecasts</t>
  </si>
  <si>
    <t>Check</t>
  </si>
  <si>
    <t>Match?</t>
  </si>
  <si>
    <t>Historical Data (000s)</t>
  </si>
  <si>
    <t>Forecasted Data (000s)</t>
  </si>
  <si>
    <t>Operating Assets</t>
  </si>
  <si>
    <t>From Government grant notes</t>
  </si>
  <si>
    <t>Lease liabilities Notes</t>
  </si>
  <si>
    <t>Foreign exchange loss of derivative financial liability</t>
  </si>
  <si>
    <t>using Forecast sheet</t>
  </si>
  <si>
    <t>Profit Before Taxation</t>
  </si>
  <si>
    <t>no forecasts</t>
  </si>
  <si>
    <t>Proportional to Finance cost part</t>
  </si>
  <si>
    <t>No Forecasts</t>
  </si>
  <si>
    <t>Proportional to Profit before tax</t>
  </si>
  <si>
    <t>Proportional to Long term loans and advances</t>
  </si>
  <si>
    <t>Proportional to Staff retirement and other benefits</t>
  </si>
  <si>
    <t>Additions in PPE at cost</t>
  </si>
  <si>
    <t>disposal in PPE at Cost</t>
  </si>
  <si>
    <t>Holding Company</t>
  </si>
  <si>
    <t>Open lease</t>
  </si>
  <si>
    <t>Exchange rate</t>
  </si>
  <si>
    <t>Lease rental</t>
  </si>
  <si>
    <t>Closing lease</t>
  </si>
  <si>
    <t>Factors</t>
  </si>
  <si>
    <t>Risk Free Rate</t>
  </si>
  <si>
    <t>Beta of Stock</t>
  </si>
  <si>
    <t>Market return</t>
  </si>
  <si>
    <t>Cost of equity</t>
  </si>
  <si>
    <t>Cost of Debt</t>
  </si>
  <si>
    <t>Tax Rate</t>
  </si>
  <si>
    <t>Sustainable Growth Rate</t>
  </si>
  <si>
    <t>Basis</t>
  </si>
  <si>
    <t>Equity</t>
  </si>
  <si>
    <t>Debt+Equity</t>
  </si>
  <si>
    <t>Weight of Debt</t>
  </si>
  <si>
    <t>Weight of Equity</t>
  </si>
  <si>
    <t>Cashflow from Operations</t>
  </si>
  <si>
    <t>Add Interest (Tax Adjusted)</t>
  </si>
  <si>
    <t>Less Capex</t>
  </si>
  <si>
    <t>Free Cashflow to Firm</t>
  </si>
  <si>
    <t>Discounted Cashflows</t>
  </si>
  <si>
    <t>Net Present Value</t>
  </si>
  <si>
    <t>Terminal Value</t>
  </si>
  <si>
    <t>Value of Firm</t>
  </si>
  <si>
    <t>No. Of Shares</t>
  </si>
  <si>
    <t>Value per Share</t>
  </si>
  <si>
    <t>Current Value per Share</t>
  </si>
  <si>
    <t>Decision</t>
  </si>
  <si>
    <t>Rs(000)</t>
  </si>
  <si>
    <t>10 Year Government bond yeild</t>
  </si>
  <si>
    <t>Exchange Date</t>
  </si>
  <si>
    <t>Close</t>
  </si>
  <si>
    <t>5year CAGR</t>
  </si>
  <si>
    <t>Debt</t>
  </si>
  <si>
    <t>KSE 100</t>
  </si>
  <si>
    <t>CAPM</t>
  </si>
  <si>
    <t>Average of all debt</t>
  </si>
  <si>
    <t>Asumptions</t>
  </si>
  <si>
    <t>GDP growth</t>
  </si>
  <si>
    <t>Engro Polymer &amp; Chemicals ltd.</t>
  </si>
  <si>
    <t>Cashflow statement</t>
  </si>
  <si>
    <t>Income Statement</t>
  </si>
  <si>
    <t>Fuel power gas</t>
  </si>
  <si>
    <t>Valuation</t>
  </si>
  <si>
    <t>Advances to employees  Regression</t>
  </si>
  <si>
    <t>Weighted Average Cost Of Capital (WACC)</t>
  </si>
  <si>
    <t xml:space="preserve">Name </t>
  </si>
  <si>
    <t>ERP</t>
  </si>
  <si>
    <t>Abdul Rahim Shaikh</t>
  </si>
  <si>
    <t>Financial Modeling Project # 2</t>
  </si>
  <si>
    <t>Submitted to</t>
  </si>
  <si>
    <t>Sir Irfan Ahmed</t>
  </si>
  <si>
    <t>Class</t>
  </si>
  <si>
    <t>Proportional to Profit after Tax</t>
  </si>
  <si>
    <t>Governement Grant</t>
  </si>
  <si>
    <t>sum</t>
  </si>
  <si>
    <t>Using Forecast sheet upper bound</t>
  </si>
  <si>
    <t>Supply of Electricity</t>
  </si>
  <si>
    <t>Proportional to Taxation</t>
  </si>
  <si>
    <t>wd(rd)(1-T)</t>
  </si>
  <si>
    <t>ws(rs)</t>
  </si>
  <si>
    <t>PSX Share Price</t>
  </si>
  <si>
    <t>5 year Beta from Refinitiv</t>
  </si>
  <si>
    <t>Dividends paid</t>
  </si>
  <si>
    <t>Profit Retained</t>
  </si>
  <si>
    <t>Proportional to Dividends Paid</t>
  </si>
  <si>
    <t>Average Dividends payout ratio from PSX Data Portal - 25%</t>
  </si>
  <si>
    <t>Forecast sheet use</t>
  </si>
  <si>
    <t>Cash and Bank Balances for Balance sheet</t>
  </si>
  <si>
    <t>AFN</t>
  </si>
  <si>
    <t>Note: For Balance Sheet Cash and Bank Balances are forecasted later in this sheet. This working was to estimate Preceeding figure for cash and bank balances.</t>
  </si>
  <si>
    <t>"Based on Forecasted Cashflows of 5 years we see that Share price is Undervalued today as the Value per share (by discounting future Cashflows) is higher than Actual Share Price today. We can therefore, Invest in Engro Polymers and Chemicals shares TODAY!"</t>
  </si>
  <si>
    <t>Proportional to Additions in PPE at cost</t>
  </si>
  <si>
    <t>Proportional to Disposal in PPE at cost</t>
  </si>
  <si>
    <t>Prop to Long term Investments</t>
  </si>
  <si>
    <t>Prop to Investments in TDRs</t>
  </si>
  <si>
    <t>Prop to Long t0 subsidiary</t>
  </si>
  <si>
    <t>Prop to Short Term Investments</t>
  </si>
  <si>
    <t>Prop to Incomes in Cash and Bank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</si>
</sst>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_-* #,##0.00_-;\-* #,##0.00_-;_-* &quot;-&quot;??_-;_-@_-"/>
    <numFmt numFmtId="165" formatCode="_(* #,##0_);_(* \(#,##0\);_(* &quot;-&quot;??_);_(@_)"/>
    <numFmt numFmtId="166" formatCode="0.000%"/>
    <numFmt numFmtId="167" formatCode="0.0%"/>
    <numFmt numFmtId="168" formatCode="dd/mm/yyyy;@"/>
    <numFmt numFmtId="169" formatCode="_(* #,##0.0000_);_(* \(#,##0.0000\);_(* &quot;-&quot;??_);_(@_)"/>
    <numFmt numFmtId="170" formatCode="_(* #,##0.00000_);_(* \(#,##0.00000\);_(* &quot;-&quot;??_);_(@_)"/>
    <numFmt numFmtId="171" formatCode="_(* #,##0.000_);_(* \(#,##0.000\);_(* &quot;-&quot;??_);_(@_)"/>
    <numFmt numFmtId="172" formatCode="#,##0.00;\-#,##0.00;#,##0.00;&quot;--&quot;"/>
    <numFmt numFmtId="173" formatCode="dd\-mmm\-yyyy"/>
    <numFmt numFmtId="174" formatCode="0.0000000%"/>
    <numFmt numFmtId="175" formatCode="#,##0.000"/>
  </numFmts>
  <fonts count="3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FF0000"/>
      <name val="Aptos Narrow"/>
      <family val="2"/>
      <scheme val="minor"/>
    </font>
    <font>
      <b/>
      <sz val="12"/>
      <color theme="1"/>
      <name val="Aptos Narrow"/>
      <family val="2"/>
      <scheme val="minor"/>
    </font>
    <font>
      <sz val="11"/>
      <name val="Aptos Narrow"/>
      <family val="2"/>
      <scheme val="minor"/>
    </font>
    <font>
      <sz val="10"/>
      <color theme="1"/>
      <name val="Arial"/>
      <family val="2"/>
    </font>
    <font>
      <i/>
      <sz val="11"/>
      <color theme="1"/>
      <name val="Aptos Narrow"/>
      <family val="2"/>
      <scheme val="minor"/>
    </font>
    <font>
      <sz val="12"/>
      <color theme="1"/>
      <name val="Times New Roman"/>
      <family val="1"/>
    </font>
    <font>
      <sz val="11"/>
      <color indexed="8"/>
      <name val="Calibri"/>
      <family val="2"/>
    </font>
    <font>
      <b/>
      <sz val="14"/>
      <name val="Aptos Display"/>
      <family val="2"/>
      <scheme val="major"/>
    </font>
    <font>
      <b/>
      <sz val="11"/>
      <name val="Aptos Narrow"/>
      <family val="2"/>
      <scheme val="minor"/>
    </font>
    <font>
      <b/>
      <sz val="11"/>
      <name val="Aptos Display"/>
      <family val="2"/>
      <scheme val="major"/>
    </font>
    <font>
      <sz val="9.6"/>
      <color theme="1"/>
      <name val="Segoe UI"/>
      <family val="2"/>
    </font>
    <font>
      <b/>
      <sz val="11"/>
      <color theme="5" tint="-0.499984740745262"/>
      <name val="Aptos Narrow"/>
      <family val="2"/>
      <scheme val="minor"/>
    </font>
    <font>
      <sz val="22"/>
      <color theme="1"/>
      <name val="Aptos Narrow"/>
      <family val="2"/>
      <scheme val="minor"/>
    </font>
    <font>
      <sz val="20"/>
      <color theme="1"/>
      <name val="Aptos Narrow"/>
      <family val="2"/>
      <scheme val="minor"/>
    </font>
    <font>
      <sz val="36"/>
      <color theme="1"/>
      <name val="Aptos Narrow"/>
      <family val="2"/>
      <scheme val="minor"/>
    </font>
    <font>
      <sz val="8"/>
      <name val="Aptos Narrow"/>
      <family val="2"/>
      <scheme val="minor"/>
    </font>
    <font>
      <sz val="11"/>
      <name val="Aptos Display"/>
      <family val="2"/>
      <scheme val="major"/>
    </font>
    <font>
      <sz val="14"/>
      <name val="Aptos Display"/>
      <family val="2"/>
      <scheme val="major"/>
    </font>
    <font>
      <b/>
      <u/>
      <sz val="11"/>
      <color theme="1"/>
      <name val="Aptos Narrow"/>
      <family val="2"/>
      <scheme val="minor"/>
    </font>
    <font>
      <b/>
      <sz val="12"/>
      <color theme="1"/>
      <name val="Arial Black"/>
      <family val="2"/>
    </font>
    <font>
      <u/>
      <sz val="11"/>
      <color theme="1"/>
      <name val="Aptos Narrow"/>
      <family val="2"/>
      <scheme val="minor"/>
    </font>
    <font>
      <b/>
      <sz val="10"/>
      <color theme="1"/>
      <name val="Arial"/>
      <family val="2"/>
    </font>
    <font>
      <sz val="10"/>
      <color rgb="FF040C28"/>
      <name val="Arial"/>
      <family val="2"/>
    </font>
    <font>
      <sz val="11"/>
      <color rgb="FF000000"/>
      <name val="Calibri"/>
      <family val="2"/>
    </font>
    <font>
      <b/>
      <sz val="10"/>
      <color rgb="FF000000"/>
      <name val="Calibri"/>
      <family val="2"/>
    </font>
    <font>
      <sz val="10"/>
      <color rgb="FF000000"/>
      <name val="Calibri"/>
      <family val="2"/>
    </font>
    <font>
      <sz val="10"/>
      <color rgb="FFFF0000"/>
      <name val="Calibri"/>
      <family val="2"/>
    </font>
    <font>
      <sz val="10"/>
      <color indexed="8"/>
      <name val="Arial"/>
      <family val="2"/>
    </font>
    <font>
      <b/>
      <i/>
      <sz val="11"/>
      <color theme="1"/>
      <name val="Aptos Narrow"/>
      <family val="2"/>
      <scheme val="minor"/>
    </font>
    <font>
      <b/>
      <sz val="26"/>
      <color theme="1"/>
      <name val="Algerian"/>
      <family val="5"/>
    </font>
    <font>
      <b/>
      <sz val="18"/>
      <color theme="1"/>
      <name val="Aptos Narrow"/>
      <family val="2"/>
      <scheme val="minor"/>
    </font>
    <font>
      <sz val="24"/>
      <color theme="1"/>
      <name val="Aptos Narrow"/>
      <family val="2"/>
      <scheme val="minor"/>
    </font>
    <font>
      <i/>
      <sz val="10"/>
      <color rgb="FF595959"/>
      <name val="Arial"/>
      <family val="2"/>
    </font>
  </fonts>
  <fills count="16">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DEEAF6"/>
        <bgColor indexed="64"/>
      </patternFill>
    </fill>
    <fill>
      <patternFill patternType="solid">
        <fgColor theme="9"/>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A6A6A6"/>
        <bgColor rgb="FFA6A6A6"/>
      </patternFill>
    </fill>
    <fill>
      <patternFill patternType="solid">
        <fgColor theme="2"/>
        <bgColor indexed="64"/>
      </patternFill>
    </fill>
    <fill>
      <patternFill patternType="solid">
        <fgColor theme="2" tint="-9.9978637043366805E-2"/>
        <bgColor indexed="64"/>
      </patternFill>
    </fill>
    <fill>
      <patternFill patternType="solid">
        <fgColor theme="9" tint="0.59999389629810485"/>
        <bgColor indexed="64"/>
      </patternFill>
    </fill>
  </fills>
  <borders count="70">
    <border>
      <left/>
      <right/>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indexed="64"/>
      </top>
      <bottom style="double">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style="thin">
        <color indexed="64"/>
      </left>
      <right/>
      <top style="thin">
        <color indexed="64"/>
      </top>
      <bottom style="double">
        <color indexed="64"/>
      </bottom>
      <diagonal/>
    </border>
    <border>
      <left/>
      <right style="thin">
        <color indexed="64"/>
      </right>
      <top/>
      <bottom style="medium">
        <color indexed="64"/>
      </bottom>
      <diagonal/>
    </border>
    <border>
      <left/>
      <right style="thin">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8">
    <xf numFmtId="0" fontId="0" fillId="0" borderId="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9" fillId="0" borderId="0" applyFill="0" applyProtection="0"/>
    <xf numFmtId="0" fontId="26" fillId="0" borderId="0" applyNumberFormat="0" applyBorder="0" applyAlignment="0"/>
    <xf numFmtId="0" fontId="30" fillId="0" borderId="0" applyNumberFormat="0" applyFont="0" applyFill="0" applyBorder="0" applyAlignment="0" applyProtection="0">
      <alignment vertical="center"/>
    </xf>
    <xf numFmtId="175" fontId="35" fillId="0" borderId="0" applyFill="0" applyBorder="0" applyProtection="0">
      <alignment horizontal="right" vertical="center"/>
    </xf>
  </cellStyleXfs>
  <cellXfs count="462">
    <xf numFmtId="0" fontId="0" fillId="0" borderId="0" xfId="0"/>
    <xf numFmtId="0" fontId="0" fillId="4" borderId="0" xfId="0" applyFill="1"/>
    <xf numFmtId="3" fontId="0" fillId="0" borderId="0" xfId="0" applyNumberFormat="1"/>
    <xf numFmtId="0" fontId="0" fillId="3" borderId="0" xfId="0" applyFill="1"/>
    <xf numFmtId="0" fontId="0" fillId="0" borderId="0" xfId="0" applyAlignment="1">
      <alignment wrapText="1"/>
    </xf>
    <xf numFmtId="0" fontId="2" fillId="0" borderId="0" xfId="0" applyFont="1"/>
    <xf numFmtId="0" fontId="0" fillId="3" borderId="0" xfId="0" applyFill="1" applyAlignment="1">
      <alignment wrapText="1"/>
    </xf>
    <xf numFmtId="0" fontId="0" fillId="4" borderId="0" xfId="0" applyFill="1" applyAlignment="1">
      <alignment wrapText="1"/>
    </xf>
    <xf numFmtId="0" fontId="0" fillId="0" borderId="0" xfId="0"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2" fontId="0" fillId="0" borderId="0" xfId="0" applyNumberFormat="1"/>
    <xf numFmtId="3" fontId="2" fillId="0" borderId="0" xfId="0" applyNumberFormat="1" applyFont="1" applyAlignment="1">
      <alignment vertical="center" wrapText="1"/>
    </xf>
    <xf numFmtId="165" fontId="0" fillId="0" borderId="0" xfId="0" applyNumberFormat="1"/>
    <xf numFmtId="165" fontId="0" fillId="0" borderId="0" xfId="2" applyNumberFormat="1" applyFont="1" applyFill="1" applyBorder="1"/>
    <xf numFmtId="165" fontId="3" fillId="0" borderId="0" xfId="0" applyNumberFormat="1" applyFont="1"/>
    <xf numFmtId="165" fontId="0" fillId="0" borderId="0" xfId="2" applyNumberFormat="1" applyFont="1" applyBorder="1"/>
    <xf numFmtId="165" fontId="0" fillId="0" borderId="0" xfId="2" applyNumberFormat="1" applyFont="1" applyBorder="1" applyAlignment="1">
      <alignment vertical="center" wrapText="1"/>
    </xf>
    <xf numFmtId="0" fontId="0" fillId="0" borderId="1" xfId="0" applyBorder="1"/>
    <xf numFmtId="165" fontId="6" fillId="0" borderId="0" xfId="2" applyNumberFormat="1" applyFont="1" applyBorder="1" applyAlignment="1"/>
    <xf numFmtId="165" fontId="6" fillId="0" borderId="0" xfId="2" applyNumberFormat="1" applyFont="1" applyBorder="1" applyAlignment="1">
      <alignment vertical="center"/>
    </xf>
    <xf numFmtId="165" fontId="6" fillId="0" borderId="0" xfId="2" applyNumberFormat="1" applyFont="1" applyBorder="1" applyAlignment="1">
      <alignment horizontal="right"/>
    </xf>
    <xf numFmtId="165" fontId="0" fillId="0" borderId="0" xfId="2" applyNumberFormat="1" applyFont="1"/>
    <xf numFmtId="165" fontId="0" fillId="0" borderId="0" xfId="2" applyNumberFormat="1" applyFont="1" applyAlignment="1">
      <alignment vertical="center" wrapText="1"/>
    </xf>
    <xf numFmtId="1" fontId="2" fillId="3" borderId="1" xfId="2" applyNumberFormat="1" applyFont="1" applyFill="1" applyBorder="1" applyAlignment="1">
      <alignment horizontal="center" vertical="center"/>
    </xf>
    <xf numFmtId="165" fontId="2" fillId="0" borderId="0" xfId="0" applyNumberFormat="1" applyFont="1" applyAlignment="1">
      <alignment vertical="center" wrapText="1"/>
    </xf>
    <xf numFmtId="165" fontId="0" fillId="0" borderId="2" xfId="2" applyNumberFormat="1" applyFont="1" applyBorder="1"/>
    <xf numFmtId="165" fontId="0" fillId="0" borderId="3" xfId="2" applyNumberFormat="1" applyFont="1" applyBorder="1"/>
    <xf numFmtId="165" fontId="0" fillId="0" borderId="4" xfId="2" applyNumberFormat="1" applyFont="1" applyBorder="1"/>
    <xf numFmtId="165" fontId="0" fillId="0" borderId="5" xfId="2" applyNumberFormat="1" applyFont="1" applyBorder="1"/>
    <xf numFmtId="165" fontId="0" fillId="0" borderId="6" xfId="2" applyNumberFormat="1" applyFont="1" applyBorder="1"/>
    <xf numFmtId="165" fontId="0" fillId="0" borderId="7" xfId="2" applyNumberFormat="1" applyFont="1" applyBorder="1"/>
    <xf numFmtId="165" fontId="0" fillId="0" borderId="8" xfId="2" applyNumberFormat="1" applyFont="1" applyBorder="1"/>
    <xf numFmtId="0" fontId="7" fillId="0" borderId="9" xfId="0" applyFont="1" applyBorder="1" applyAlignment="1">
      <alignment horizontal="center"/>
    </xf>
    <xf numFmtId="0" fontId="7" fillId="0" borderId="9" xfId="0" applyFont="1" applyBorder="1" applyAlignment="1">
      <alignment horizontal="centerContinuous"/>
    </xf>
    <xf numFmtId="0" fontId="0" fillId="0" borderId="0" xfId="0" applyAlignment="1">
      <alignment horizontal="left"/>
    </xf>
    <xf numFmtId="0" fontId="2" fillId="0" borderId="0" xfId="0" applyFont="1" applyAlignment="1">
      <alignment horizontal="left" wrapText="1"/>
    </xf>
    <xf numFmtId="166" fontId="0" fillId="0" borderId="0" xfId="3" applyNumberFormat="1" applyFont="1"/>
    <xf numFmtId="165" fontId="0" fillId="0" borderId="6" xfId="0" applyNumberFormat="1" applyBorder="1"/>
    <xf numFmtId="0" fontId="0" fillId="0" borderId="0" xfId="3" applyNumberFormat="1" applyFont="1" applyBorder="1"/>
    <xf numFmtId="0" fontId="13" fillId="0" borderId="0" xfId="0" applyFont="1" applyAlignment="1">
      <alignment vertical="center" wrapText="1"/>
    </xf>
    <xf numFmtId="0" fontId="5" fillId="0" borderId="0" xfId="0" applyFont="1"/>
    <xf numFmtId="0" fontId="5" fillId="0" borderId="0" xfId="0" applyFont="1" applyAlignment="1">
      <alignment wrapText="1"/>
    </xf>
    <xf numFmtId="16" fontId="5" fillId="0" borderId="0" xfId="0" applyNumberFormat="1" applyFont="1"/>
    <xf numFmtId="17" fontId="5" fillId="0" borderId="0" xfId="0" applyNumberFormat="1" applyFont="1"/>
    <xf numFmtId="164" fontId="12" fillId="0" borderId="0" xfId="0" applyNumberFormat="1" applyFont="1"/>
    <xf numFmtId="0" fontId="12" fillId="0" borderId="0" xfId="0" applyFont="1"/>
    <xf numFmtId="0" fontId="5" fillId="0" borderId="0" xfId="0" applyFont="1" applyAlignment="1">
      <alignment horizontal="left"/>
    </xf>
    <xf numFmtId="0" fontId="5" fillId="0" borderId="24" xfId="0" applyFont="1" applyBorder="1"/>
    <xf numFmtId="0" fontId="5" fillId="0" borderId="31" xfId="0" applyFont="1" applyBorder="1"/>
    <xf numFmtId="0" fontId="11" fillId="7" borderId="34" xfId="0" applyFont="1" applyFill="1" applyBorder="1"/>
    <xf numFmtId="0" fontId="12" fillId="7" borderId="20" xfId="0" applyFont="1" applyFill="1" applyBorder="1" applyAlignment="1">
      <alignment horizontal="center"/>
    </xf>
    <xf numFmtId="0" fontId="12" fillId="7" borderId="27" xfId="0" applyFont="1" applyFill="1" applyBorder="1"/>
    <xf numFmtId="0" fontId="12" fillId="7" borderId="30" xfId="0" applyFont="1" applyFill="1" applyBorder="1"/>
    <xf numFmtId="164" fontId="12" fillId="8" borderId="24" xfId="0" applyNumberFormat="1" applyFont="1" applyFill="1" applyBorder="1"/>
    <xf numFmtId="0" fontId="5" fillId="0" borderId="0" xfId="0" applyFont="1" applyAlignment="1">
      <alignment horizontal="center"/>
    </xf>
    <xf numFmtId="0" fontId="14" fillId="7" borderId="0" xfId="0" applyFont="1" applyFill="1" applyAlignment="1">
      <alignment horizontal="center" wrapText="1"/>
    </xf>
    <xf numFmtId="165" fontId="12" fillId="0" borderId="0" xfId="2" applyNumberFormat="1" applyFont="1" applyFill="1" applyBorder="1" applyAlignment="1">
      <alignment horizontal="right"/>
    </xf>
    <xf numFmtId="0" fontId="11" fillId="0" borderId="0" xfId="0" applyFont="1"/>
    <xf numFmtId="168" fontId="11" fillId="0" borderId="0" xfId="0" applyNumberFormat="1" applyFont="1"/>
    <xf numFmtId="3" fontId="11" fillId="0" borderId="0" xfId="0" applyNumberFormat="1" applyFont="1"/>
    <xf numFmtId="3" fontId="11" fillId="0" borderId="0" xfId="1" applyNumberFormat="1" applyFont="1" applyFill="1" applyBorder="1"/>
    <xf numFmtId="10" fontId="11" fillId="0" borderId="0" xfId="0" applyNumberFormat="1" applyFont="1"/>
    <xf numFmtId="10" fontId="11" fillId="0" borderId="0" xfId="3" applyNumberFormat="1" applyFont="1" applyFill="1" applyBorder="1"/>
    <xf numFmtId="0" fontId="12" fillId="0" borderId="0" xfId="0" applyFont="1" applyAlignment="1">
      <alignment horizontal="center"/>
    </xf>
    <xf numFmtId="1" fontId="2" fillId="0" borderId="0" xfId="2" applyNumberFormat="1" applyFont="1" applyFill="1" applyBorder="1" applyAlignment="1">
      <alignment horizontal="center" vertical="center"/>
    </xf>
    <xf numFmtId="9" fontId="0" fillId="0" borderId="0" xfId="3" applyFont="1" applyBorder="1"/>
    <xf numFmtId="165" fontId="0" fillId="0" borderId="3" xfId="2" applyNumberFormat="1" applyFont="1" applyBorder="1" applyAlignment="1">
      <alignment vertical="center" wrapText="1"/>
    </xf>
    <xf numFmtId="0" fontId="0" fillId="0" borderId="3" xfId="0" applyBorder="1"/>
    <xf numFmtId="0" fontId="0" fillId="0" borderId="4" xfId="0" applyBorder="1"/>
    <xf numFmtId="165" fontId="0" fillId="0" borderId="6" xfId="2" applyNumberFormat="1" applyFont="1" applyBorder="1" applyAlignment="1">
      <alignment vertical="center" wrapText="1"/>
    </xf>
    <xf numFmtId="0" fontId="0" fillId="0" borderId="6" xfId="0" applyBorder="1"/>
    <xf numFmtId="0" fontId="0" fillId="0" borderId="7" xfId="0" applyBorder="1"/>
    <xf numFmtId="165" fontId="0" fillId="0" borderId="4" xfId="2" applyNumberFormat="1" applyFont="1" applyBorder="1" applyAlignment="1">
      <alignment vertical="center" wrapText="1"/>
    </xf>
    <xf numFmtId="43" fontId="0" fillId="0" borderId="0" xfId="0" applyNumberFormat="1"/>
    <xf numFmtId="9" fontId="0" fillId="0" borderId="0" xfId="0" applyNumberFormat="1"/>
    <xf numFmtId="165" fontId="0" fillId="0" borderId="3" xfId="0" applyNumberFormat="1" applyBorder="1"/>
    <xf numFmtId="43" fontId="0" fillId="0" borderId="3" xfId="0" applyNumberFormat="1" applyBorder="1"/>
    <xf numFmtId="43" fontId="0" fillId="0" borderId="40" xfId="0" applyNumberFormat="1" applyBorder="1"/>
    <xf numFmtId="9" fontId="0" fillId="0" borderId="0" xfId="3" applyFont="1"/>
    <xf numFmtId="165" fontId="0" fillId="0" borderId="4" xfId="0" applyNumberFormat="1" applyBorder="1"/>
    <xf numFmtId="165" fontId="0" fillId="0" borderId="7" xfId="0" applyNumberFormat="1" applyBorder="1"/>
    <xf numFmtId="165" fontId="0" fillId="0" borderId="9" xfId="2" applyNumberFormat="1" applyFont="1" applyBorder="1"/>
    <xf numFmtId="165" fontId="0" fillId="0" borderId="8" xfId="2" applyNumberFormat="1" applyFont="1" applyFill="1" applyBorder="1"/>
    <xf numFmtId="165" fontId="0" fillId="0" borderId="0" xfId="3" applyNumberFormat="1" applyFont="1"/>
    <xf numFmtId="165" fontId="0" fillId="0" borderId="41" xfId="2" applyNumberFormat="1" applyFont="1" applyBorder="1"/>
    <xf numFmtId="166" fontId="0" fillId="0" borderId="0" xfId="3" applyNumberFormat="1" applyFont="1" applyAlignment="1">
      <alignment vertical="center" wrapText="1"/>
    </xf>
    <xf numFmtId="166" fontId="0" fillId="0" borderId="0" xfId="3" applyNumberFormat="1" applyFont="1" applyBorder="1" applyAlignment="1">
      <alignment vertical="center" wrapText="1"/>
    </xf>
    <xf numFmtId="1" fontId="1" fillId="0" borderId="0" xfId="2" applyNumberFormat="1" applyFont="1" applyFill="1" applyBorder="1" applyAlignment="1">
      <alignment horizontal="center" vertical="center"/>
    </xf>
    <xf numFmtId="1" fontId="0" fillId="0" borderId="0" xfId="0" applyNumberFormat="1"/>
    <xf numFmtId="167" fontId="0" fillId="0" borderId="0" xfId="3" applyNumberFormat="1" applyFont="1"/>
    <xf numFmtId="43" fontId="0" fillId="0" borderId="6" xfId="0" applyNumberFormat="1" applyBorder="1"/>
    <xf numFmtId="43" fontId="0" fillId="0" borderId="0" xfId="2" applyFont="1" applyBorder="1"/>
    <xf numFmtId="169" fontId="0" fillId="0" borderId="0" xfId="2" applyNumberFormat="1" applyFont="1" applyBorder="1"/>
    <xf numFmtId="170" fontId="0" fillId="0" borderId="0" xfId="2" applyNumberFormat="1" applyFont="1" applyBorder="1"/>
    <xf numFmtId="2" fontId="0" fillId="0" borderId="0" xfId="2" applyNumberFormat="1" applyFont="1" applyBorder="1"/>
    <xf numFmtId="0" fontId="0" fillId="6" borderId="18" xfId="0" applyFill="1" applyBorder="1" applyAlignment="1">
      <alignment wrapText="1"/>
    </xf>
    <xf numFmtId="0" fontId="0" fillId="0" borderId="33" xfId="0" applyBorder="1"/>
    <xf numFmtId="0" fontId="0" fillId="0" borderId="17" xfId="0" applyBorder="1"/>
    <xf numFmtId="0" fontId="0" fillId="0" borderId="22" xfId="0" applyBorder="1" applyAlignment="1">
      <alignment wrapText="1"/>
    </xf>
    <xf numFmtId="0" fontId="0" fillId="0" borderId="14" xfId="0" applyBorder="1"/>
    <xf numFmtId="0" fontId="0" fillId="0" borderId="28" xfId="0" applyBorder="1" applyAlignment="1">
      <alignment wrapText="1"/>
    </xf>
    <xf numFmtId="0" fontId="0" fillId="0" borderId="16" xfId="0" applyBorder="1"/>
    <xf numFmtId="0" fontId="0" fillId="4" borderId="18" xfId="0" applyFill="1" applyBorder="1"/>
    <xf numFmtId="165" fontId="0" fillId="0" borderId="33" xfId="2" applyNumberFormat="1" applyFont="1" applyBorder="1"/>
    <xf numFmtId="1" fontId="0" fillId="0" borderId="33" xfId="0" applyNumberFormat="1" applyBorder="1"/>
    <xf numFmtId="1" fontId="0" fillId="0" borderId="17" xfId="0" applyNumberFormat="1" applyBorder="1"/>
    <xf numFmtId="0" fontId="0" fillId="0" borderId="22" xfId="0" applyBorder="1"/>
    <xf numFmtId="1" fontId="0" fillId="0" borderId="14" xfId="0" applyNumberFormat="1" applyBorder="1"/>
    <xf numFmtId="2" fontId="0" fillId="0" borderId="14" xfId="0" applyNumberFormat="1" applyBorder="1"/>
    <xf numFmtId="2" fontId="0" fillId="0" borderId="1" xfId="0" applyNumberFormat="1" applyBorder="1"/>
    <xf numFmtId="2" fontId="0" fillId="0" borderId="16" xfId="0" applyNumberFormat="1" applyBorder="1"/>
    <xf numFmtId="165" fontId="0" fillId="0" borderId="17" xfId="2" applyNumberFormat="1" applyFont="1" applyBorder="1"/>
    <xf numFmtId="165" fontId="0" fillId="0" borderId="14" xfId="2" applyNumberFormat="1" applyFont="1" applyBorder="1"/>
    <xf numFmtId="170" fontId="0" fillId="0" borderId="14" xfId="2" applyNumberFormat="1" applyFont="1" applyBorder="1"/>
    <xf numFmtId="0" fontId="0" fillId="0" borderId="28" xfId="0" applyBorder="1"/>
    <xf numFmtId="43" fontId="0" fillId="0" borderId="1" xfId="2" applyFont="1" applyBorder="1"/>
    <xf numFmtId="170" fontId="0" fillId="0" borderId="1" xfId="2" applyNumberFormat="1" applyFont="1" applyBorder="1"/>
    <xf numFmtId="170" fontId="0" fillId="0" borderId="16" xfId="2" applyNumberFormat="1" applyFont="1" applyBorder="1"/>
    <xf numFmtId="0" fontId="0" fillId="0" borderId="42" xfId="0" applyBorder="1"/>
    <xf numFmtId="1" fontId="0" fillId="0" borderId="3" xfId="0" applyNumberFormat="1" applyBorder="1"/>
    <xf numFmtId="171" fontId="0" fillId="0" borderId="0" xfId="0" applyNumberFormat="1"/>
    <xf numFmtId="2" fontId="0" fillId="0" borderId="0" xfId="3" applyNumberFormat="1" applyFont="1"/>
    <xf numFmtId="2" fontId="0" fillId="0" borderId="0" xfId="0" applyNumberFormat="1" applyAlignment="1">
      <alignment vertical="center" wrapText="1"/>
    </xf>
    <xf numFmtId="1" fontId="0" fillId="0" borderId="0" xfId="0" applyNumberFormat="1" applyAlignment="1">
      <alignment vertical="center" wrapText="1"/>
    </xf>
    <xf numFmtId="171" fontId="0" fillId="0" borderId="0" xfId="2" applyNumberFormat="1" applyFont="1"/>
    <xf numFmtId="165" fontId="6" fillId="0" borderId="0" xfId="2" applyNumberFormat="1" applyFont="1" applyFill="1" applyBorder="1" applyAlignment="1">
      <alignment vertical="center"/>
    </xf>
    <xf numFmtId="165" fontId="0" fillId="0" borderId="0" xfId="0" applyNumberFormat="1" applyAlignment="1">
      <alignment vertical="center" wrapText="1"/>
    </xf>
    <xf numFmtId="10" fontId="0" fillId="0" borderId="0" xfId="3" applyNumberFormat="1" applyFont="1"/>
    <xf numFmtId="1" fontId="2" fillId="3" borderId="43" xfId="2" applyNumberFormat="1" applyFont="1" applyFill="1" applyBorder="1" applyAlignment="1">
      <alignment horizontal="center" vertical="center"/>
    </xf>
    <xf numFmtId="0" fontId="0" fillId="0" borderId="41" xfId="0" applyBorder="1"/>
    <xf numFmtId="165" fontId="0" fillId="0" borderId="41" xfId="0" applyNumberFormat="1" applyBorder="1"/>
    <xf numFmtId="9" fontId="0" fillId="0" borderId="41" xfId="3" applyFont="1" applyBorder="1"/>
    <xf numFmtId="165" fontId="0" fillId="0" borderId="41" xfId="2" applyNumberFormat="1" applyFont="1" applyFill="1" applyBorder="1"/>
    <xf numFmtId="165" fontId="2" fillId="0" borderId="41" xfId="2" applyNumberFormat="1" applyFont="1" applyBorder="1"/>
    <xf numFmtId="165" fontId="0" fillId="0" borderId="41" xfId="2" applyNumberFormat="1" applyFont="1" applyBorder="1" applyAlignment="1">
      <alignment wrapText="1"/>
    </xf>
    <xf numFmtId="165" fontId="0" fillId="0" borderId="41" xfId="2" applyNumberFormat="1" applyFont="1" applyBorder="1" applyAlignment="1">
      <alignment vertical="center" wrapText="1"/>
    </xf>
    <xf numFmtId="165" fontId="2" fillId="0" borderId="0" xfId="2" applyNumberFormat="1" applyFont="1" applyBorder="1" applyAlignment="1">
      <alignment horizontal="center" vertical="center" wrapText="1"/>
    </xf>
    <xf numFmtId="10" fontId="0" fillId="0" borderId="41" xfId="3" applyNumberFormat="1" applyFont="1" applyBorder="1"/>
    <xf numFmtId="10" fontId="0" fillId="0" borderId="0" xfId="3" applyNumberFormat="1" applyFont="1" applyBorder="1"/>
    <xf numFmtId="165" fontId="0" fillId="0" borderId="37" xfId="2" applyNumberFormat="1" applyFont="1" applyBorder="1"/>
    <xf numFmtId="171" fontId="0" fillId="0" borderId="41" xfId="2" applyNumberFormat="1" applyFont="1" applyBorder="1"/>
    <xf numFmtId="171" fontId="0" fillId="0" borderId="0" xfId="2" applyNumberFormat="1" applyFont="1" applyBorder="1"/>
    <xf numFmtId="3" fontId="0" fillId="0" borderId="41" xfId="0" applyNumberFormat="1" applyBorder="1"/>
    <xf numFmtId="165" fontId="5" fillId="0" borderId="0" xfId="2" applyNumberFormat="1" applyFont="1" applyBorder="1" applyAlignment="1">
      <alignment vertical="center" wrapText="1"/>
    </xf>
    <xf numFmtId="165" fontId="0" fillId="0" borderId="42" xfId="2" applyNumberFormat="1" applyFont="1" applyBorder="1"/>
    <xf numFmtId="165" fontId="0" fillId="0" borderId="42" xfId="2" applyNumberFormat="1" applyFont="1" applyBorder="1" applyAlignment="1">
      <alignment vertical="center" wrapText="1"/>
    </xf>
    <xf numFmtId="3" fontId="0" fillId="0" borderId="42" xfId="0" applyNumberFormat="1" applyBorder="1"/>
    <xf numFmtId="165" fontId="0" fillId="0" borderId="42" xfId="2" applyNumberFormat="1" applyFont="1" applyFill="1" applyBorder="1"/>
    <xf numFmtId="9" fontId="0" fillId="0" borderId="42" xfId="3" applyFont="1" applyBorder="1"/>
    <xf numFmtId="10" fontId="0" fillId="0" borderId="42" xfId="3" applyNumberFormat="1" applyFont="1" applyBorder="1"/>
    <xf numFmtId="165" fontId="0" fillId="0" borderId="25" xfId="2" applyNumberFormat="1" applyFont="1" applyBorder="1"/>
    <xf numFmtId="171" fontId="0" fillId="0" borderId="42" xfId="2" applyNumberFormat="1" applyFont="1" applyBorder="1"/>
    <xf numFmtId="165" fontId="6" fillId="0" borderId="42" xfId="2" applyNumberFormat="1" applyFont="1" applyBorder="1" applyAlignment="1">
      <alignment horizontal="right"/>
    </xf>
    <xf numFmtId="1" fontId="0" fillId="0" borderId="42" xfId="0" applyNumberFormat="1" applyBorder="1"/>
    <xf numFmtId="0" fontId="0" fillId="0" borderId="42" xfId="0" applyBorder="1" applyAlignment="1">
      <alignment vertical="center" wrapText="1"/>
    </xf>
    <xf numFmtId="3" fontId="0" fillId="0" borderId="42" xfId="0" applyNumberFormat="1" applyBorder="1" applyAlignment="1">
      <alignment vertical="center" wrapText="1"/>
    </xf>
    <xf numFmtId="0" fontId="4" fillId="0" borderId="42" xfId="0" applyFont="1" applyBorder="1" applyAlignment="1">
      <alignment vertical="center"/>
    </xf>
    <xf numFmtId="165" fontId="0" fillId="0" borderId="42" xfId="0" applyNumberFormat="1" applyBorder="1"/>
    <xf numFmtId="2" fontId="0" fillId="0" borderId="42" xfId="0" applyNumberFormat="1" applyBorder="1"/>
    <xf numFmtId="1" fontId="0" fillId="0" borderId="42" xfId="0" applyNumberFormat="1" applyBorder="1" applyAlignment="1">
      <alignment vertical="center" wrapText="1"/>
    </xf>
    <xf numFmtId="2" fontId="0" fillId="0" borderId="42" xfId="0" applyNumberFormat="1" applyBorder="1" applyAlignment="1">
      <alignment vertical="center" wrapText="1"/>
    </xf>
    <xf numFmtId="165" fontId="6" fillId="0" borderId="42" xfId="2" applyNumberFormat="1" applyFont="1" applyBorder="1" applyAlignment="1"/>
    <xf numFmtId="0" fontId="0" fillId="2" borderId="1" xfId="0" applyFill="1" applyBorder="1" applyAlignment="1">
      <alignment wrapText="1"/>
    </xf>
    <xf numFmtId="0" fontId="2" fillId="0" borderId="0" xfId="0" applyFont="1" applyAlignment="1">
      <alignment wrapText="1"/>
    </xf>
    <xf numFmtId="3" fontId="0" fillId="0" borderId="0" xfId="0" applyNumberFormat="1" applyAlignment="1">
      <alignment wrapText="1"/>
    </xf>
    <xf numFmtId="165" fontId="6" fillId="0" borderId="0" xfId="2" applyNumberFormat="1" applyFont="1" applyBorder="1" applyAlignment="1">
      <alignment vertical="center" wrapText="1"/>
    </xf>
    <xf numFmtId="43" fontId="0" fillId="0" borderId="6" xfId="0" applyNumberFormat="1" applyBorder="1" applyAlignment="1">
      <alignment wrapText="1"/>
    </xf>
    <xf numFmtId="167" fontId="5" fillId="0" borderId="24" xfId="0" applyNumberFormat="1" applyFont="1" applyBorder="1"/>
    <xf numFmtId="0" fontId="7" fillId="0" borderId="0" xfId="0" applyFont="1" applyAlignment="1">
      <alignment horizontal="center"/>
    </xf>
    <xf numFmtId="0" fontId="19" fillId="0" borderId="0" xfId="0" applyFont="1"/>
    <xf numFmtId="10" fontId="0" fillId="0" borderId="0" xfId="0" applyNumberFormat="1"/>
    <xf numFmtId="14" fontId="0" fillId="0" borderId="0" xfId="0" applyNumberFormat="1"/>
    <xf numFmtId="10" fontId="1" fillId="0" borderId="0" xfId="3" applyNumberFormat="1" applyFont="1" applyBorder="1"/>
    <xf numFmtId="0" fontId="19" fillId="0" borderId="18" xfId="0" applyFont="1" applyBorder="1"/>
    <xf numFmtId="0" fontId="5" fillId="0" borderId="34" xfId="0" applyFont="1" applyBorder="1"/>
    <xf numFmtId="10" fontId="5" fillId="0" borderId="20" xfId="0" applyNumberFormat="1" applyFont="1" applyBorder="1"/>
    <xf numFmtId="10" fontId="5" fillId="0" borderId="21" xfId="0" applyNumberFormat="1" applyFont="1" applyBorder="1"/>
    <xf numFmtId="0" fontId="19" fillId="0" borderId="22" xfId="0" applyFont="1" applyBorder="1"/>
    <xf numFmtId="3" fontId="5" fillId="0" borderId="23" xfId="0" applyNumberFormat="1" applyFont="1" applyBorder="1"/>
    <xf numFmtId="167" fontId="5" fillId="0" borderId="27" xfId="0" applyNumberFormat="1" applyFont="1" applyBorder="1"/>
    <xf numFmtId="167" fontId="5" fillId="0" borderId="23" xfId="0" applyNumberFormat="1" applyFont="1" applyBorder="1"/>
    <xf numFmtId="10" fontId="5" fillId="0" borderId="23" xfId="0" applyNumberFormat="1" applyFont="1" applyBorder="1"/>
    <xf numFmtId="0" fontId="5" fillId="0" borderId="27" xfId="0" applyFont="1" applyBorder="1"/>
    <xf numFmtId="0" fontId="5" fillId="0" borderId="23" xfId="0" applyFont="1" applyBorder="1"/>
    <xf numFmtId="168" fontId="5" fillId="0" borderId="27" xfId="0" applyNumberFormat="1" applyFont="1" applyBorder="1"/>
    <xf numFmtId="168" fontId="5" fillId="0" borderId="24" xfId="0" applyNumberFormat="1" applyFont="1" applyBorder="1"/>
    <xf numFmtId="168" fontId="5" fillId="0" borderId="23" xfId="0" applyNumberFormat="1" applyFont="1" applyBorder="1"/>
    <xf numFmtId="10" fontId="5" fillId="0" borderId="24" xfId="0" applyNumberFormat="1" applyFont="1" applyBorder="1"/>
    <xf numFmtId="0" fontId="19" fillId="0" borderId="28" xfId="0" applyFont="1" applyBorder="1"/>
    <xf numFmtId="0" fontId="5" fillId="0" borderId="29" xfId="0" applyFont="1" applyBorder="1"/>
    <xf numFmtId="3" fontId="5" fillId="0" borderId="24" xfId="0" applyNumberFormat="1" applyFont="1" applyBorder="1"/>
    <xf numFmtId="3" fontId="5" fillId="0" borderId="24" xfId="1" applyNumberFormat="1" applyFont="1" applyFill="1" applyBorder="1"/>
    <xf numFmtId="3" fontId="5" fillId="0" borderId="23" xfId="1" applyNumberFormat="1" applyFont="1" applyFill="1" applyBorder="1"/>
    <xf numFmtId="0" fontId="5" fillId="0" borderId="30" xfId="0" applyFont="1" applyBorder="1"/>
    <xf numFmtId="3" fontId="5" fillId="0" borderId="31" xfId="0" applyNumberFormat="1" applyFont="1" applyBorder="1"/>
    <xf numFmtId="3" fontId="5" fillId="0" borderId="29" xfId="0" applyNumberFormat="1" applyFont="1" applyBorder="1"/>
    <xf numFmtId="0" fontId="5" fillId="0" borderId="32" xfId="0" applyFont="1" applyBorder="1"/>
    <xf numFmtId="0" fontId="19" fillId="0" borderId="33" xfId="0" applyFont="1" applyBorder="1"/>
    <xf numFmtId="0" fontId="19" fillId="0" borderId="17" xfId="0" applyFont="1" applyBorder="1"/>
    <xf numFmtId="165" fontId="19" fillId="0" borderId="24" xfId="2" applyNumberFormat="1" applyFont="1" applyFill="1" applyBorder="1" applyAlignment="1">
      <alignment horizontal="right"/>
    </xf>
    <xf numFmtId="164" fontId="19" fillId="0" borderId="24" xfId="0" applyNumberFormat="1" applyFont="1" applyBorder="1"/>
    <xf numFmtId="164" fontId="19" fillId="0" borderId="23" xfId="0" applyNumberFormat="1" applyFont="1" applyBorder="1"/>
    <xf numFmtId="0" fontId="19" fillId="0" borderId="15" xfId="0" applyFont="1" applyBorder="1"/>
    <xf numFmtId="165" fontId="19" fillId="0" borderId="31" xfId="2" applyNumberFormat="1" applyFont="1" applyFill="1" applyBorder="1" applyAlignment="1">
      <alignment horizontal="right"/>
    </xf>
    <xf numFmtId="164" fontId="19" fillId="0" borderId="31" xfId="0" applyNumberFormat="1" applyFont="1" applyBorder="1"/>
    <xf numFmtId="164" fontId="19" fillId="0" borderId="29" xfId="0" applyNumberFormat="1" applyFont="1" applyBorder="1"/>
    <xf numFmtId="0" fontId="19" fillId="0" borderId="24" xfId="0" applyFont="1" applyBorder="1"/>
    <xf numFmtId="0" fontId="0" fillId="0" borderId="24" xfId="0" applyBorder="1"/>
    <xf numFmtId="0" fontId="19" fillId="0" borderId="34" xfId="0" applyFont="1" applyBorder="1"/>
    <xf numFmtId="10" fontId="0" fillId="0" borderId="24" xfId="0" applyNumberFormat="1" applyBorder="1"/>
    <xf numFmtId="0" fontId="19" fillId="0" borderId="27" xfId="0" applyFont="1" applyBorder="1"/>
    <xf numFmtId="10" fontId="5" fillId="0" borderId="24" xfId="3" applyNumberFormat="1" applyFont="1" applyFill="1" applyBorder="1"/>
    <xf numFmtId="10" fontId="5" fillId="0" borderId="37" xfId="3" applyNumberFormat="1" applyFont="1" applyFill="1" applyBorder="1"/>
    <xf numFmtId="10" fontId="5" fillId="0" borderId="0" xfId="3" applyNumberFormat="1" applyFont="1" applyFill="1" applyBorder="1"/>
    <xf numFmtId="10" fontId="1" fillId="0" borderId="0" xfId="3" applyNumberFormat="1" applyFont="1"/>
    <xf numFmtId="0" fontId="19" fillId="0" borderId="30" xfId="0" applyFont="1" applyBorder="1"/>
    <xf numFmtId="0" fontId="5" fillId="0" borderId="29" xfId="0" applyFont="1" applyBorder="1" applyAlignment="1">
      <alignment wrapText="1"/>
    </xf>
    <xf numFmtId="0" fontId="19" fillId="0" borderId="33" xfId="0" applyFont="1" applyBorder="1" applyAlignment="1">
      <alignment horizontal="center"/>
    </xf>
    <xf numFmtId="0" fontId="19" fillId="0" borderId="17" xfId="0" applyFont="1" applyBorder="1" applyAlignment="1">
      <alignment horizontal="center"/>
    </xf>
    <xf numFmtId="0" fontId="5" fillId="0" borderId="20" xfId="0" applyFont="1" applyBorder="1"/>
    <xf numFmtId="3" fontId="5" fillId="0" borderId="47" xfId="0" applyNumberFormat="1" applyFont="1" applyBorder="1"/>
    <xf numFmtId="0" fontId="19" fillId="0" borderId="20" xfId="0" applyFont="1" applyBorder="1" applyAlignment="1">
      <alignment horizontal="center"/>
    </xf>
    <xf numFmtId="0" fontId="19" fillId="0" borderId="21" xfId="0" applyFont="1" applyBorder="1" applyAlignment="1">
      <alignment horizontal="center"/>
    </xf>
    <xf numFmtId="0" fontId="5" fillId="0" borderId="19" xfId="0" applyFont="1" applyBorder="1"/>
    <xf numFmtId="167" fontId="5" fillId="0" borderId="25" xfId="0" applyNumberFormat="1" applyFont="1" applyBorder="1"/>
    <xf numFmtId="0" fontId="5" fillId="0" borderId="26" xfId="0" applyFont="1" applyBorder="1"/>
    <xf numFmtId="0" fontId="19" fillId="0" borderId="26" xfId="0" applyFont="1" applyBorder="1"/>
    <xf numFmtId="3" fontId="19" fillId="0" borderId="47" xfId="0" applyNumberFormat="1" applyFont="1" applyBorder="1"/>
    <xf numFmtId="10" fontId="19" fillId="0" borderId="23" xfId="0" applyNumberFormat="1" applyFont="1" applyBorder="1"/>
    <xf numFmtId="0" fontId="19" fillId="0" borderId="23" xfId="0" applyFont="1" applyBorder="1"/>
    <xf numFmtId="9" fontId="19" fillId="0" borderId="29" xfId="0" applyNumberFormat="1" applyFont="1" applyBorder="1"/>
    <xf numFmtId="10" fontId="5" fillId="0" borderId="31" xfId="3" applyNumberFormat="1" applyFont="1" applyFill="1" applyBorder="1"/>
    <xf numFmtId="165" fontId="19" fillId="0" borderId="23" xfId="2" applyNumberFormat="1" applyFont="1" applyFill="1" applyBorder="1" applyAlignment="1">
      <alignment horizontal="right"/>
    </xf>
    <xf numFmtId="165" fontId="19" fillId="0" borderId="29" xfId="2" applyNumberFormat="1" applyFont="1" applyFill="1" applyBorder="1" applyAlignment="1">
      <alignment horizontal="right"/>
    </xf>
    <xf numFmtId="165" fontId="19" fillId="0" borderId="0" xfId="2" applyNumberFormat="1" applyFont="1" applyFill="1" applyBorder="1" applyAlignment="1">
      <alignment horizontal="right"/>
    </xf>
    <xf numFmtId="0" fontId="5" fillId="0" borderId="38" xfId="0" applyFont="1" applyBorder="1"/>
    <xf numFmtId="168" fontId="5" fillId="0" borderId="37" xfId="0" applyNumberFormat="1" applyFont="1" applyBorder="1"/>
    <xf numFmtId="3" fontId="5" fillId="0" borderId="37" xfId="0" applyNumberFormat="1" applyFont="1" applyBorder="1"/>
    <xf numFmtId="3" fontId="5" fillId="0" borderId="37" xfId="1" applyNumberFormat="1" applyFont="1" applyFill="1" applyBorder="1"/>
    <xf numFmtId="10" fontId="5" fillId="0" borderId="37" xfId="0" applyNumberFormat="1" applyFont="1" applyBorder="1"/>
    <xf numFmtId="10" fontId="5" fillId="0" borderId="39" xfId="3" applyNumberFormat="1" applyFont="1" applyFill="1" applyBorder="1"/>
    <xf numFmtId="168" fontId="5" fillId="0" borderId="0" xfId="0" applyNumberFormat="1" applyFont="1"/>
    <xf numFmtId="3" fontId="5" fillId="0" borderId="0" xfId="0" applyNumberFormat="1" applyFont="1"/>
    <xf numFmtId="3" fontId="5" fillId="0" borderId="0" xfId="1" applyNumberFormat="1" applyFont="1" applyFill="1" applyBorder="1"/>
    <xf numFmtId="10" fontId="5" fillId="0" borderId="0" xfId="0" applyNumberFormat="1" applyFont="1"/>
    <xf numFmtId="0" fontId="0" fillId="0" borderId="0" xfId="0" applyAlignment="1">
      <alignment vertical="top" wrapText="1"/>
    </xf>
    <xf numFmtId="0" fontId="2" fillId="0" borderId="24" xfId="0" applyFont="1" applyBorder="1" applyAlignment="1">
      <alignment wrapText="1"/>
    </xf>
    <xf numFmtId="10" fontId="2" fillId="0" borderId="24" xfId="0" applyNumberFormat="1" applyFont="1" applyBorder="1" applyAlignment="1">
      <alignment wrapText="1"/>
    </xf>
    <xf numFmtId="0" fontId="0" fillId="0" borderId="0" xfId="0" applyAlignment="1">
      <alignment horizontal="left" wrapText="1"/>
    </xf>
    <xf numFmtId="2" fontId="0" fillId="0" borderId="0" xfId="2" applyNumberFormat="1" applyFont="1" applyAlignment="1">
      <alignment horizontal="left" wrapText="1"/>
    </xf>
    <xf numFmtId="2" fontId="0" fillId="0" borderId="0" xfId="0" applyNumberFormat="1" applyAlignment="1">
      <alignment horizontal="left" wrapText="1"/>
    </xf>
    <xf numFmtId="0" fontId="0" fillId="0" borderId="0" xfId="3" applyNumberFormat="1" applyFont="1" applyBorder="1" applyAlignment="1">
      <alignment wrapText="1"/>
    </xf>
    <xf numFmtId="1" fontId="0" fillId="0" borderId="0" xfId="0" applyNumberFormat="1" applyAlignment="1">
      <alignment horizontal="left"/>
    </xf>
    <xf numFmtId="1" fontId="0" fillId="0" borderId="0" xfId="2" applyNumberFormat="1" applyFont="1" applyAlignment="1">
      <alignment horizontal="left"/>
    </xf>
    <xf numFmtId="0" fontId="21" fillId="0" borderId="0" xfId="0" applyFont="1"/>
    <xf numFmtId="0" fontId="2" fillId="0" borderId="42" xfId="0" applyFont="1" applyBorder="1"/>
    <xf numFmtId="165" fontId="1" fillId="0" borderId="41" xfId="2" applyNumberFormat="1" applyFont="1" applyBorder="1"/>
    <xf numFmtId="165" fontId="1" fillId="0" borderId="41" xfId="2" applyNumberFormat="1" applyFont="1" applyBorder="1" applyAlignment="1">
      <alignment horizontal="right"/>
    </xf>
    <xf numFmtId="165" fontId="1" fillId="0" borderId="0" xfId="2" applyNumberFormat="1" applyFont="1" applyBorder="1" applyAlignment="1">
      <alignment horizontal="right" vertical="center" wrapText="1"/>
    </xf>
    <xf numFmtId="0" fontId="0" fillId="0" borderId="0" xfId="0" applyAlignment="1">
      <alignment horizontal="right" vertical="center" wrapText="1"/>
    </xf>
    <xf numFmtId="0" fontId="0" fillId="0" borderId="0" xfId="0" applyAlignment="1">
      <alignment horizontal="right"/>
    </xf>
    <xf numFmtId="0" fontId="0" fillId="0" borderId="42" xfId="0" applyBorder="1" applyAlignment="1">
      <alignment horizontal="right"/>
    </xf>
    <xf numFmtId="165" fontId="0" fillId="0" borderId="2" xfId="2" applyNumberFormat="1" applyFont="1" applyBorder="1" applyAlignment="1">
      <alignment horizontal="right"/>
    </xf>
    <xf numFmtId="10" fontId="6" fillId="0" borderId="0" xfId="3" applyNumberFormat="1" applyFont="1" applyFill="1" applyBorder="1"/>
    <xf numFmtId="1" fontId="0" fillId="0" borderId="24" xfId="0" applyNumberFormat="1" applyBorder="1"/>
    <xf numFmtId="1" fontId="22" fillId="10" borderId="43" xfId="2" applyNumberFormat="1" applyFont="1" applyFill="1" applyBorder="1" applyAlignment="1">
      <alignment horizontal="center" vertical="center"/>
    </xf>
    <xf numFmtId="1" fontId="22" fillId="10" borderId="1" xfId="2" applyNumberFormat="1" applyFont="1" applyFill="1" applyBorder="1" applyAlignment="1">
      <alignment horizontal="center" vertical="center"/>
    </xf>
    <xf numFmtId="1" fontId="22" fillId="10" borderId="45" xfId="2" applyNumberFormat="1" applyFont="1" applyFill="1" applyBorder="1" applyAlignment="1">
      <alignment horizontal="center" vertical="center"/>
    </xf>
    <xf numFmtId="0" fontId="2" fillId="3" borderId="0" xfId="0" applyFont="1" applyFill="1" applyAlignment="1">
      <alignment wrapText="1"/>
    </xf>
    <xf numFmtId="0" fontId="2" fillId="4" borderId="0" xfId="0" applyFont="1" applyFill="1" applyAlignment="1">
      <alignment wrapText="1"/>
    </xf>
    <xf numFmtId="165" fontId="2" fillId="0" borderId="0" xfId="2" applyNumberFormat="1" applyFont="1" applyBorder="1"/>
    <xf numFmtId="165" fontId="2" fillId="0" borderId="42" xfId="2" applyNumberFormat="1" applyFont="1" applyBorder="1"/>
    <xf numFmtId="165" fontId="2" fillId="0" borderId="0" xfId="0" applyNumberFormat="1" applyFont="1"/>
    <xf numFmtId="1" fontId="2" fillId="0" borderId="0" xfId="0" applyNumberFormat="1" applyFont="1"/>
    <xf numFmtId="165" fontId="2" fillId="0" borderId="0" xfId="2" applyNumberFormat="1" applyFont="1" applyFill="1" applyBorder="1"/>
    <xf numFmtId="165" fontId="1" fillId="0" borderId="0" xfId="2" applyNumberFormat="1" applyFont="1" applyBorder="1"/>
    <xf numFmtId="165" fontId="1" fillId="0" borderId="42" xfId="2" applyNumberFormat="1" applyFont="1" applyBorder="1"/>
    <xf numFmtId="1" fontId="2" fillId="0" borderId="0" xfId="2" applyNumberFormat="1" applyFont="1" applyBorder="1" applyAlignment="1">
      <alignment horizontal="right"/>
    </xf>
    <xf numFmtId="165" fontId="2" fillId="0" borderId="44" xfId="2" applyNumberFormat="1" applyFont="1" applyBorder="1"/>
    <xf numFmtId="165" fontId="2" fillId="0" borderId="13" xfId="2" applyNumberFormat="1" applyFont="1" applyBorder="1"/>
    <xf numFmtId="165" fontId="2" fillId="0" borderId="46" xfId="2" applyNumberFormat="1" applyFont="1" applyBorder="1"/>
    <xf numFmtId="1" fontId="2" fillId="0" borderId="0" xfId="0" applyNumberFormat="1" applyFont="1" applyAlignment="1">
      <alignment vertical="center" wrapText="1"/>
    </xf>
    <xf numFmtId="1" fontId="2" fillId="0" borderId="42" xfId="0" applyNumberFormat="1" applyFont="1" applyBorder="1" applyAlignment="1">
      <alignment vertical="center" wrapText="1"/>
    </xf>
    <xf numFmtId="165" fontId="2" fillId="0" borderId="41" xfId="2" applyNumberFormat="1" applyFont="1" applyBorder="1" applyAlignment="1">
      <alignment vertical="center" wrapText="1"/>
    </xf>
    <xf numFmtId="165" fontId="2" fillId="0" borderId="0" xfId="2" applyNumberFormat="1" applyFont="1" applyBorder="1" applyAlignment="1">
      <alignment vertical="center" wrapText="1"/>
    </xf>
    <xf numFmtId="2" fontId="2" fillId="0" borderId="0" xfId="0" applyNumberFormat="1" applyFont="1" applyAlignment="1">
      <alignment vertical="center" wrapText="1"/>
    </xf>
    <xf numFmtId="2" fontId="2" fillId="0" borderId="42" xfId="0" applyNumberFormat="1" applyFont="1" applyBorder="1" applyAlignment="1">
      <alignment vertical="center" wrapText="1"/>
    </xf>
    <xf numFmtId="1" fontId="0" fillId="0" borderId="0" xfId="2" applyNumberFormat="1" applyFont="1" applyBorder="1"/>
    <xf numFmtId="165" fontId="0" fillId="0" borderId="0" xfId="2" applyNumberFormat="1" applyFont="1" applyBorder="1" applyAlignment="1">
      <alignment vertical="top"/>
    </xf>
    <xf numFmtId="165" fontId="0" fillId="0" borderId="0" xfId="2" applyNumberFormat="1" applyFont="1" applyBorder="1" applyAlignment="1">
      <alignment vertical="top" wrapText="1"/>
    </xf>
    <xf numFmtId="165" fontId="0" fillId="0" borderId="42" xfId="2" applyNumberFormat="1" applyFont="1" applyBorder="1" applyAlignment="1">
      <alignment vertical="top" wrapText="1"/>
    </xf>
    <xf numFmtId="165" fontId="0" fillId="0" borderId="41" xfId="2" applyNumberFormat="1" applyFont="1" applyBorder="1" applyAlignment="1">
      <alignment vertical="top"/>
    </xf>
    <xf numFmtId="165" fontId="0" fillId="0" borderId="42" xfId="2" applyNumberFormat="1" applyFont="1" applyBorder="1" applyAlignment="1">
      <alignment vertical="top"/>
    </xf>
    <xf numFmtId="165" fontId="6" fillId="0" borderId="41" xfId="2" applyNumberFormat="1" applyFont="1" applyBorder="1" applyAlignment="1">
      <alignment vertical="top"/>
    </xf>
    <xf numFmtId="165" fontId="6" fillId="0" borderId="0" xfId="2" applyNumberFormat="1" applyFont="1" applyBorder="1" applyAlignment="1">
      <alignment vertical="top"/>
    </xf>
    <xf numFmtId="165" fontId="6" fillId="0" borderId="42" xfId="2" applyNumberFormat="1" applyFont="1" applyBorder="1" applyAlignment="1">
      <alignment vertical="top"/>
    </xf>
    <xf numFmtId="43" fontId="0" fillId="0" borderId="0" xfId="0" applyNumberFormat="1" applyAlignment="1">
      <alignment vertical="center" wrapText="1"/>
    </xf>
    <xf numFmtId="0" fontId="23" fillId="3" borderId="0" xfId="0" applyFont="1" applyFill="1" applyAlignment="1">
      <alignment wrapText="1"/>
    </xf>
    <xf numFmtId="10" fontId="0" fillId="11" borderId="24" xfId="3" applyNumberFormat="1" applyFont="1" applyFill="1" applyBorder="1"/>
    <xf numFmtId="9" fontId="0" fillId="0" borderId="41" xfId="3" applyFont="1" applyBorder="1" applyAlignment="1">
      <alignment vertical="top"/>
    </xf>
    <xf numFmtId="0" fontId="2" fillId="3" borderId="0" xfId="0" applyFont="1" applyFill="1" applyAlignment="1">
      <alignment vertical="center" wrapText="1"/>
    </xf>
    <xf numFmtId="165" fontId="2" fillId="0" borderId="41" xfId="2" applyNumberFormat="1" applyFont="1" applyBorder="1" applyAlignment="1">
      <alignment vertical="top"/>
    </xf>
    <xf numFmtId="165" fontId="2" fillId="0" borderId="0" xfId="2" applyNumberFormat="1" applyFont="1" applyBorder="1" applyAlignment="1">
      <alignment vertical="top"/>
    </xf>
    <xf numFmtId="165" fontId="2" fillId="0" borderId="0" xfId="2" applyNumberFormat="1" applyFont="1" applyBorder="1" applyAlignment="1">
      <alignment vertical="top" wrapText="1"/>
    </xf>
    <xf numFmtId="165" fontId="2" fillId="0" borderId="42" xfId="2" applyNumberFormat="1" applyFont="1" applyBorder="1" applyAlignment="1">
      <alignment vertical="top" wrapText="1"/>
    </xf>
    <xf numFmtId="43" fontId="2" fillId="0" borderId="0" xfId="0" applyNumberFormat="1" applyFont="1" applyAlignment="1">
      <alignment vertical="center" wrapText="1"/>
    </xf>
    <xf numFmtId="165" fontId="2" fillId="0" borderId="44" xfId="2" applyNumberFormat="1" applyFont="1" applyBorder="1" applyAlignment="1">
      <alignment vertical="top"/>
    </xf>
    <xf numFmtId="165" fontId="2" fillId="0" borderId="13" xfId="2" applyNumberFormat="1" applyFont="1" applyBorder="1" applyAlignment="1">
      <alignment vertical="top"/>
    </xf>
    <xf numFmtId="165" fontId="2" fillId="0" borderId="13" xfId="2" applyNumberFormat="1" applyFont="1" applyBorder="1" applyAlignment="1">
      <alignment vertical="top" wrapText="1"/>
    </xf>
    <xf numFmtId="165" fontId="2" fillId="0" borderId="46" xfId="2" applyNumberFormat="1" applyFont="1" applyBorder="1" applyAlignment="1">
      <alignment vertical="top" wrapText="1"/>
    </xf>
    <xf numFmtId="0" fontId="27" fillId="12" borderId="48" xfId="5" applyFont="1" applyFill="1" applyBorder="1" applyAlignment="1">
      <alignment horizontal="right"/>
    </xf>
    <xf numFmtId="0" fontId="27" fillId="12" borderId="49" xfId="5" applyFont="1" applyFill="1" applyBorder="1" applyAlignment="1">
      <alignment horizontal="right"/>
    </xf>
    <xf numFmtId="173" fontId="28" fillId="0" borderId="48" xfId="5" applyNumberFormat="1" applyFont="1" applyBorder="1"/>
    <xf numFmtId="172" fontId="28" fillId="0" borderId="48" xfId="5" applyNumberFormat="1" applyFont="1" applyBorder="1"/>
    <xf numFmtId="173" fontId="29" fillId="0" borderId="48" xfId="5" applyNumberFormat="1" applyFont="1" applyBorder="1"/>
    <xf numFmtId="174" fontId="0" fillId="0" borderId="0" xfId="3" applyNumberFormat="1" applyFont="1"/>
    <xf numFmtId="9" fontId="2" fillId="0" borderId="0" xfId="3" applyFont="1"/>
    <xf numFmtId="0" fontId="30" fillId="0" borderId="0" xfId="6" applyAlignment="1">
      <alignment horizontal="left" vertical="center" indent="3"/>
    </xf>
    <xf numFmtId="0" fontId="30" fillId="0" borderId="0" xfId="6">
      <alignment vertical="center"/>
    </xf>
    <xf numFmtId="0" fontId="30" fillId="0" borderId="0" xfId="6" applyAlignment="1">
      <alignment horizontal="left" vertical="center" indent="2"/>
    </xf>
    <xf numFmtId="0" fontId="30" fillId="0" borderId="0" xfId="6" applyAlignment="1">
      <alignment vertical="center" wrapText="1"/>
    </xf>
    <xf numFmtId="0" fontId="30" fillId="0" borderId="0" xfId="6" applyAlignment="1">
      <alignment horizontal="left" vertical="center" wrapText="1"/>
    </xf>
    <xf numFmtId="0" fontId="2" fillId="13" borderId="0" xfId="0" applyFont="1" applyFill="1"/>
    <xf numFmtId="0" fontId="2" fillId="13" borderId="15" xfId="0" applyFont="1" applyFill="1" applyBorder="1"/>
    <xf numFmtId="0" fontId="2" fillId="14" borderId="15" xfId="0" applyFont="1" applyFill="1" applyBorder="1"/>
    <xf numFmtId="165" fontId="31" fillId="0" borderId="41" xfId="2" applyNumberFormat="1" applyFont="1" applyBorder="1" applyAlignment="1">
      <alignment vertical="top"/>
    </xf>
    <xf numFmtId="1" fontId="0" fillId="0" borderId="41" xfId="2" applyNumberFormat="1" applyFont="1" applyBorder="1" applyAlignment="1">
      <alignment vertical="top"/>
    </xf>
    <xf numFmtId="10" fontId="25" fillId="0" borderId="50" xfId="0" applyNumberFormat="1" applyFont="1" applyBorder="1"/>
    <xf numFmtId="0" fontId="0" fillId="0" borderId="51" xfId="0" applyBorder="1"/>
    <xf numFmtId="9" fontId="0" fillId="0" borderId="51" xfId="0" applyNumberFormat="1" applyBorder="1"/>
    <xf numFmtId="9" fontId="0" fillId="0" borderId="51" xfId="3" applyFont="1" applyBorder="1"/>
    <xf numFmtId="9" fontId="0" fillId="0" borderId="52" xfId="3" applyFont="1" applyBorder="1"/>
    <xf numFmtId="0" fontId="2" fillId="0" borderId="51" xfId="0" applyFont="1" applyBorder="1"/>
    <xf numFmtId="0" fontId="2" fillId="0" borderId="52" xfId="0" applyFont="1" applyBorder="1"/>
    <xf numFmtId="0" fontId="2" fillId="13" borderId="18" xfId="0" applyFont="1" applyFill="1" applyBorder="1"/>
    <xf numFmtId="0" fontId="2" fillId="13" borderId="33" xfId="0" applyFont="1" applyFill="1" applyBorder="1"/>
    <xf numFmtId="0" fontId="2" fillId="13" borderId="17" xfId="0" applyFont="1" applyFill="1" applyBorder="1"/>
    <xf numFmtId="0" fontId="2" fillId="13" borderId="22" xfId="0" applyFont="1" applyFill="1" applyBorder="1"/>
    <xf numFmtId="0" fontId="2" fillId="13" borderId="14" xfId="0" applyFont="1" applyFill="1" applyBorder="1"/>
    <xf numFmtId="0" fontId="2" fillId="13" borderId="28" xfId="0" applyFont="1" applyFill="1" applyBorder="1"/>
    <xf numFmtId="0" fontId="2" fillId="13" borderId="50" xfId="0" applyFont="1" applyFill="1" applyBorder="1"/>
    <xf numFmtId="0" fontId="2" fillId="13" borderId="51" xfId="0" applyFont="1" applyFill="1" applyBorder="1"/>
    <xf numFmtId="165" fontId="0" fillId="0" borderId="2" xfId="2" applyNumberFormat="1" applyFont="1" applyBorder="1" applyAlignment="1">
      <alignment vertical="top"/>
    </xf>
    <xf numFmtId="165" fontId="0" fillId="0" borderId="53" xfId="2" applyNumberFormat="1" applyFont="1" applyBorder="1" applyAlignment="1">
      <alignment vertical="top"/>
    </xf>
    <xf numFmtId="165" fontId="0" fillId="0" borderId="54" xfId="2" applyNumberFormat="1" applyFont="1" applyBorder="1" applyAlignment="1">
      <alignment vertical="top"/>
    </xf>
    <xf numFmtId="9" fontId="0" fillId="0" borderId="54" xfId="3" applyFont="1" applyBorder="1" applyAlignment="1">
      <alignment vertical="top"/>
    </xf>
    <xf numFmtId="165" fontId="0" fillId="0" borderId="5" xfId="2" applyNumberFormat="1" applyFont="1" applyBorder="1" applyAlignment="1">
      <alignment vertical="top"/>
    </xf>
    <xf numFmtId="165" fontId="0" fillId="0" borderId="40" xfId="2" applyNumberFormat="1" applyFont="1" applyBorder="1" applyAlignment="1">
      <alignment vertical="top"/>
    </xf>
    <xf numFmtId="1" fontId="22" fillId="0" borderId="0" xfId="2" applyNumberFormat="1" applyFont="1" applyFill="1" applyBorder="1" applyAlignment="1">
      <alignment horizontal="center" vertical="center"/>
    </xf>
    <xf numFmtId="165" fontId="0" fillId="0" borderId="0" xfId="2" applyNumberFormat="1" applyFont="1" applyFill="1" applyBorder="1" applyAlignment="1">
      <alignment vertical="center" wrapText="1"/>
    </xf>
    <xf numFmtId="0" fontId="33" fillId="10" borderId="0" xfId="0" applyFont="1" applyFill="1"/>
    <xf numFmtId="0" fontId="2" fillId="0" borderId="0" xfId="0" applyFont="1" applyAlignment="1">
      <alignment horizontal="center"/>
    </xf>
    <xf numFmtId="0" fontId="32" fillId="0" borderId="0" xfId="0" applyFont="1" applyAlignment="1">
      <alignment horizontal="center"/>
    </xf>
    <xf numFmtId="0" fontId="2" fillId="13" borderId="24" xfId="0" applyFont="1" applyFill="1" applyBorder="1"/>
    <xf numFmtId="14" fontId="0" fillId="0" borderId="24" xfId="0" applyNumberFormat="1" applyBorder="1"/>
    <xf numFmtId="10" fontId="1" fillId="0" borderId="24" xfId="3" applyNumberFormat="1" applyFont="1" applyBorder="1"/>
    <xf numFmtId="0" fontId="19" fillId="0" borderId="53" xfId="0" applyFont="1" applyBorder="1"/>
    <xf numFmtId="0" fontId="19" fillId="0" borderId="54" xfId="0" applyFont="1" applyBorder="1"/>
    <xf numFmtId="0" fontId="19" fillId="0" borderId="40" xfId="0" applyFont="1" applyBorder="1"/>
    <xf numFmtId="0" fontId="23" fillId="0" borderId="0" xfId="0" applyFont="1" applyAlignment="1">
      <alignment wrapText="1"/>
    </xf>
    <xf numFmtId="165" fontId="2" fillId="0" borderId="41" xfId="2" applyNumberFormat="1" applyFont="1" applyFill="1" applyBorder="1"/>
    <xf numFmtId="0" fontId="2" fillId="13" borderId="22" xfId="0" applyFont="1" applyFill="1" applyBorder="1" applyAlignment="1">
      <alignment wrapText="1"/>
    </xf>
    <xf numFmtId="0" fontId="2" fillId="0" borderId="42" xfId="0" applyFont="1" applyBorder="1" applyAlignment="1">
      <alignment wrapText="1"/>
    </xf>
    <xf numFmtId="0" fontId="2" fillId="15" borderId="0" xfId="0" applyFont="1" applyFill="1" applyAlignment="1">
      <alignment wrapText="1"/>
    </xf>
    <xf numFmtId="0" fontId="2" fillId="14" borderId="32" xfId="0" applyFont="1" applyFill="1" applyBorder="1" applyAlignment="1">
      <alignment horizontal="center"/>
    </xf>
    <xf numFmtId="165" fontId="2" fillId="0" borderId="54" xfId="2" applyNumberFormat="1" applyFont="1" applyBorder="1" applyAlignment="1">
      <alignment vertical="top"/>
    </xf>
    <xf numFmtId="165" fontId="2" fillId="0" borderId="55" xfId="2" applyNumberFormat="1" applyFont="1" applyBorder="1" applyAlignment="1">
      <alignment vertical="top"/>
    </xf>
    <xf numFmtId="165" fontId="31" fillId="0" borderId="54" xfId="2" applyNumberFormat="1" applyFont="1" applyBorder="1" applyAlignment="1">
      <alignment vertical="top"/>
    </xf>
    <xf numFmtId="0" fontId="0" fillId="0" borderId="54" xfId="0" applyBorder="1"/>
    <xf numFmtId="2" fontId="2" fillId="0" borderId="54" xfId="0" applyNumberFormat="1" applyFont="1" applyBorder="1"/>
    <xf numFmtId="165" fontId="0" fillId="0" borderId="6" xfId="2" applyNumberFormat="1" applyFont="1" applyBorder="1" applyAlignment="1">
      <alignment vertical="top" wrapText="1"/>
    </xf>
    <xf numFmtId="165" fontId="0" fillId="0" borderId="54" xfId="2" applyNumberFormat="1" applyFont="1" applyBorder="1" applyAlignment="1">
      <alignment vertical="top" wrapText="1"/>
    </xf>
    <xf numFmtId="165" fontId="0" fillId="0" borderId="40" xfId="2" applyNumberFormat="1" applyFont="1" applyBorder="1" applyAlignment="1">
      <alignment vertical="top" wrapText="1"/>
    </xf>
    <xf numFmtId="165" fontId="0" fillId="0" borderId="53" xfId="2" applyNumberFormat="1" applyFont="1" applyBorder="1" applyAlignment="1">
      <alignment vertical="top" wrapText="1"/>
    </xf>
    <xf numFmtId="165" fontId="0" fillId="0" borderId="7" xfId="2" applyNumberFormat="1" applyFont="1" applyBorder="1" applyAlignment="1">
      <alignment vertical="top" wrapText="1"/>
    </xf>
    <xf numFmtId="165" fontId="2" fillId="0" borderId="55" xfId="2" applyNumberFormat="1" applyFont="1" applyBorder="1" applyAlignment="1">
      <alignment vertical="top" wrapText="1"/>
    </xf>
    <xf numFmtId="43" fontId="0" fillId="0" borderId="42" xfId="0" applyNumberFormat="1" applyBorder="1" applyAlignment="1">
      <alignment vertical="center" wrapText="1"/>
    </xf>
    <xf numFmtId="43" fontId="2" fillId="0" borderId="42" xfId="0" applyNumberFormat="1" applyFont="1" applyBorder="1" applyAlignment="1">
      <alignment vertical="center" wrapText="1"/>
    </xf>
    <xf numFmtId="165" fontId="6" fillId="0" borderId="5" xfId="2" applyNumberFormat="1" applyFont="1" applyBorder="1" applyAlignment="1">
      <alignment vertical="top"/>
    </xf>
    <xf numFmtId="165" fontId="0" fillId="0" borderId="6" xfId="2" applyNumberFormat="1" applyFont="1" applyBorder="1" applyAlignment="1">
      <alignment vertical="top"/>
    </xf>
    <xf numFmtId="43" fontId="0" fillId="0" borderId="6" xfId="0" applyNumberFormat="1" applyBorder="1" applyAlignment="1">
      <alignment vertical="center" wrapText="1"/>
    </xf>
    <xf numFmtId="43" fontId="0" fillId="0" borderId="7" xfId="0" applyNumberFormat="1" applyBorder="1" applyAlignment="1">
      <alignment vertical="center" wrapText="1"/>
    </xf>
    <xf numFmtId="165" fontId="24" fillId="0" borderId="37" xfId="2" applyNumberFormat="1" applyFont="1" applyBorder="1" applyAlignment="1">
      <alignment vertical="top"/>
    </xf>
    <xf numFmtId="165" fontId="24" fillId="0" borderId="8" xfId="2" applyNumberFormat="1" applyFont="1" applyBorder="1" applyAlignment="1">
      <alignment vertical="top"/>
    </xf>
    <xf numFmtId="165" fontId="24" fillId="0" borderId="25" xfId="2" applyNumberFormat="1" applyFont="1" applyBorder="1" applyAlignment="1">
      <alignment vertical="top"/>
    </xf>
    <xf numFmtId="165" fontId="2" fillId="0" borderId="37" xfId="2" applyNumberFormat="1" applyFont="1" applyBorder="1" applyAlignment="1">
      <alignment vertical="top"/>
    </xf>
    <xf numFmtId="165" fontId="2" fillId="0" borderId="8" xfId="2" applyNumberFormat="1" applyFont="1" applyBorder="1" applyAlignment="1">
      <alignment vertical="top" wrapText="1"/>
    </xf>
    <xf numFmtId="165" fontId="2" fillId="0" borderId="25" xfId="2" applyNumberFormat="1" applyFont="1" applyBorder="1" applyAlignment="1">
      <alignment vertical="top" wrapText="1"/>
    </xf>
    <xf numFmtId="43" fontId="2" fillId="0" borderId="8" xfId="0" applyNumberFormat="1" applyFont="1" applyBorder="1" applyAlignment="1">
      <alignment vertical="center" wrapText="1"/>
    </xf>
    <xf numFmtId="43" fontId="2" fillId="0" borderId="25" xfId="0" applyNumberFormat="1" applyFont="1" applyBorder="1" applyAlignment="1">
      <alignment vertical="center" wrapText="1"/>
    </xf>
    <xf numFmtId="165" fontId="2" fillId="0" borderId="8" xfId="2" applyNumberFormat="1" applyFont="1" applyBorder="1" applyAlignment="1">
      <alignment vertical="top"/>
    </xf>
    <xf numFmtId="165" fontId="2" fillId="0" borderId="25" xfId="2" applyNumberFormat="1" applyFont="1" applyBorder="1" applyAlignment="1">
      <alignment vertical="top"/>
    </xf>
    <xf numFmtId="0" fontId="2" fillId="0" borderId="56" xfId="0" applyFont="1" applyBorder="1"/>
    <xf numFmtId="0" fontId="2" fillId="0" borderId="57" xfId="0" applyFont="1" applyBorder="1"/>
    <xf numFmtId="0" fontId="2" fillId="0" borderId="58" xfId="0" applyFont="1" applyBorder="1"/>
    <xf numFmtId="165" fontId="2" fillId="0" borderId="56" xfId="2" applyNumberFormat="1" applyFont="1" applyBorder="1" applyAlignment="1">
      <alignment vertical="top"/>
    </xf>
    <xf numFmtId="165" fontId="2" fillId="0" borderId="57" xfId="2" applyNumberFormat="1" applyFont="1" applyBorder="1" applyAlignment="1">
      <alignment vertical="top"/>
    </xf>
    <xf numFmtId="43" fontId="2" fillId="0" borderId="58" xfId="2" applyFont="1" applyBorder="1" applyAlignment="1">
      <alignment vertical="top"/>
    </xf>
    <xf numFmtId="43" fontId="2" fillId="13" borderId="59" xfId="2" applyFont="1" applyFill="1" applyBorder="1" applyAlignment="1">
      <alignment vertical="top"/>
    </xf>
    <xf numFmtId="165" fontId="2" fillId="0" borderId="24" xfId="2" applyNumberFormat="1" applyFont="1" applyBorder="1" applyAlignment="1">
      <alignment horizontal="right" vertical="top"/>
    </xf>
    <xf numFmtId="165" fontId="2" fillId="0" borderId="53" xfId="2" applyNumberFormat="1" applyFont="1" applyBorder="1" applyAlignment="1">
      <alignment vertical="top"/>
    </xf>
    <xf numFmtId="165" fontId="2" fillId="0" borderId="40" xfId="2" applyNumberFormat="1" applyFont="1" applyBorder="1" applyAlignment="1">
      <alignment vertical="top"/>
    </xf>
    <xf numFmtId="165" fontId="2" fillId="0" borderId="44" xfId="2" applyNumberFormat="1" applyFont="1" applyBorder="1" applyAlignment="1">
      <alignment vertical="top" wrapText="1"/>
    </xf>
    <xf numFmtId="43" fontId="0" fillId="0" borderId="4" xfId="0" applyNumberFormat="1" applyBorder="1" applyAlignment="1">
      <alignment vertical="center" wrapText="1"/>
    </xf>
    <xf numFmtId="0" fontId="0" fillId="0" borderId="68" xfId="0" applyBorder="1"/>
    <xf numFmtId="0" fontId="0" fillId="0" borderId="69" xfId="0" applyBorder="1"/>
    <xf numFmtId="0" fontId="32" fillId="3" borderId="0" xfId="0" applyFont="1" applyFill="1" applyAlignment="1">
      <alignment horizontal="center" wrapText="1"/>
    </xf>
    <xf numFmtId="0" fontId="2" fillId="0" borderId="0" xfId="0" applyFont="1" applyAlignment="1">
      <alignment horizontal="center"/>
    </xf>
    <xf numFmtId="165" fontId="0" fillId="0" borderId="42" xfId="0" applyNumberFormat="1" applyBorder="1" applyAlignment="1">
      <alignment horizontal="center"/>
    </xf>
    <xf numFmtId="0" fontId="0" fillId="0" borderId="0" xfId="0" applyAlignment="1">
      <alignment horizontal="center"/>
    </xf>
    <xf numFmtId="0" fontId="2" fillId="0" borderId="42" xfId="0" applyFont="1" applyBorder="1" applyAlignment="1">
      <alignment horizontal="center"/>
    </xf>
    <xf numFmtId="165" fontId="22" fillId="9" borderId="41" xfId="2" applyNumberFormat="1" applyFont="1" applyFill="1" applyBorder="1" applyAlignment="1">
      <alignment horizontal="center"/>
    </xf>
    <xf numFmtId="165" fontId="22" fillId="9" borderId="0" xfId="2" applyNumberFormat="1" applyFont="1" applyFill="1" applyBorder="1" applyAlignment="1">
      <alignment horizontal="center"/>
    </xf>
    <xf numFmtId="165" fontId="22" fillId="9" borderId="42" xfId="2" applyNumberFormat="1" applyFont="1" applyFill="1" applyBorder="1" applyAlignment="1">
      <alignment horizontal="center"/>
    </xf>
    <xf numFmtId="0" fontId="22" fillId="9" borderId="41" xfId="0" applyFont="1" applyFill="1" applyBorder="1" applyAlignment="1">
      <alignment horizontal="center"/>
    </xf>
    <xf numFmtId="0" fontId="22" fillId="9" borderId="0" xfId="0" applyFont="1" applyFill="1" applyAlignment="1">
      <alignment horizontal="center"/>
    </xf>
    <xf numFmtId="0" fontId="15" fillId="0" borderId="0" xfId="0" applyFont="1" applyAlignment="1">
      <alignment horizontal="center" vertical="center" textRotation="90"/>
    </xf>
    <xf numFmtId="0" fontId="16" fillId="0" borderId="0" xfId="0" applyFont="1" applyAlignment="1">
      <alignment horizontal="center" vertical="center" textRotation="90"/>
    </xf>
    <xf numFmtId="0" fontId="17" fillId="0" borderId="0" xfId="0" applyFont="1" applyAlignment="1">
      <alignment horizontal="center" vertical="center" textRotation="90"/>
    </xf>
    <xf numFmtId="0" fontId="0" fillId="0" borderId="42" xfId="0" applyBorder="1" applyAlignment="1">
      <alignment horizontal="center" vertical="center" wrapText="1"/>
    </xf>
    <xf numFmtId="0" fontId="34" fillId="0" borderId="0" xfId="0" applyFont="1" applyAlignment="1">
      <alignment horizontal="center" vertical="center" textRotation="90" wrapText="1"/>
    </xf>
    <xf numFmtId="0" fontId="2" fillId="8" borderId="60" xfId="0" applyFont="1" applyFill="1" applyBorder="1" applyAlignment="1">
      <alignment horizontal="center" wrapText="1"/>
    </xf>
    <xf numFmtId="0" fontId="2" fillId="8" borderId="61" xfId="0" applyFont="1" applyFill="1" applyBorder="1" applyAlignment="1">
      <alignment horizontal="center" wrapText="1"/>
    </xf>
    <xf numFmtId="0" fontId="2" fillId="8" borderId="62" xfId="0" applyFont="1" applyFill="1" applyBorder="1" applyAlignment="1">
      <alignment horizontal="center" wrapText="1"/>
    </xf>
    <xf numFmtId="0" fontId="2" fillId="8" borderId="63" xfId="0" applyFont="1" applyFill="1" applyBorder="1" applyAlignment="1">
      <alignment horizontal="center" wrapText="1"/>
    </xf>
    <xf numFmtId="0" fontId="2" fillId="8" borderId="0" xfId="0" applyFont="1" applyFill="1" applyAlignment="1">
      <alignment horizontal="center" wrapText="1"/>
    </xf>
    <xf numFmtId="0" fontId="2" fillId="8" borderId="64" xfId="0" applyFont="1" applyFill="1" applyBorder="1" applyAlignment="1">
      <alignment horizontal="center" wrapText="1"/>
    </xf>
    <xf numFmtId="0" fontId="2" fillId="8" borderId="65" xfId="0" applyFont="1" applyFill="1" applyBorder="1" applyAlignment="1">
      <alignment horizontal="center" wrapText="1"/>
    </xf>
    <xf numFmtId="0" fontId="2" fillId="8" borderId="66" xfId="0" applyFont="1" applyFill="1" applyBorder="1" applyAlignment="1">
      <alignment horizontal="center" wrapText="1"/>
    </xf>
    <xf numFmtId="0" fontId="2" fillId="8" borderId="67" xfId="0" applyFont="1" applyFill="1" applyBorder="1" applyAlignment="1">
      <alignment horizontal="center" wrapText="1"/>
    </xf>
    <xf numFmtId="0" fontId="2" fillId="0" borderId="0" xfId="0" applyFont="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8" fillId="5" borderId="12" xfId="0" applyFont="1" applyFill="1" applyBorder="1" applyAlignment="1">
      <alignment horizontal="center" wrapText="1"/>
    </xf>
    <xf numFmtId="0" fontId="14" fillId="7" borderId="0" xfId="0" applyFont="1" applyFill="1" applyAlignment="1">
      <alignment horizontal="center" wrapText="1"/>
    </xf>
    <xf numFmtId="0" fontId="10" fillId="0" borderId="0" xfId="0" applyFont="1" applyAlignment="1">
      <alignment horizontal="center"/>
    </xf>
    <xf numFmtId="0" fontId="19" fillId="0" borderId="0" xfId="0" applyFont="1" applyAlignment="1">
      <alignment horizontal="center"/>
    </xf>
    <xf numFmtId="0" fontId="10" fillId="7" borderId="35" xfId="0" applyFont="1" applyFill="1" applyBorder="1" applyAlignment="1">
      <alignment horizontal="center"/>
    </xf>
    <xf numFmtId="0" fontId="10" fillId="7" borderId="36" xfId="0" applyFont="1" applyFill="1" applyBorder="1" applyAlignment="1">
      <alignment horizontal="center"/>
    </xf>
    <xf numFmtId="0" fontId="20" fillId="0" borderId="0" xfId="0" applyFont="1" applyAlignment="1">
      <alignment horizontal="center"/>
    </xf>
    <xf numFmtId="0" fontId="5" fillId="0" borderId="0" xfId="0" applyFont="1" applyAlignment="1">
      <alignment horizontal="center"/>
    </xf>
    <xf numFmtId="0" fontId="10" fillId="0" borderId="1" xfId="0" applyFont="1" applyBorder="1" applyAlignment="1">
      <alignment horizontal="center"/>
    </xf>
    <xf numFmtId="0" fontId="5" fillId="0" borderId="15" xfId="0" applyFont="1" applyBorder="1" applyAlignment="1">
      <alignment horizontal="center"/>
    </xf>
    <xf numFmtId="0" fontId="5" fillId="0" borderId="17" xfId="0" applyFont="1" applyBorder="1" applyAlignment="1">
      <alignment horizontal="center"/>
    </xf>
    <xf numFmtId="0" fontId="0" fillId="0" borderId="0" xfId="0" applyAlignment="1">
      <alignment horizontal="center" wrapText="1"/>
    </xf>
    <xf numFmtId="0" fontId="32" fillId="3" borderId="18" xfId="0" applyFont="1" applyFill="1" applyBorder="1" applyAlignment="1">
      <alignment horizontal="center" wrapText="1"/>
    </xf>
    <xf numFmtId="0" fontId="32" fillId="3" borderId="33" xfId="0" applyFont="1" applyFill="1" applyBorder="1" applyAlignment="1">
      <alignment horizontal="center" wrapText="1"/>
    </xf>
    <xf numFmtId="0" fontId="32" fillId="3" borderId="17" xfId="0" applyFont="1" applyFill="1" applyBorder="1" applyAlignment="1">
      <alignment horizontal="center" wrapText="1"/>
    </xf>
    <xf numFmtId="0" fontId="32" fillId="3" borderId="22" xfId="0" applyFont="1" applyFill="1" applyBorder="1" applyAlignment="1">
      <alignment horizontal="center" wrapText="1"/>
    </xf>
    <xf numFmtId="0" fontId="32" fillId="3" borderId="0" xfId="0" applyFont="1" applyFill="1" applyBorder="1" applyAlignment="1">
      <alignment horizontal="center" wrapText="1"/>
    </xf>
    <xf numFmtId="0" fontId="32" fillId="3" borderId="14" xfId="0" applyFont="1" applyFill="1" applyBorder="1" applyAlignment="1">
      <alignment horizontal="center" wrapText="1"/>
    </xf>
    <xf numFmtId="0" fontId="32" fillId="3" borderId="28" xfId="0" applyFont="1" applyFill="1" applyBorder="1" applyAlignment="1">
      <alignment horizontal="center" wrapText="1"/>
    </xf>
    <xf numFmtId="0" fontId="32" fillId="3" borderId="1" xfId="0" applyFont="1" applyFill="1" applyBorder="1" applyAlignment="1">
      <alignment horizontal="center" wrapText="1"/>
    </xf>
    <xf numFmtId="0" fontId="32" fillId="3" borderId="16" xfId="0" applyFont="1" applyFill="1" applyBorder="1" applyAlignment="1">
      <alignment horizontal="center" wrapText="1"/>
    </xf>
    <xf numFmtId="0" fontId="32" fillId="10" borderId="18" xfId="0" applyFont="1" applyFill="1" applyBorder="1" applyAlignment="1">
      <alignment horizontal="center"/>
    </xf>
    <xf numFmtId="0" fontId="32" fillId="10" borderId="33" xfId="0" applyFont="1" applyFill="1" applyBorder="1" applyAlignment="1">
      <alignment horizontal="center"/>
    </xf>
    <xf numFmtId="0" fontId="32" fillId="10" borderId="17" xfId="0" applyFont="1" applyFill="1" applyBorder="1" applyAlignment="1">
      <alignment horizontal="center"/>
    </xf>
    <xf numFmtId="0" fontId="32" fillId="10" borderId="28" xfId="0" applyFont="1" applyFill="1" applyBorder="1" applyAlignment="1">
      <alignment horizontal="center"/>
    </xf>
    <xf numFmtId="0" fontId="32" fillId="10" borderId="1" xfId="0" applyFont="1" applyFill="1" applyBorder="1" applyAlignment="1">
      <alignment horizontal="center"/>
    </xf>
    <xf numFmtId="0" fontId="32" fillId="10" borderId="16" xfId="0" applyFont="1" applyFill="1" applyBorder="1" applyAlignment="1">
      <alignment horizontal="center"/>
    </xf>
  </cellXfs>
  <cellStyles count="8">
    <cellStyle name="Comma" xfId="2" builtinId="3"/>
    <cellStyle name="Comma 2" xfId="1" xr:uid="{A96EFF43-E2C0-4732-9E2F-CA33851510C5}"/>
    <cellStyle name="DescriptorColumnStyle" xfId="6" xr:uid="{0F7D0A5D-E392-44D4-AACF-C39E4C00B578}"/>
    <cellStyle name="Normal" xfId="0" builtinId="0"/>
    <cellStyle name="Normal 2" xfId="4" xr:uid="{245119A9-48F5-4DEE-87E3-6F251CEEABBE}"/>
    <cellStyle name="Normal 3" xfId="5" xr:uid="{7AA3ACE2-F553-42F7-AEA9-9D0D20F61FEB}"/>
    <cellStyle name="NumberStyle" xfId="7" xr:uid="{199F30A4-EE71-472E-9CBF-11A38C7B1738}"/>
    <cellStyle name="Percent" xfId="3" builtinId="5"/>
  </cellStyles>
  <dxfs count="0"/>
  <tableStyles count="1" defaultTableStyle="TableStyleMedium2" defaultPivotStyle="PivotStyleLight16">
    <tableStyle name="Invisible" pivot="0" table="0" count="0" xr9:uid="{FCBDD7AF-5F3F-4CBE-9E4C-277FCAE1F25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74871920297657E-2"/>
          <c:y val="3.2019179835284031E-2"/>
          <c:w val="0.89873259666682648"/>
          <c:h val="0.66775149205568141"/>
        </c:manualLayout>
      </c:layout>
      <c:lineChart>
        <c:grouping val="standard"/>
        <c:varyColors val="0"/>
        <c:ser>
          <c:idx val="0"/>
          <c:order val="0"/>
          <c:spPr>
            <a:ln w="28575" cap="rnd">
              <a:solidFill>
                <a:schemeClr val="accent1"/>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4B2F-4109-962E-8922E3C47B71}"/>
            </c:ext>
          </c:extLst>
        </c:ser>
        <c:ser>
          <c:idx val="1"/>
          <c:order val="1"/>
          <c:spPr>
            <a:ln w="28575" cap="rnd">
              <a:solidFill>
                <a:schemeClr val="accent2"/>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B2F-4109-962E-8922E3C47B71}"/>
            </c:ext>
          </c:extLst>
        </c:ser>
        <c:ser>
          <c:idx val="2"/>
          <c:order val="2"/>
          <c:spPr>
            <a:ln w="28575" cap="rnd">
              <a:solidFill>
                <a:schemeClr val="accent3"/>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4B2F-4109-962E-8922E3C47B71}"/>
            </c:ext>
          </c:extLst>
        </c:ser>
        <c:ser>
          <c:idx val="3"/>
          <c:order val="3"/>
          <c:spPr>
            <a:ln w="28575" cap="rnd">
              <a:solidFill>
                <a:schemeClr val="accent4"/>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4B2F-4109-962E-8922E3C47B71}"/>
            </c:ext>
          </c:extLst>
        </c:ser>
        <c:dLbls>
          <c:showLegendKey val="0"/>
          <c:showVal val="0"/>
          <c:showCatName val="0"/>
          <c:showSerName val="0"/>
          <c:showPercent val="0"/>
          <c:showBubbleSize val="0"/>
        </c:dLbls>
        <c:smooth val="0"/>
        <c:axId val="1358711311"/>
        <c:axId val="1358712271"/>
      </c:lineChart>
      <c:catAx>
        <c:axId val="135871131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12271"/>
        <c:crosses val="autoZero"/>
        <c:auto val="1"/>
        <c:lblAlgn val="ctr"/>
        <c:lblOffset val="100"/>
        <c:noMultiLvlLbl val="0"/>
      </c:catAx>
      <c:valAx>
        <c:axId val="135871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11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&amp; Retentions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'Income Statement'!$A$26</c:f>
              <c:strCache>
                <c:ptCount val="1"/>
                <c:pt idx="0">
                  <c:v>Profit for the year</c:v>
                </c:pt>
              </c:strCache>
            </c:strRef>
          </c:tx>
          <c:spPr>
            <a:solidFill>
              <a:schemeClr val="accent1"/>
            </a:solidFill>
            <a:ln>
              <a:noFill/>
            </a:ln>
            <a:effectLst/>
            <a:sp3d/>
          </c:spPr>
          <c:val>
            <c:numRef>
              <c:f>'Income Statement'!$B$26:$K$26</c:f>
              <c:numCache>
                <c:formatCode>General</c:formatCode>
                <c:ptCount val="10"/>
                <c:pt idx="0">
                  <c:v>3703502</c:v>
                </c:pt>
                <c:pt idx="1">
                  <c:v>5712245</c:v>
                </c:pt>
                <c:pt idx="2">
                  <c:v>15102611</c:v>
                </c:pt>
                <c:pt idx="3">
                  <c:v>11766995</c:v>
                </c:pt>
                <c:pt idx="4">
                  <c:v>9230660</c:v>
                </c:pt>
                <c:pt idx="5">
                  <c:v>12275857.152439114</c:v>
                </c:pt>
                <c:pt idx="6">
                  <c:v>11670561.352436233</c:v>
                </c:pt>
                <c:pt idx="7">
                  <c:v>13491107.671880741</c:v>
                </c:pt>
                <c:pt idx="8">
                  <c:v>15546835.317850843</c:v>
                </c:pt>
                <c:pt idx="9">
                  <c:v>20356817.328032888</c:v>
                </c:pt>
              </c:numCache>
            </c:numRef>
          </c:val>
          <c:smooth val="0"/>
          <c:extLst>
            <c:ext xmlns:c16="http://schemas.microsoft.com/office/drawing/2014/chart" uri="{C3380CC4-5D6E-409C-BE32-E72D297353CC}">
              <c16:uniqueId val="{00000000-6EBA-4A84-BF6C-0337E9717FEE}"/>
            </c:ext>
          </c:extLst>
        </c:ser>
        <c:ser>
          <c:idx val="1"/>
          <c:order val="1"/>
          <c:tx>
            <c:strRef>
              <c:f>'Income Statement'!$A$27</c:f>
              <c:strCache>
                <c:ptCount val="1"/>
                <c:pt idx="0">
                  <c:v>Profit Retained</c:v>
                </c:pt>
              </c:strCache>
            </c:strRef>
          </c:tx>
          <c:spPr>
            <a:solidFill>
              <a:schemeClr val="accent2"/>
            </a:solidFill>
            <a:ln>
              <a:noFill/>
            </a:ln>
            <a:effectLst/>
            <a:sp3d/>
          </c:spPr>
          <c:val>
            <c:numRef>
              <c:f>'Income Statement'!$B$27:$K$27</c:f>
              <c:numCache>
                <c:formatCode>General</c:formatCode>
                <c:ptCount val="10"/>
                <c:pt idx="0">
                  <c:v>2863623</c:v>
                </c:pt>
                <c:pt idx="1">
                  <c:v>5527276</c:v>
                </c:pt>
                <c:pt idx="2">
                  <c:v>4889557</c:v>
                </c:pt>
                <c:pt idx="3">
                  <c:v>-2623465</c:v>
                </c:pt>
                <c:pt idx="4">
                  <c:v>1299921</c:v>
                </c:pt>
                <c:pt idx="5">
                  <c:v>9206892.8643293343</c:v>
                </c:pt>
                <c:pt idx="6">
                  <c:v>8752921.0143271759</c:v>
                </c:pt>
                <c:pt idx="7">
                  <c:v>10118330.753910556</c:v>
                </c:pt>
                <c:pt idx="8">
                  <c:v>11660126.488388132</c:v>
                </c:pt>
                <c:pt idx="9">
                  <c:v>15267612.996024666</c:v>
                </c:pt>
              </c:numCache>
            </c:numRef>
          </c:val>
          <c:smooth val="0"/>
          <c:extLst>
            <c:ext xmlns:c16="http://schemas.microsoft.com/office/drawing/2014/chart" uri="{C3380CC4-5D6E-409C-BE32-E72D297353CC}">
              <c16:uniqueId val="{00000001-6EBA-4A84-BF6C-0337E9717FEE}"/>
            </c:ext>
          </c:extLst>
        </c:ser>
        <c:dLbls>
          <c:showLegendKey val="0"/>
          <c:showVal val="0"/>
          <c:showCatName val="0"/>
          <c:showSerName val="0"/>
          <c:showPercent val="0"/>
          <c:showBubbleSize val="0"/>
        </c:dLbls>
        <c:axId val="70832640"/>
        <c:axId val="70834080"/>
        <c:axId val="1150916272"/>
      </c:line3DChart>
      <c:catAx>
        <c:axId val="708326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34080"/>
        <c:crosses val="autoZero"/>
        <c:auto val="1"/>
        <c:lblAlgn val="ctr"/>
        <c:lblOffset val="100"/>
        <c:noMultiLvlLbl val="0"/>
      </c:catAx>
      <c:valAx>
        <c:axId val="7083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32640"/>
        <c:crosses val="autoZero"/>
        <c:crossBetween val="between"/>
      </c:valAx>
      <c:serAx>
        <c:axId val="115091627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34080"/>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Valuation!$C$24</c:f>
              <c:strCache>
                <c:ptCount val="1"/>
                <c:pt idx="0">
                  <c:v>Free Cashflow to Firm</c:v>
                </c:pt>
              </c:strCache>
            </c:strRef>
          </c:tx>
          <c:spPr>
            <a:solidFill>
              <a:schemeClr val="accent1"/>
            </a:solidFill>
            <a:ln>
              <a:noFill/>
            </a:ln>
            <a:effectLst/>
            <a:sp3d/>
          </c:spPr>
          <c:val>
            <c:numRef>
              <c:f>Valuation!$D$24:$H$24</c:f>
              <c:numCache>
                <c:formatCode>_(* #,##0_);_(* \(#,##0\);_(* "-"??_);_(@_)</c:formatCode>
                <c:ptCount val="5"/>
                <c:pt idx="0">
                  <c:v>18016226.235252976</c:v>
                </c:pt>
                <c:pt idx="1">
                  <c:v>6644459.5719968788</c:v>
                </c:pt>
                <c:pt idx="2">
                  <c:v>6727930.9830707442</c:v>
                </c:pt>
                <c:pt idx="3">
                  <c:v>8251480.2367645632</c:v>
                </c:pt>
                <c:pt idx="4">
                  <c:v>14800997.422185663</c:v>
                </c:pt>
              </c:numCache>
            </c:numRef>
          </c:val>
          <c:smooth val="0"/>
          <c:extLst>
            <c:ext xmlns:c16="http://schemas.microsoft.com/office/drawing/2014/chart" uri="{C3380CC4-5D6E-409C-BE32-E72D297353CC}">
              <c16:uniqueId val="{00000000-F3EE-42E7-945E-311C7949657E}"/>
            </c:ext>
          </c:extLst>
        </c:ser>
        <c:dLbls>
          <c:showLegendKey val="0"/>
          <c:showVal val="0"/>
          <c:showCatName val="0"/>
          <c:showSerName val="0"/>
          <c:showPercent val="0"/>
          <c:showBubbleSize val="0"/>
        </c:dLbls>
        <c:axId val="101257680"/>
        <c:axId val="101255280"/>
        <c:axId val="1479991760"/>
      </c:line3DChart>
      <c:catAx>
        <c:axId val="1012576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55280"/>
        <c:crosses val="autoZero"/>
        <c:auto val="1"/>
        <c:lblAlgn val="ctr"/>
        <c:lblOffset val="100"/>
        <c:noMultiLvlLbl val="0"/>
      </c:catAx>
      <c:valAx>
        <c:axId val="1012552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57680"/>
        <c:crosses val="autoZero"/>
        <c:crossBetween val="between"/>
      </c:valAx>
      <c:serAx>
        <c:axId val="147999176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55280"/>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400050</xdr:colOff>
      <xdr:row>4</xdr:row>
      <xdr:rowOff>158750</xdr:rowOff>
    </xdr:from>
    <xdr:to>
      <xdr:col>16</xdr:col>
      <xdr:colOff>419100</xdr:colOff>
      <xdr:row>13</xdr:row>
      <xdr:rowOff>31750</xdr:rowOff>
    </xdr:to>
    <xdr:pic>
      <xdr:nvPicPr>
        <xdr:cNvPr id="2" name="Picture 1" descr="Home - Engro Polymer &amp; Chemicals Limited">
          <a:extLst>
            <a:ext uri="{FF2B5EF4-FFF2-40B4-BE49-F238E27FC236}">
              <a16:creationId xmlns:a16="http://schemas.microsoft.com/office/drawing/2014/main" id="{D5C03F4E-A4BD-1DFE-0014-B96105D5D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57650" y="895350"/>
          <a:ext cx="6115050" cy="153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654537</xdr:colOff>
      <xdr:row>445</xdr:row>
      <xdr:rowOff>48846</xdr:rowOff>
    </xdr:from>
    <xdr:to>
      <xdr:col>21</xdr:col>
      <xdr:colOff>565150</xdr:colOff>
      <xdr:row>456</xdr:row>
      <xdr:rowOff>166076</xdr:rowOff>
    </xdr:to>
    <xdr:graphicFrame macro="">
      <xdr:nvGraphicFramePr>
        <xdr:cNvPr id="2" name="Chart 1">
          <a:extLst>
            <a:ext uri="{FF2B5EF4-FFF2-40B4-BE49-F238E27FC236}">
              <a16:creationId xmlns:a16="http://schemas.microsoft.com/office/drawing/2014/main" id="{74392A74-6355-41ED-8BD0-A29CEE406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16</xdr:row>
      <xdr:rowOff>141112</xdr:rowOff>
    </xdr:from>
    <xdr:to>
      <xdr:col>19</xdr:col>
      <xdr:colOff>341018</xdr:colOff>
      <xdr:row>29</xdr:row>
      <xdr:rowOff>1</xdr:rowOff>
    </xdr:to>
    <xdr:graphicFrame macro="">
      <xdr:nvGraphicFramePr>
        <xdr:cNvPr id="2" name="Chart 1">
          <a:extLst>
            <a:ext uri="{FF2B5EF4-FFF2-40B4-BE49-F238E27FC236}">
              <a16:creationId xmlns:a16="http://schemas.microsoft.com/office/drawing/2014/main" id="{F9FE4532-9141-41BB-B4DE-A64B6AD8F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94073</xdr:colOff>
      <xdr:row>29</xdr:row>
      <xdr:rowOff>92427</xdr:rowOff>
    </xdr:from>
    <xdr:to>
      <xdr:col>19</xdr:col>
      <xdr:colOff>364536</xdr:colOff>
      <xdr:row>42</xdr:row>
      <xdr:rowOff>94074</xdr:rowOff>
    </xdr:to>
    <xdr:graphicFrame macro="">
      <xdr:nvGraphicFramePr>
        <xdr:cNvPr id="3" name="Chart 2">
          <a:extLst>
            <a:ext uri="{FF2B5EF4-FFF2-40B4-BE49-F238E27FC236}">
              <a16:creationId xmlns:a16="http://schemas.microsoft.com/office/drawing/2014/main" id="{07A9BFE7-F7E2-DDDB-A3B0-2863D4A1D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BBF4-7511-4337-A0D3-FDA6B1EE962F}">
  <dimension ref="B1:M10"/>
  <sheetViews>
    <sheetView workbookViewId="0">
      <selection activeCell="E14" sqref="E14"/>
    </sheetView>
  </sheetViews>
  <sheetFormatPr defaultRowHeight="14.5" x14ac:dyDescent="0.35"/>
  <cols>
    <col min="3" max="3" width="14" customWidth="1"/>
  </cols>
  <sheetData>
    <row r="1" spans="2:13" x14ac:dyDescent="0.35">
      <c r="B1" s="408" t="s">
        <v>655</v>
      </c>
      <c r="C1" s="408"/>
      <c r="D1" s="408"/>
      <c r="E1" s="408"/>
      <c r="F1" s="408"/>
      <c r="G1" s="408"/>
      <c r="H1" s="408"/>
      <c r="I1" s="408"/>
      <c r="J1" s="408"/>
      <c r="K1" s="408"/>
      <c r="L1" s="408"/>
      <c r="M1" s="408"/>
    </row>
    <row r="2" spans="2:13" x14ac:dyDescent="0.35">
      <c r="B2" s="408"/>
      <c r="C2" s="408"/>
      <c r="D2" s="408"/>
      <c r="E2" s="408"/>
      <c r="F2" s="408"/>
      <c r="G2" s="408"/>
      <c r="H2" s="408"/>
      <c r="I2" s="408"/>
      <c r="J2" s="408"/>
      <c r="K2" s="408"/>
      <c r="L2" s="408"/>
      <c r="M2" s="408"/>
    </row>
    <row r="3" spans="2:13" x14ac:dyDescent="0.35">
      <c r="B3" s="408"/>
      <c r="C3" s="408"/>
      <c r="D3" s="408"/>
      <c r="E3" s="408"/>
      <c r="F3" s="408"/>
      <c r="G3" s="408"/>
      <c r="H3" s="408"/>
      <c r="I3" s="408"/>
      <c r="J3" s="408"/>
      <c r="K3" s="408"/>
      <c r="L3" s="408"/>
      <c r="M3" s="408"/>
    </row>
    <row r="6" spans="2:13" x14ac:dyDescent="0.35">
      <c r="C6" s="5" t="s">
        <v>662</v>
      </c>
      <c r="D6" s="5" t="s">
        <v>664</v>
      </c>
      <c r="E6" s="5"/>
    </row>
    <row r="7" spans="2:13" x14ac:dyDescent="0.35">
      <c r="C7" s="5" t="s">
        <v>663</v>
      </c>
      <c r="D7" s="5">
        <v>26570</v>
      </c>
      <c r="E7" s="5"/>
    </row>
    <row r="8" spans="2:13" x14ac:dyDescent="0.35">
      <c r="C8" s="409" t="s">
        <v>665</v>
      </c>
      <c r="D8" s="409"/>
      <c r="E8" s="409"/>
    </row>
    <row r="9" spans="2:13" x14ac:dyDescent="0.35">
      <c r="C9" s="5" t="s">
        <v>668</v>
      </c>
      <c r="D9" s="5">
        <v>97378</v>
      </c>
      <c r="E9" s="5"/>
    </row>
    <row r="10" spans="2:13" x14ac:dyDescent="0.35">
      <c r="C10" s="5" t="s">
        <v>666</v>
      </c>
      <c r="D10" s="5" t="s">
        <v>667</v>
      </c>
      <c r="E10" s="5"/>
    </row>
  </sheetData>
  <mergeCells count="2">
    <mergeCell ref="B1:M3"/>
    <mergeCell ref="C8:E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E4467-3590-464F-B28C-CE83F72061C1}">
  <dimension ref="A2:XFD691"/>
  <sheetViews>
    <sheetView zoomScale="63" zoomScaleNormal="77" workbookViewId="0">
      <pane ySplit="7" topLeftCell="A596" activePane="bottomLeft" state="frozen"/>
      <selection pane="bottomLeft" activeCell="H601" sqref="H601"/>
    </sheetView>
  </sheetViews>
  <sheetFormatPr defaultRowHeight="14.5" x14ac:dyDescent="0.35"/>
  <cols>
    <col min="1" max="1" width="40.26953125" style="4" customWidth="1"/>
    <col min="2" max="2" width="28.81640625" customWidth="1"/>
    <col min="3" max="3" width="15" style="86" customWidth="1"/>
    <col min="4" max="6" width="15" style="17" customWidth="1"/>
    <col min="7" max="7" width="15" style="146" customWidth="1"/>
    <col min="8" max="8" width="20.26953125" customWidth="1"/>
    <col min="9" max="9" width="21.1796875" customWidth="1"/>
    <col min="10" max="11" width="17.1796875" customWidth="1"/>
    <col min="12" max="12" width="17.1796875" style="120" customWidth="1"/>
    <col min="13" max="16" width="14.1796875" customWidth="1"/>
    <col min="17" max="17" width="25.36328125" customWidth="1"/>
    <col min="18" max="18" width="10" customWidth="1"/>
    <col min="19" max="19" width="15.453125" customWidth="1"/>
    <col min="20" max="20" width="12.36328125" customWidth="1"/>
    <col min="21" max="21" width="15.54296875" customWidth="1"/>
  </cols>
  <sheetData>
    <row r="2" spans="1:30" x14ac:dyDescent="0.35">
      <c r="A2" s="408" t="s">
        <v>655</v>
      </c>
      <c r="B2" s="408"/>
      <c r="C2" s="408"/>
      <c r="D2" s="408"/>
      <c r="E2" s="408"/>
      <c r="F2" s="408"/>
      <c r="G2" s="408"/>
      <c r="H2" s="408"/>
      <c r="I2" s="408"/>
      <c r="J2" s="408"/>
      <c r="K2" s="408"/>
      <c r="L2" s="408"/>
    </row>
    <row r="3" spans="1:30" x14ac:dyDescent="0.35">
      <c r="A3" s="408"/>
      <c r="B3" s="408"/>
      <c r="C3" s="408"/>
      <c r="D3" s="408"/>
      <c r="E3" s="408"/>
      <c r="F3" s="408"/>
      <c r="G3" s="408"/>
      <c r="H3" s="408"/>
      <c r="I3" s="408"/>
      <c r="J3" s="408"/>
      <c r="K3" s="408"/>
      <c r="L3" s="408"/>
    </row>
    <row r="4" spans="1:30" ht="18" x14ac:dyDescent="0.35">
      <c r="A4" s="408"/>
      <c r="B4" s="408"/>
      <c r="C4" s="408"/>
      <c r="D4" s="408"/>
      <c r="E4" s="408"/>
      <c r="F4" s="408"/>
      <c r="G4" s="408"/>
      <c r="H4" s="408"/>
      <c r="I4" s="408"/>
      <c r="J4" s="408"/>
      <c r="K4" s="408"/>
      <c r="L4" s="408"/>
      <c r="M4" s="350"/>
      <c r="N4" s="350"/>
      <c r="O4" s="350"/>
      <c r="P4" s="350"/>
      <c r="Q4" s="350"/>
    </row>
    <row r="5" spans="1:30" x14ac:dyDescent="0.35">
      <c r="L5"/>
      <c r="M5" s="2"/>
      <c r="N5" s="351"/>
      <c r="O5" s="351"/>
      <c r="P5" s="351"/>
      <c r="Q5" s="351"/>
    </row>
    <row r="6" spans="1:30" ht="18" x14ac:dyDescent="0.5">
      <c r="C6" s="413" t="s">
        <v>598</v>
      </c>
      <c r="D6" s="414"/>
      <c r="E6" s="414"/>
      <c r="F6" s="414"/>
      <c r="G6" s="415"/>
      <c r="H6" s="416" t="s">
        <v>599</v>
      </c>
      <c r="I6" s="417"/>
      <c r="J6" s="417"/>
      <c r="K6" s="417"/>
      <c r="L6" s="417"/>
    </row>
    <row r="7" spans="1:30" s="19" customFormat="1" ht="18.5" thickBot="1" x14ac:dyDescent="0.4">
      <c r="A7" s="164"/>
      <c r="B7" s="268" t="s">
        <v>503</v>
      </c>
      <c r="C7" s="267">
        <v>2019</v>
      </c>
      <c r="D7" s="268">
        <v>2020</v>
      </c>
      <c r="E7" s="268">
        <v>2021</v>
      </c>
      <c r="F7" s="268">
        <v>2022</v>
      </c>
      <c r="G7" s="269">
        <v>2023</v>
      </c>
      <c r="H7" s="268">
        <v>2024</v>
      </c>
      <c r="I7" s="268">
        <v>2025</v>
      </c>
      <c r="J7" s="268">
        <v>2026</v>
      </c>
      <c r="K7" s="268">
        <v>2027</v>
      </c>
      <c r="L7" s="268">
        <v>2028</v>
      </c>
      <c r="M7"/>
      <c r="N7"/>
      <c r="O7"/>
      <c r="P7"/>
      <c r="Q7"/>
      <c r="R7"/>
      <c r="S7"/>
      <c r="T7"/>
      <c r="U7"/>
      <c r="V7"/>
      <c r="W7"/>
      <c r="X7"/>
      <c r="Y7"/>
      <c r="Z7"/>
      <c r="AA7"/>
      <c r="AB7"/>
      <c r="AC7"/>
      <c r="AD7"/>
    </row>
    <row r="8" spans="1:30" x14ac:dyDescent="0.35">
      <c r="A8" s="270" t="s">
        <v>0</v>
      </c>
      <c r="C8" s="86">
        <f t="shared" ref="C8:D8" si="0">SUM(C9:C11)</f>
        <v>31064266</v>
      </c>
      <c r="D8" s="17">
        <f t="shared" si="0"/>
        <v>36186640</v>
      </c>
      <c r="E8" s="17">
        <f>SUM(E9:E11)</f>
        <v>36792644</v>
      </c>
      <c r="F8" s="17">
        <v>41004218</v>
      </c>
      <c r="G8" s="146">
        <v>44794643</v>
      </c>
      <c r="H8" s="90">
        <f>'Depreciation schedule'!H2</f>
        <v>50177016.249039821</v>
      </c>
      <c r="I8" s="90">
        <f>'Depreciation schedule'!I2</f>
        <v>52227831.421834454</v>
      </c>
      <c r="J8" s="90">
        <f>'Depreciation schedule'!J2</f>
        <v>54002525.94488053</v>
      </c>
      <c r="K8" s="90">
        <f>'Depreciation schedule'!K2</f>
        <v>59152245.838149197</v>
      </c>
      <c r="L8" s="90">
        <f>'Depreciation schedule'!L2</f>
        <v>61423109.694988914</v>
      </c>
    </row>
    <row r="9" spans="1:30" x14ac:dyDescent="0.35">
      <c r="A9" s="4" t="s">
        <v>1</v>
      </c>
      <c r="C9" s="86">
        <v>18304481</v>
      </c>
      <c r="D9" s="17">
        <v>19285257</v>
      </c>
      <c r="E9" s="17">
        <v>31388709</v>
      </c>
      <c r="F9" s="17">
        <v>34375626</v>
      </c>
      <c r="G9" s="146">
        <v>34567240</v>
      </c>
      <c r="H9" s="90">
        <f>'Depreciation schedule'!H3</f>
        <v>38184094.396642193</v>
      </c>
      <c r="I9" s="90">
        <f>'Depreciation schedule'!I3</f>
        <v>41009356.173923694</v>
      </c>
      <c r="J9" s="90">
        <f>'Depreciation schedule'!J3</f>
        <v>44477084.313856095</v>
      </c>
      <c r="K9" s="90">
        <f>'Depreciation schedule'!K3</f>
        <v>48906953.058027998</v>
      </c>
      <c r="L9" s="90">
        <f>'Depreciation schedule'!L3</f>
        <v>50373109.656308845</v>
      </c>
    </row>
    <row r="10" spans="1:30" ht="19.5" customHeight="1" x14ac:dyDescent="0.35">
      <c r="A10" s="4" t="s">
        <v>2</v>
      </c>
      <c r="C10" s="86">
        <v>12695993</v>
      </c>
      <c r="D10" s="17">
        <v>16837591</v>
      </c>
      <c r="E10" s="17">
        <v>5185100</v>
      </c>
      <c r="F10" s="17">
        <v>6416479</v>
      </c>
      <c r="G10" s="146">
        <v>9981976</v>
      </c>
      <c r="H10" s="90">
        <f>'Depreciation schedule'!H4</f>
        <v>11832130.052397633</v>
      </c>
      <c r="I10" s="90">
        <f>'Depreciation schedule'!I4</f>
        <v>11038283.487910761</v>
      </c>
      <c r="J10" s="90">
        <f>'Depreciation schedule'!J4</f>
        <v>9321969.9190244395</v>
      </c>
      <c r="K10" s="90">
        <f>'Depreciation schedule'!K4</f>
        <v>10044893.725721201</v>
      </c>
      <c r="L10" s="90">
        <f>'Depreciation schedule'!L4</f>
        <v>10851943.77340007</v>
      </c>
    </row>
    <row r="11" spans="1:30" x14ac:dyDescent="0.35">
      <c r="A11" s="4" t="s">
        <v>3</v>
      </c>
      <c r="B11" t="s">
        <v>513</v>
      </c>
      <c r="C11" s="86">
        <v>63792</v>
      </c>
      <c r="D11" s="17">
        <v>63792</v>
      </c>
      <c r="E11" s="17">
        <v>218835</v>
      </c>
      <c r="F11" s="17">
        <v>212113</v>
      </c>
      <c r="G11" s="146">
        <v>245427</v>
      </c>
      <c r="H11" s="90">
        <f>'Depreciation schedule'!H5</f>
        <v>160791.79999999999</v>
      </c>
      <c r="I11" s="90">
        <f>'Depreciation schedule'!I5</f>
        <v>180191.76</v>
      </c>
      <c r="J11" s="90">
        <f>'Depreciation schedule'!J5</f>
        <v>203471.712</v>
      </c>
      <c r="K11" s="90">
        <f>'Depreciation schedule'!K5</f>
        <v>200399.05440000002</v>
      </c>
      <c r="L11" s="155">
        <f>'Depreciation schedule'!L5</f>
        <v>198056.26528000002</v>
      </c>
    </row>
    <row r="14" spans="1:30" x14ac:dyDescent="0.35">
      <c r="A14" s="271" t="s">
        <v>600</v>
      </c>
    </row>
    <row r="15" spans="1:30" x14ac:dyDescent="0.35">
      <c r="A15" s="7" t="s">
        <v>4</v>
      </c>
    </row>
    <row r="16" spans="1:30" ht="29" x14ac:dyDescent="0.35">
      <c r="A16" s="4" t="s">
        <v>430</v>
      </c>
      <c r="B16" s="418" t="s">
        <v>509</v>
      </c>
    </row>
    <row r="17" spans="1:15" x14ac:dyDescent="0.35">
      <c r="A17" s="4" t="s">
        <v>5</v>
      </c>
      <c r="B17" s="418"/>
      <c r="C17" s="86">
        <v>194127</v>
      </c>
      <c r="D17" s="17">
        <v>1133655</v>
      </c>
      <c r="E17" s="17">
        <v>1152179</v>
      </c>
      <c r="F17" s="17">
        <v>1152179</v>
      </c>
      <c r="G17" s="147">
        <v>1152179</v>
      </c>
      <c r="H17">
        <f>'Depreciation schedule'!H9</f>
        <v>1175179</v>
      </c>
      <c r="I17">
        <f>'Depreciation schedule'!I9</f>
        <v>1175179</v>
      </c>
      <c r="J17">
        <f>'Depreciation schedule'!J9</f>
        <v>1175179</v>
      </c>
      <c r="K17">
        <f>'Depreciation schedule'!K9</f>
        <v>1198638.1300483693</v>
      </c>
      <c r="L17" s="120">
        <f>'Depreciation schedule'!L9</f>
        <v>1198638.1300483693</v>
      </c>
    </row>
    <row r="18" spans="1:15" x14ac:dyDescent="0.35">
      <c r="A18" s="4" t="s">
        <v>6</v>
      </c>
      <c r="B18" s="418"/>
      <c r="C18" s="86">
        <v>-52666</v>
      </c>
      <c r="D18" s="17">
        <v>-85617</v>
      </c>
      <c r="E18" s="17">
        <v>-124589</v>
      </c>
      <c r="F18" s="17">
        <v>-164047</v>
      </c>
      <c r="G18" s="147">
        <v>-203504</v>
      </c>
      <c r="H18">
        <f>'Depreciation schedule'!H10</f>
        <v>-243412</v>
      </c>
      <c r="I18">
        <f>'Depreciation schedule'!I10</f>
        <v>-282269.09835813206</v>
      </c>
      <c r="J18">
        <f>'Depreciation schedule'!J10</f>
        <v>-321126.19671626412</v>
      </c>
      <c r="K18">
        <f>'Depreciation schedule'!K10</f>
        <v>-359983.29507439618</v>
      </c>
      <c r="L18" s="120">
        <f>'Depreciation schedule'!L10</f>
        <v>-399616.06566942635</v>
      </c>
    </row>
    <row r="19" spans="1:15" x14ac:dyDescent="0.35">
      <c r="A19" s="4" t="s">
        <v>7</v>
      </c>
      <c r="B19" s="418"/>
      <c r="C19" s="86">
        <f>SUM(C17:C18)</f>
        <v>141461</v>
      </c>
      <c r="D19" s="17">
        <f>SUM(D17:D18)</f>
        <v>1048038</v>
      </c>
      <c r="E19" s="17">
        <f>SUM(E17:E18)</f>
        <v>1027590</v>
      </c>
      <c r="F19" s="17">
        <v>988132</v>
      </c>
      <c r="G19" s="147">
        <v>948675</v>
      </c>
      <c r="H19">
        <f>'Depreciation schedule'!H11</f>
        <v>931767</v>
      </c>
      <c r="I19">
        <f>'Depreciation schedule'!I11</f>
        <v>892909.90164186794</v>
      </c>
      <c r="J19">
        <f>'Depreciation schedule'!J11</f>
        <v>854052.80328373588</v>
      </c>
      <c r="K19">
        <f>'Depreciation schedule'!K11</f>
        <v>838654.83497397311</v>
      </c>
      <c r="L19" s="120">
        <f>'Depreciation schedule'!L11</f>
        <v>799022.06437894295</v>
      </c>
    </row>
    <row r="20" spans="1:15" x14ac:dyDescent="0.35">
      <c r="A20" s="4" t="s">
        <v>431</v>
      </c>
      <c r="B20" s="418"/>
      <c r="H20">
        <f>'Depreciation schedule'!H12</f>
        <v>0</v>
      </c>
      <c r="I20">
        <f>'Depreciation schedule'!I12</f>
        <v>0</v>
      </c>
      <c r="J20">
        <f>'Depreciation schedule'!J12</f>
        <v>0</v>
      </c>
      <c r="K20">
        <f>'Depreciation schedule'!K12</f>
        <v>0</v>
      </c>
      <c r="L20" s="120">
        <f>'Depreciation schedule'!L12</f>
        <v>0</v>
      </c>
    </row>
    <row r="21" spans="1:15" x14ac:dyDescent="0.35">
      <c r="A21" s="4" t="s">
        <v>8</v>
      </c>
      <c r="B21" s="418"/>
      <c r="H21">
        <f>'Depreciation schedule'!H13</f>
        <v>0</v>
      </c>
      <c r="I21">
        <f>'Depreciation schedule'!I13</f>
        <v>0</v>
      </c>
      <c r="J21">
        <f>'Depreciation schedule'!J13</f>
        <v>0</v>
      </c>
      <c r="K21">
        <f>'Depreciation schedule'!K13</f>
        <v>0</v>
      </c>
      <c r="L21" s="120">
        <f>'Depreciation schedule'!L13</f>
        <v>0</v>
      </c>
    </row>
    <row r="22" spans="1:15" x14ac:dyDescent="0.35">
      <c r="A22" s="4" t="s">
        <v>9</v>
      </c>
      <c r="B22" s="418"/>
      <c r="C22" s="86">
        <f>C19</f>
        <v>141461</v>
      </c>
      <c r="D22" s="17">
        <v>1048038</v>
      </c>
      <c r="E22" s="17">
        <f>E19</f>
        <v>1027590</v>
      </c>
      <c r="F22" s="17">
        <v>988132</v>
      </c>
      <c r="G22" s="147">
        <v>948675</v>
      </c>
      <c r="H22">
        <f>'Depreciation schedule'!H14</f>
        <v>931767</v>
      </c>
      <c r="I22">
        <f>'Depreciation schedule'!I14</f>
        <v>892909.90164186794</v>
      </c>
      <c r="J22">
        <f>'Depreciation schedule'!J14</f>
        <v>854052.80328373588</v>
      </c>
      <c r="K22">
        <f>'Depreciation schedule'!K14</f>
        <v>838654.83497397299</v>
      </c>
      <c r="L22" s="120">
        <f>'Depreciation schedule'!L14</f>
        <v>799022.06437894283</v>
      </c>
    </row>
    <row r="23" spans="1:15" x14ac:dyDescent="0.35">
      <c r="A23" s="4" t="s">
        <v>10</v>
      </c>
      <c r="B23" s="418"/>
      <c r="C23" s="86">
        <v>939528</v>
      </c>
      <c r="D23" s="17">
        <v>18524</v>
      </c>
      <c r="G23" s="147">
        <v>23000</v>
      </c>
      <c r="H23">
        <f>'Depreciation schedule'!H15</f>
        <v>0</v>
      </c>
      <c r="I23">
        <f>'Depreciation schedule'!I15</f>
        <v>0</v>
      </c>
      <c r="J23">
        <f>'Depreciation schedule'!J15</f>
        <v>23459.130048369218</v>
      </c>
      <c r="K23">
        <f>'Depreciation schedule'!K15</f>
        <v>0</v>
      </c>
      <c r="L23" s="120">
        <f>'Depreciation schedule'!L15</f>
        <v>0</v>
      </c>
    </row>
    <row r="24" spans="1:15" x14ac:dyDescent="0.35">
      <c r="A24" s="4" t="s">
        <v>11</v>
      </c>
      <c r="B24" s="418"/>
      <c r="D24" s="17" t="s">
        <v>18</v>
      </c>
      <c r="G24" s="147" t="s">
        <v>18</v>
      </c>
      <c r="H24">
        <f>'Depreciation schedule'!H16</f>
        <v>0</v>
      </c>
      <c r="I24">
        <f>'Depreciation schedule'!I16</f>
        <v>0</v>
      </c>
      <c r="J24">
        <f>'Depreciation schedule'!J16</f>
        <v>0</v>
      </c>
      <c r="K24">
        <f>'Depreciation schedule'!K16</f>
        <v>0</v>
      </c>
      <c r="L24" s="120">
        <f>'Depreciation schedule'!L16</f>
        <v>0</v>
      </c>
    </row>
    <row r="25" spans="1:15" x14ac:dyDescent="0.35">
      <c r="A25" s="4" t="s">
        <v>12</v>
      </c>
      <c r="B25" s="418"/>
      <c r="C25" s="86">
        <v>0</v>
      </c>
      <c r="D25" s="86">
        <v>0</v>
      </c>
      <c r="E25" s="86">
        <v>0</v>
      </c>
      <c r="F25" s="86">
        <v>0</v>
      </c>
      <c r="G25" s="86">
        <v>0</v>
      </c>
      <c r="H25" s="86">
        <v>0</v>
      </c>
      <c r="I25" s="86">
        <v>0</v>
      </c>
      <c r="J25">
        <f>'Depreciation schedule'!J17</f>
        <v>0</v>
      </c>
      <c r="K25">
        <f>'Depreciation schedule'!K17</f>
        <v>0</v>
      </c>
      <c r="L25" s="120">
        <f>'Depreciation schedule'!L17</f>
        <v>0</v>
      </c>
      <c r="M25" s="10"/>
    </row>
    <row r="26" spans="1:15" x14ac:dyDescent="0.35">
      <c r="A26" s="4" t="s">
        <v>13</v>
      </c>
      <c r="B26" s="418"/>
      <c r="D26" s="17" t="s">
        <v>18</v>
      </c>
      <c r="G26" s="147" t="s">
        <v>18</v>
      </c>
      <c r="H26">
        <f>'Depreciation schedule'!H18</f>
        <v>0</v>
      </c>
      <c r="I26">
        <f>'Depreciation schedule'!I18</f>
        <v>0</v>
      </c>
      <c r="J26">
        <f>'Depreciation schedule'!J18</f>
        <v>0</v>
      </c>
      <c r="K26">
        <f>'Depreciation schedule'!K18</f>
        <v>0</v>
      </c>
      <c r="L26" s="120">
        <f>'Depreciation schedule'!L18</f>
        <v>0</v>
      </c>
      <c r="M26" s="9"/>
      <c r="O26" s="2"/>
    </row>
    <row r="27" spans="1:15" x14ac:dyDescent="0.35">
      <c r="A27" s="4" t="s">
        <v>14</v>
      </c>
      <c r="B27" s="418"/>
      <c r="C27" s="86">
        <v>-32931</v>
      </c>
      <c r="D27" s="17">
        <v>-38972</v>
      </c>
      <c r="E27" s="17">
        <v>-39458</v>
      </c>
      <c r="F27" s="17">
        <v>-39457</v>
      </c>
      <c r="G27" s="147">
        <v>-39908</v>
      </c>
      <c r="H27">
        <f>'Depreciation schedule'!H19</f>
        <v>-38857.098358132032</v>
      </c>
      <c r="I27">
        <f>'Depreciation schedule'!I19</f>
        <v>-38857.098358132032</v>
      </c>
      <c r="J27">
        <f>'Depreciation schedule'!J19</f>
        <v>-38857.098358132032</v>
      </c>
      <c r="K27">
        <f>'Depreciation schedule'!K19</f>
        <v>-39632.770595030153</v>
      </c>
      <c r="L27" s="120">
        <f>'Depreciation schedule'!L19</f>
        <v>-39632.770595030153</v>
      </c>
      <c r="M27" s="9"/>
      <c r="O27" s="2"/>
    </row>
    <row r="28" spans="1:15" x14ac:dyDescent="0.35">
      <c r="A28" s="4" t="s">
        <v>15</v>
      </c>
      <c r="B28" s="418"/>
      <c r="C28" s="86">
        <f t="shared" ref="C28" si="1">SUM(C22:C27)</f>
        <v>1048058</v>
      </c>
      <c r="D28" s="17">
        <f>SUM(D22:D27)</f>
        <v>1027590</v>
      </c>
      <c r="E28" s="17">
        <f>SUM(E22:E27)</f>
        <v>988132</v>
      </c>
      <c r="F28" s="17">
        <v>948675</v>
      </c>
      <c r="G28" s="147">
        <v>931767</v>
      </c>
      <c r="H28">
        <f>'Depreciation schedule'!H20</f>
        <v>892909.90164186794</v>
      </c>
      <c r="I28">
        <f>'Depreciation schedule'!I20</f>
        <v>854052.80328373588</v>
      </c>
      <c r="J28">
        <f>'Depreciation schedule'!J20</f>
        <v>838654.83497397299</v>
      </c>
      <c r="K28">
        <f>'Depreciation schedule'!K20</f>
        <v>799022.06437894283</v>
      </c>
      <c r="L28" s="120">
        <f>'Depreciation schedule'!L20</f>
        <v>759389.29378391267</v>
      </c>
      <c r="M28" s="9"/>
      <c r="O28" s="2"/>
    </row>
    <row r="29" spans="1:15" ht="29" x14ac:dyDescent="0.35">
      <c r="A29" s="4" t="s">
        <v>432</v>
      </c>
      <c r="B29" s="418"/>
      <c r="H29">
        <f>'Depreciation schedule'!H21</f>
        <v>0</v>
      </c>
      <c r="I29">
        <f>'Depreciation schedule'!I21</f>
        <v>0</v>
      </c>
      <c r="J29">
        <f>'Depreciation schedule'!J21</f>
        <v>0</v>
      </c>
      <c r="K29">
        <f>'Depreciation schedule'!K21</f>
        <v>0</v>
      </c>
      <c r="L29" s="120">
        <f>'Depreciation schedule'!L21</f>
        <v>0</v>
      </c>
      <c r="M29" s="9"/>
      <c r="O29" s="2"/>
    </row>
    <row r="30" spans="1:15" x14ac:dyDescent="0.35">
      <c r="A30" s="4" t="s">
        <v>16</v>
      </c>
      <c r="B30" s="418"/>
      <c r="C30" s="86">
        <v>1133655</v>
      </c>
      <c r="D30" s="17">
        <v>1152179</v>
      </c>
      <c r="E30" s="17">
        <v>1152179</v>
      </c>
      <c r="F30" s="17">
        <v>1152179</v>
      </c>
      <c r="G30" s="147">
        <v>1175179</v>
      </c>
      <c r="H30">
        <f>'Depreciation schedule'!H22</f>
        <v>1175179</v>
      </c>
      <c r="I30">
        <f>'Depreciation schedule'!I22</f>
        <v>1175179</v>
      </c>
      <c r="J30">
        <f>'Depreciation schedule'!J22</f>
        <v>1198638.1300483693</v>
      </c>
      <c r="K30">
        <f>'Depreciation schedule'!K22</f>
        <v>1198638.1300483693</v>
      </c>
      <c r="L30" s="120">
        <f>'Depreciation schedule'!L22</f>
        <v>1198638.1300483693</v>
      </c>
      <c r="M30" s="8"/>
      <c r="O30" s="2"/>
    </row>
    <row r="31" spans="1:15" x14ac:dyDescent="0.35">
      <c r="A31" s="4" t="s">
        <v>6</v>
      </c>
      <c r="B31" s="418"/>
      <c r="C31" s="86">
        <v>-85617</v>
      </c>
      <c r="D31" s="17">
        <v>-124589</v>
      </c>
      <c r="E31" s="17">
        <v>-164047</v>
      </c>
      <c r="F31" s="17">
        <v>-203504</v>
      </c>
      <c r="G31" s="147">
        <v>-243412</v>
      </c>
      <c r="H31">
        <f>'Depreciation schedule'!H23</f>
        <v>-282269.09835813206</v>
      </c>
      <c r="I31">
        <f>'Depreciation schedule'!I23</f>
        <v>-321126.19671626412</v>
      </c>
      <c r="J31">
        <f>'Depreciation schedule'!J23</f>
        <v>-359983.29507439618</v>
      </c>
      <c r="K31">
        <f>'Depreciation schedule'!K23</f>
        <v>-399616.06566942635</v>
      </c>
      <c r="L31" s="120">
        <f>'Depreciation schedule'!L23</f>
        <v>-439248.83626445651</v>
      </c>
      <c r="M31" s="8"/>
      <c r="O31" s="2"/>
    </row>
    <row r="32" spans="1:15" x14ac:dyDescent="0.35">
      <c r="A32" s="4" t="s">
        <v>7</v>
      </c>
      <c r="B32" s="418"/>
      <c r="C32" s="86">
        <f>SUM(C30:C31)</f>
        <v>1048038</v>
      </c>
      <c r="D32" s="17">
        <f>SUM(D30:D31)</f>
        <v>1027590</v>
      </c>
      <c r="E32" s="17">
        <f>SUM(E30:E31)</f>
        <v>988132</v>
      </c>
      <c r="F32" s="17">
        <v>948675</v>
      </c>
      <c r="G32" s="147">
        <v>931767</v>
      </c>
      <c r="H32">
        <f>'Depreciation schedule'!H24</f>
        <v>892909.90164186794</v>
      </c>
      <c r="I32">
        <f>'Depreciation schedule'!I24</f>
        <v>854052.80328373588</v>
      </c>
      <c r="J32">
        <f>'Depreciation schedule'!J24</f>
        <v>838654.83497397311</v>
      </c>
      <c r="K32">
        <f>'Depreciation schedule'!K24</f>
        <v>799022.06437894295</v>
      </c>
      <c r="L32" s="120">
        <f>'Depreciation schedule'!L24</f>
        <v>759389.29378391278</v>
      </c>
      <c r="M32" s="8"/>
      <c r="O32" s="2"/>
    </row>
    <row r="33" spans="1:16" x14ac:dyDescent="0.35">
      <c r="L33" s="156"/>
      <c r="M33" s="8"/>
      <c r="O33" s="2"/>
    </row>
    <row r="34" spans="1:16" x14ac:dyDescent="0.35">
      <c r="L34" s="156"/>
      <c r="M34" s="8"/>
      <c r="O34" s="2"/>
    </row>
    <row r="35" spans="1:16" x14ac:dyDescent="0.35">
      <c r="A35" s="7" t="s">
        <v>17</v>
      </c>
      <c r="L35" s="157"/>
      <c r="M35" s="9"/>
      <c r="O35" s="2"/>
    </row>
    <row r="36" spans="1:16" ht="29" x14ac:dyDescent="0.35">
      <c r="A36" s="4" t="s">
        <v>430</v>
      </c>
      <c r="B36" s="418" t="s">
        <v>510</v>
      </c>
      <c r="L36" s="157"/>
      <c r="M36" s="9"/>
      <c r="O36" s="2"/>
    </row>
    <row r="37" spans="1:16" x14ac:dyDescent="0.35">
      <c r="A37" s="4" t="s">
        <v>5</v>
      </c>
      <c r="B37" s="418"/>
      <c r="C37" s="86">
        <v>552959</v>
      </c>
      <c r="D37" s="17">
        <v>551560</v>
      </c>
      <c r="E37" s="17">
        <v>608098</v>
      </c>
      <c r="F37" s="17">
        <v>1253027</v>
      </c>
      <c r="G37" s="147">
        <v>1212885</v>
      </c>
      <c r="H37">
        <f>'Depreciation schedule'!H29</f>
        <v>1299054</v>
      </c>
      <c r="I37">
        <f>'Depreciation schedule'!I29</f>
        <v>2676788.5052376427</v>
      </c>
      <c r="J37">
        <f>'Depreciation schedule'!J29</f>
        <v>2577736.0577545092</v>
      </c>
      <c r="K37">
        <f>'Depreciation schedule'!K29</f>
        <v>2760870.4343529898</v>
      </c>
      <c r="L37" s="120">
        <f>'Depreciation schedule'!L29</f>
        <v>5688959.999450786</v>
      </c>
      <c r="M37" s="9"/>
      <c r="O37" s="2"/>
    </row>
    <row r="38" spans="1:16" x14ac:dyDescent="0.35">
      <c r="A38" s="4" t="s">
        <v>6</v>
      </c>
      <c r="B38" s="418"/>
      <c r="C38" s="86">
        <v>-169358</v>
      </c>
      <c r="D38" s="17">
        <v>-198464</v>
      </c>
      <c r="E38" s="17">
        <v>-222189</v>
      </c>
      <c r="F38" s="17">
        <v>-266271</v>
      </c>
      <c r="G38" s="147">
        <v>-252888</v>
      </c>
      <c r="H38">
        <f>'Depreciation schedule'!H30</f>
        <v>-309378</v>
      </c>
      <c r="I38">
        <f>'Depreciation schedule'!I30</f>
        <v>-360913.32404791453</v>
      </c>
      <c r="J38">
        <f>'Depreciation schedule'!J30</f>
        <v>-467105.33994960506</v>
      </c>
      <c r="K38">
        <f>'Depreciation schedule'!K30</f>
        <v>-569367.80405530997</v>
      </c>
      <c r="L38" s="120">
        <f>'Depreciation schedule'!L30</f>
        <v>-678895.46994809643</v>
      </c>
      <c r="M38" s="9"/>
      <c r="O38" s="2"/>
    </row>
    <row r="39" spans="1:16" x14ac:dyDescent="0.35">
      <c r="A39" s="4" t="s">
        <v>7</v>
      </c>
      <c r="B39" s="418"/>
      <c r="C39" s="86">
        <f>SUM(C37:C38)</f>
        <v>383601</v>
      </c>
      <c r="D39" s="17">
        <f>SUM(D37:D38)</f>
        <v>353096</v>
      </c>
      <c r="E39" s="17">
        <f>SUM(E37:E38)</f>
        <v>385909</v>
      </c>
      <c r="F39" s="17">
        <v>986756</v>
      </c>
      <c r="G39" s="147">
        <v>959997</v>
      </c>
      <c r="H39">
        <f>'Depreciation schedule'!H31</f>
        <v>989676</v>
      </c>
      <c r="I39">
        <f>'Depreciation schedule'!I31</f>
        <v>2315875.181189728</v>
      </c>
      <c r="J39">
        <f>'Depreciation schedule'!J31</f>
        <v>2110630.7178049041</v>
      </c>
      <c r="K39">
        <f>'Depreciation schedule'!K31</f>
        <v>2191502.6302976799</v>
      </c>
      <c r="L39" s="120">
        <f>'Depreciation schedule'!L31</f>
        <v>5010064.5295026898</v>
      </c>
      <c r="M39" s="9"/>
      <c r="O39" s="2"/>
    </row>
    <row r="40" spans="1:16" x14ac:dyDescent="0.35">
      <c r="A40" s="4" t="s">
        <v>431</v>
      </c>
      <c r="B40" s="418"/>
      <c r="H40">
        <f>'Depreciation schedule'!H32</f>
        <v>0</v>
      </c>
      <c r="I40">
        <f>'Depreciation schedule'!I32</f>
        <v>0</v>
      </c>
      <c r="J40">
        <f>'Depreciation schedule'!J32</f>
        <v>0</v>
      </c>
      <c r="K40">
        <f>'Depreciation schedule'!K32</f>
        <v>0</v>
      </c>
      <c r="L40" s="120">
        <f>'Depreciation schedule'!L32</f>
        <v>0</v>
      </c>
      <c r="N40" s="2"/>
      <c r="O40" s="2"/>
      <c r="P40" s="2"/>
    </row>
    <row r="41" spans="1:16" x14ac:dyDescent="0.35">
      <c r="A41" s="4" t="s">
        <v>8</v>
      </c>
      <c r="B41" s="418"/>
      <c r="H41">
        <f>'Depreciation schedule'!H33</f>
        <v>0</v>
      </c>
      <c r="I41">
        <f>'Depreciation schedule'!I33</f>
        <v>0</v>
      </c>
      <c r="J41">
        <f>'Depreciation schedule'!J33</f>
        <v>0</v>
      </c>
      <c r="K41">
        <f>'Depreciation schedule'!K33</f>
        <v>0</v>
      </c>
      <c r="L41" s="120">
        <f>'Depreciation schedule'!L33</f>
        <v>0</v>
      </c>
    </row>
    <row r="42" spans="1:16" x14ac:dyDescent="0.35">
      <c r="A42" s="4" t="s">
        <v>9</v>
      </c>
      <c r="B42" s="418"/>
      <c r="C42" s="86">
        <f>C39</f>
        <v>383601</v>
      </c>
      <c r="D42" s="17">
        <v>353096</v>
      </c>
      <c r="E42" s="17">
        <f>E39</f>
        <v>385909</v>
      </c>
      <c r="F42" s="17">
        <v>986756</v>
      </c>
      <c r="G42" s="147">
        <v>959997</v>
      </c>
      <c r="H42">
        <f>'Depreciation schedule'!H34</f>
        <v>989676</v>
      </c>
      <c r="I42">
        <f>'Depreciation schedule'!I34</f>
        <v>2315875.181189728</v>
      </c>
      <c r="J42">
        <f>'Depreciation schedule'!J34</f>
        <v>2110630.7178049041</v>
      </c>
      <c r="K42">
        <f>'Depreciation schedule'!K34</f>
        <v>2191502.6302976799</v>
      </c>
      <c r="L42" s="120">
        <f>'Depreciation schedule'!L34</f>
        <v>5010064.5295026898</v>
      </c>
    </row>
    <row r="43" spans="1:16" x14ac:dyDescent="0.35">
      <c r="A43" s="4" t="s">
        <v>10</v>
      </c>
      <c r="B43" s="418"/>
      <c r="C43" s="86">
        <v>1980</v>
      </c>
      <c r="D43" s="17">
        <v>56538</v>
      </c>
      <c r="E43" s="17">
        <v>644929</v>
      </c>
      <c r="F43" s="17">
        <v>22975</v>
      </c>
      <c r="G43" s="147">
        <v>86169</v>
      </c>
      <c r="H43">
        <f>'Depreciation schedule'!H35</f>
        <v>1377734.5052376427</v>
      </c>
      <c r="I43">
        <f>'Depreciation schedule'!I35</f>
        <v>49080.5193406326</v>
      </c>
      <c r="J43">
        <f>'Depreciation schedule'!J35</f>
        <v>183134.37659848071</v>
      </c>
      <c r="K43">
        <f>'Depreciation schedule'!K35</f>
        <v>2928089.5650977958</v>
      </c>
      <c r="L43" s="120">
        <f>'Depreciation schedule'!L35</f>
        <v>104310.48651575889</v>
      </c>
      <c r="M43" s="10"/>
    </row>
    <row r="44" spans="1:16" x14ac:dyDescent="0.35">
      <c r="A44" s="4" t="s">
        <v>11</v>
      </c>
      <c r="B44" s="418"/>
      <c r="D44" s="17" t="s">
        <v>18</v>
      </c>
      <c r="F44" s="17">
        <v>-63117</v>
      </c>
      <c r="G44" s="147" t="s">
        <v>18</v>
      </c>
      <c r="H44">
        <f>'Depreciation schedule'!H36</f>
        <v>0</v>
      </c>
      <c r="I44">
        <f>'Depreciation schedule'!I36</f>
        <v>0</v>
      </c>
      <c r="J44">
        <f>'Depreciation schedule'!J36</f>
        <v>0</v>
      </c>
      <c r="K44">
        <f>'Depreciation schedule'!K36</f>
        <v>0</v>
      </c>
      <c r="L44" s="120">
        <f>'Depreciation schedule'!L36</f>
        <v>0</v>
      </c>
      <c r="M44" s="9"/>
    </row>
    <row r="45" spans="1:16" x14ac:dyDescent="0.35">
      <c r="A45" s="4" t="s">
        <v>12</v>
      </c>
      <c r="B45" s="418"/>
      <c r="C45" s="86">
        <v>-3379</v>
      </c>
      <c r="D45" s="17">
        <v>0</v>
      </c>
      <c r="E45" s="17">
        <v>0</v>
      </c>
      <c r="F45" s="17">
        <v>63117</v>
      </c>
      <c r="G45" s="17">
        <v>0</v>
      </c>
      <c r="H45" s="17">
        <v>0</v>
      </c>
      <c r="I45">
        <f>'Depreciation schedule'!I37</f>
        <v>-148132.96682376604</v>
      </c>
      <c r="J45">
        <f>'Depreciation schedule'!J37</f>
        <v>0</v>
      </c>
      <c r="K45">
        <f>'Depreciation schedule'!K37</f>
        <v>0</v>
      </c>
      <c r="L45" s="120">
        <f>'Depreciation schedule'!L37</f>
        <v>-320464.47440767655</v>
      </c>
      <c r="M45" s="9"/>
    </row>
    <row r="46" spans="1:16" x14ac:dyDescent="0.35">
      <c r="A46" s="4" t="s">
        <v>13</v>
      </c>
      <c r="B46" s="418"/>
      <c r="C46" s="86">
        <v>596</v>
      </c>
      <c r="D46" s="17" t="s">
        <v>18</v>
      </c>
      <c r="F46" s="17" t="s">
        <v>18</v>
      </c>
      <c r="G46" s="147" t="s">
        <v>18</v>
      </c>
      <c r="H46">
        <f>'Depreciation schedule'!H38</f>
        <v>0</v>
      </c>
      <c r="I46">
        <f>'Depreciation schedule'!I38</f>
        <v>148132.96682376604</v>
      </c>
      <c r="J46">
        <f>'Depreciation schedule'!J38</f>
        <v>0</v>
      </c>
      <c r="K46">
        <f>'Depreciation schedule'!K38</f>
        <v>0</v>
      </c>
      <c r="L46" s="120">
        <f>'Depreciation schedule'!L38</f>
        <v>320464.47440767655</v>
      </c>
      <c r="M46" s="8"/>
    </row>
    <row r="47" spans="1:16" x14ac:dyDescent="0.35">
      <c r="A47" s="4" t="s">
        <v>14</v>
      </c>
      <c r="B47" s="418"/>
      <c r="C47" s="86">
        <v>-29702</v>
      </c>
      <c r="D47" s="17">
        <v>-23725</v>
      </c>
      <c r="E47" s="17">
        <v>-44082</v>
      </c>
      <c r="F47" s="17">
        <v>-49734</v>
      </c>
      <c r="G47" s="147">
        <v>-56490</v>
      </c>
      <c r="H47">
        <f>'Depreciation schedule'!H39</f>
        <v>-51535.324047914524</v>
      </c>
      <c r="I47">
        <f>'Depreciation schedule'!I39</f>
        <v>-106192.01590169051</v>
      </c>
      <c r="J47">
        <f>'Depreciation schedule'!J39</f>
        <v>-102262.46410570487</v>
      </c>
      <c r="K47">
        <f>'Depreciation schedule'!K39</f>
        <v>-109527.66589278648</v>
      </c>
      <c r="L47" s="120">
        <f>'Depreciation schedule'!L39</f>
        <v>-225689.15308164241</v>
      </c>
      <c r="M47" s="8"/>
    </row>
    <row r="48" spans="1:16" x14ac:dyDescent="0.35">
      <c r="A48" s="4" t="s">
        <v>15</v>
      </c>
      <c r="B48" s="418"/>
      <c r="C48" s="86">
        <f>SUM(C42:C47)</f>
        <v>353096</v>
      </c>
      <c r="D48" s="17">
        <v>385909</v>
      </c>
      <c r="E48" s="17">
        <f>SUM(E42:E47)</f>
        <v>986756</v>
      </c>
      <c r="F48" s="17">
        <v>959997</v>
      </c>
      <c r="G48" s="147">
        <v>989676</v>
      </c>
      <c r="H48">
        <f>'Depreciation schedule'!H40</f>
        <v>2315875.181189728</v>
      </c>
      <c r="I48">
        <f>'Depreciation schedule'!I40</f>
        <v>2258763.6846286701</v>
      </c>
      <c r="J48">
        <f>'Depreciation schedule'!J40</f>
        <v>2191502.6302976799</v>
      </c>
      <c r="K48">
        <f>'Depreciation schedule'!K40</f>
        <v>5010064.5295026889</v>
      </c>
      <c r="L48" s="120">
        <f>'Depreciation schedule'!L40</f>
        <v>4888685.8629368059</v>
      </c>
      <c r="M48" s="8"/>
    </row>
    <row r="49" spans="1:17" ht="29" x14ac:dyDescent="0.35">
      <c r="A49" s="4" t="s">
        <v>432</v>
      </c>
      <c r="B49" s="418"/>
      <c r="H49">
        <f>'Depreciation schedule'!H41</f>
        <v>0</v>
      </c>
      <c r="I49">
        <f>'Depreciation schedule'!I41</f>
        <v>0</v>
      </c>
      <c r="J49">
        <f>'Depreciation schedule'!J41</f>
        <v>0</v>
      </c>
      <c r="K49">
        <f>'Depreciation schedule'!K41</f>
        <v>0</v>
      </c>
      <c r="L49" s="120">
        <f>'Depreciation schedule'!L41</f>
        <v>0</v>
      </c>
      <c r="M49" s="8"/>
    </row>
    <row r="50" spans="1:17" x14ac:dyDescent="0.35">
      <c r="A50" s="4" t="s">
        <v>16</v>
      </c>
      <c r="B50" s="418"/>
      <c r="C50" s="86">
        <v>551560</v>
      </c>
      <c r="D50" s="17">
        <v>608098</v>
      </c>
      <c r="E50" s="17">
        <v>1253027</v>
      </c>
      <c r="F50" s="17">
        <v>1212885</v>
      </c>
      <c r="G50" s="147">
        <v>1299054</v>
      </c>
      <c r="H50">
        <f>'Depreciation schedule'!H42</f>
        <v>2676788.5052376427</v>
      </c>
      <c r="I50">
        <f>'Depreciation schedule'!I42</f>
        <v>2577736.0577545092</v>
      </c>
      <c r="J50">
        <f>'Depreciation schedule'!J42</f>
        <v>2760870.4343529898</v>
      </c>
      <c r="K50">
        <f>'Depreciation schedule'!K42</f>
        <v>5688959.999450786</v>
      </c>
      <c r="L50" s="120">
        <f>'Depreciation schedule'!L42</f>
        <v>5472806.011558868</v>
      </c>
      <c r="M50" s="8"/>
    </row>
    <row r="51" spans="1:17" x14ac:dyDescent="0.35">
      <c r="A51" s="4" t="s">
        <v>6</v>
      </c>
      <c r="B51" s="418"/>
      <c r="C51" s="86">
        <v>-198464</v>
      </c>
      <c r="D51" s="17">
        <v>-222189</v>
      </c>
      <c r="E51" s="17">
        <v>-266271</v>
      </c>
      <c r="F51" s="17">
        <v>-252888</v>
      </c>
      <c r="G51" s="147">
        <v>-309378</v>
      </c>
      <c r="H51">
        <f>'Depreciation schedule'!H43</f>
        <v>-360913.32404791453</v>
      </c>
      <c r="I51">
        <f>'Depreciation schedule'!I43</f>
        <v>-467105.33994960506</v>
      </c>
      <c r="J51">
        <f>'Depreciation schedule'!J43</f>
        <v>-569367.80405530997</v>
      </c>
      <c r="K51">
        <f>'Depreciation schedule'!K43</f>
        <v>-678895.46994809643</v>
      </c>
      <c r="L51" s="120">
        <f>'Depreciation schedule'!L43</f>
        <v>-904584.6230297389</v>
      </c>
      <c r="M51" s="8"/>
    </row>
    <row r="52" spans="1:17" x14ac:dyDescent="0.35">
      <c r="A52" s="4" t="s">
        <v>7</v>
      </c>
      <c r="C52" s="86">
        <f>SUM(C50:C51)</f>
        <v>353096</v>
      </c>
      <c r="D52" s="17">
        <v>385909</v>
      </c>
      <c r="E52" s="17">
        <f>SUM(E50:E51)</f>
        <v>986756</v>
      </c>
      <c r="F52" s="17">
        <v>959997</v>
      </c>
      <c r="G52" s="147">
        <v>989676</v>
      </c>
      <c r="H52">
        <f>'Depreciation schedule'!H44</f>
        <v>2315875.181189728</v>
      </c>
      <c r="I52">
        <f>'Depreciation schedule'!I44</f>
        <v>2110630.7178049041</v>
      </c>
      <c r="J52">
        <f>'Depreciation schedule'!J44</f>
        <v>2191502.6302976799</v>
      </c>
      <c r="K52">
        <f>'Depreciation schedule'!K44</f>
        <v>5010064.5295026898</v>
      </c>
      <c r="L52" s="120">
        <f>'Depreciation schedule'!L44</f>
        <v>4568221.3885291293</v>
      </c>
      <c r="M52" s="8"/>
    </row>
    <row r="53" spans="1:17" x14ac:dyDescent="0.35">
      <c r="L53" s="156"/>
      <c r="M53" s="8"/>
    </row>
    <row r="54" spans="1:17" x14ac:dyDescent="0.35">
      <c r="A54" s="7" t="s">
        <v>19</v>
      </c>
      <c r="L54" s="157"/>
      <c r="M54" s="9"/>
    </row>
    <row r="55" spans="1:17" ht="29" x14ac:dyDescent="0.35">
      <c r="A55" s="4" t="s">
        <v>430</v>
      </c>
      <c r="B55" s="419" t="s">
        <v>510</v>
      </c>
      <c r="L55" s="157"/>
      <c r="M55" s="9"/>
    </row>
    <row r="56" spans="1:17" x14ac:dyDescent="0.35">
      <c r="A56" s="4" t="s">
        <v>5</v>
      </c>
      <c r="B56" s="419"/>
      <c r="C56" s="86">
        <v>26398096</v>
      </c>
      <c r="D56" s="17">
        <v>28025363</v>
      </c>
      <c r="E56" s="17">
        <v>30076319</v>
      </c>
      <c r="F56" s="17">
        <v>42877113</v>
      </c>
      <c r="G56" s="147">
        <v>47846447</v>
      </c>
      <c r="H56">
        <f>'Depreciation schedule'!H48</f>
        <v>50806667</v>
      </c>
      <c r="I56">
        <f>'Depreciation schedule'!I48</f>
        <v>55769327.600000001</v>
      </c>
      <c r="J56">
        <f>'Depreciation schedule'!J48</f>
        <v>61399066.920000002</v>
      </c>
      <c r="K56">
        <f>'Depreciation schedule'!K48</f>
        <v>67744562.903999999</v>
      </c>
      <c r="L56" s="120">
        <f>'Depreciation schedule'!L48</f>
        <v>72758988.484799996</v>
      </c>
      <c r="M56" s="8"/>
    </row>
    <row r="57" spans="1:17" x14ac:dyDescent="0.35">
      <c r="A57" s="4" t="s">
        <v>6</v>
      </c>
      <c r="B57" s="419"/>
      <c r="C57" s="86">
        <v>-10701284</v>
      </c>
      <c r="D57" s="17">
        <v>-11599581</v>
      </c>
      <c r="E57" s="17">
        <v>-12732611</v>
      </c>
      <c r="F57" s="17">
        <v>-14204304</v>
      </c>
      <c r="G57" s="147">
        <v>-16193705</v>
      </c>
      <c r="H57">
        <f>'Depreciation schedule'!H49</f>
        <v>-19201926</v>
      </c>
      <c r="I57">
        <f>'Depreciation schedule'!I49</f>
        <v>-21828395.671463031</v>
      </c>
      <c r="J57">
        <f>'Depreciation schedule'!J49</f>
        <v>-24704888.085978564</v>
      </c>
      <c r="K57">
        <f>'Depreciation schedule'!K49</f>
        <v>-27873326.931419965</v>
      </c>
      <c r="L57" s="120">
        <f>'Depreciation schedule'!L49</f>
        <v>-31295621.010592688</v>
      </c>
      <c r="N57" s="2"/>
      <c r="O57" s="2"/>
      <c r="P57" s="2"/>
      <c r="Q57" s="2"/>
    </row>
    <row r="58" spans="1:17" x14ac:dyDescent="0.35">
      <c r="A58" s="4" t="s">
        <v>7</v>
      </c>
      <c r="B58" s="419"/>
      <c r="C58" s="86">
        <f>SUM(C56:C57)</f>
        <v>15696812</v>
      </c>
      <c r="D58" s="17">
        <f>SUM(D56:D57)</f>
        <v>16425782</v>
      </c>
      <c r="E58" s="17">
        <f>SUM(E56:E57)</f>
        <v>17343708</v>
      </c>
      <c r="F58" s="17">
        <f>SUM(F56:F57)</f>
        <v>28672809</v>
      </c>
      <c r="G58" s="147">
        <v>31652742</v>
      </c>
      <c r="H58">
        <f>'Depreciation schedule'!H50</f>
        <v>31604741</v>
      </c>
      <c r="I58">
        <f>'Depreciation schedule'!I50</f>
        <v>33940931.928536966</v>
      </c>
      <c r="J58">
        <f>'Depreciation schedule'!J50</f>
        <v>36694178.834021434</v>
      </c>
      <c r="K58">
        <f>'Depreciation schedule'!K50</f>
        <v>39871235.972580031</v>
      </c>
      <c r="L58" s="120">
        <f>'Depreciation schedule'!L50</f>
        <v>41463367.474207312</v>
      </c>
      <c r="N58" s="2"/>
      <c r="O58" s="2"/>
      <c r="P58" s="2"/>
    </row>
    <row r="59" spans="1:17" x14ac:dyDescent="0.35">
      <c r="A59" s="4" t="s">
        <v>431</v>
      </c>
      <c r="B59" s="419"/>
      <c r="H59">
        <f>'Depreciation schedule'!H51</f>
        <v>0</v>
      </c>
      <c r="I59">
        <f>'Depreciation schedule'!I51</f>
        <v>0</v>
      </c>
      <c r="J59">
        <f>'Depreciation schedule'!J51</f>
        <v>0</v>
      </c>
      <c r="K59">
        <f>'Depreciation schedule'!K51</f>
        <v>0</v>
      </c>
      <c r="L59" s="120">
        <f>'Depreciation schedule'!L51</f>
        <v>0</v>
      </c>
    </row>
    <row r="60" spans="1:17" x14ac:dyDescent="0.35">
      <c r="A60" s="4" t="s">
        <v>8</v>
      </c>
      <c r="B60" s="419"/>
      <c r="H60">
        <f>'Depreciation schedule'!H52</f>
        <v>0</v>
      </c>
      <c r="I60">
        <f>'Depreciation schedule'!I52</f>
        <v>0</v>
      </c>
      <c r="J60">
        <f>'Depreciation schedule'!J52</f>
        <v>0</v>
      </c>
      <c r="K60">
        <f>'Depreciation schedule'!K52</f>
        <v>0</v>
      </c>
      <c r="L60" s="120">
        <f>'Depreciation schedule'!L52</f>
        <v>0</v>
      </c>
      <c r="M60" s="10"/>
    </row>
    <row r="61" spans="1:17" x14ac:dyDescent="0.35">
      <c r="A61" s="4" t="s">
        <v>9</v>
      </c>
      <c r="B61" s="419"/>
      <c r="C61" s="86">
        <v>15696812</v>
      </c>
      <c r="D61" s="17">
        <v>16425782</v>
      </c>
      <c r="E61" s="17">
        <v>17343708</v>
      </c>
      <c r="F61" s="17">
        <v>28672809</v>
      </c>
      <c r="G61" s="147">
        <v>31652742</v>
      </c>
      <c r="H61">
        <f>'Depreciation schedule'!H53</f>
        <v>31604741</v>
      </c>
      <c r="I61">
        <f>'Depreciation schedule'!I53</f>
        <v>33940931.928536966</v>
      </c>
      <c r="J61">
        <f>'Depreciation schedule'!J53</f>
        <v>36694178.834021434</v>
      </c>
      <c r="K61">
        <f>'Depreciation schedule'!K53</f>
        <v>39871235.972580031</v>
      </c>
      <c r="L61" s="120">
        <f>'Depreciation schedule'!L53</f>
        <v>41463367.474207312</v>
      </c>
      <c r="M61" s="9"/>
    </row>
    <row r="62" spans="1:17" x14ac:dyDescent="0.35">
      <c r="A62" s="4" t="s">
        <v>10</v>
      </c>
      <c r="B62" s="419"/>
      <c r="C62" s="86">
        <v>1627267</v>
      </c>
      <c r="D62" s="17">
        <v>2050956</v>
      </c>
      <c r="E62" s="17">
        <v>13000848</v>
      </c>
      <c r="F62" s="17">
        <v>5174012</v>
      </c>
      <c r="G62" s="147">
        <v>2960220</v>
      </c>
      <c r="H62">
        <f>'Depreciation schedule'!H54</f>
        <v>4962660.5999999996</v>
      </c>
      <c r="I62">
        <f>'Depreciation schedule'!I54</f>
        <v>5629739.3200000003</v>
      </c>
      <c r="J62">
        <f>'Depreciation schedule'!J54</f>
        <v>6345495.9840000002</v>
      </c>
      <c r="K62">
        <f>'Depreciation schedule'!K54</f>
        <v>5014425.5808000006</v>
      </c>
      <c r="L62" s="120">
        <f>'Depreciation schedule'!L54</f>
        <v>4982508.2969599999</v>
      </c>
      <c r="M62" s="9"/>
    </row>
    <row r="63" spans="1:17" x14ac:dyDescent="0.35">
      <c r="A63" s="4" t="s">
        <v>11</v>
      </c>
      <c r="B63" s="419"/>
      <c r="C63" s="86" t="s">
        <v>18</v>
      </c>
      <c r="D63" s="17" t="s">
        <v>18</v>
      </c>
      <c r="E63" s="17" t="s">
        <v>18</v>
      </c>
      <c r="F63" s="17" t="s">
        <v>18</v>
      </c>
      <c r="G63" s="147" t="s">
        <v>18</v>
      </c>
      <c r="H63">
        <f>'Depreciation schedule'!H55</f>
        <v>0</v>
      </c>
      <c r="I63">
        <f>'Depreciation schedule'!I55</f>
        <v>0</v>
      </c>
      <c r="J63">
        <f>'Depreciation schedule'!J55</f>
        <v>0</v>
      </c>
      <c r="K63">
        <f>'Depreciation schedule'!K55</f>
        <v>0</v>
      </c>
      <c r="L63" s="120">
        <f>'Depreciation schedule'!L55</f>
        <v>0</v>
      </c>
      <c r="M63" s="9"/>
    </row>
    <row r="64" spans="1:17" x14ac:dyDescent="0.35">
      <c r="A64" s="4" t="s">
        <v>12</v>
      </c>
      <c r="B64" s="419"/>
      <c r="C64" s="86">
        <v>0</v>
      </c>
      <c r="D64" s="86">
        <v>0</v>
      </c>
      <c r="E64" s="17">
        <v>-200054</v>
      </c>
      <c r="F64" s="17">
        <v>-204678</v>
      </c>
      <c r="G64" s="147">
        <v>0</v>
      </c>
      <c r="H64">
        <f>'Depreciation schedule'!H56</f>
        <v>0</v>
      </c>
      <c r="I64">
        <f>'Depreciation schedule'!I56</f>
        <v>0</v>
      </c>
      <c r="J64">
        <f>'Depreciation schedule'!J56</f>
        <v>0</v>
      </c>
      <c r="K64">
        <f>'Depreciation schedule'!K56</f>
        <v>-285884.00770398276</v>
      </c>
      <c r="L64" s="120">
        <f>'Depreciation schedule'!L56</f>
        <v>0</v>
      </c>
      <c r="M64" s="9"/>
    </row>
    <row r="65" spans="1:15" x14ac:dyDescent="0.35">
      <c r="A65" s="4" t="s">
        <v>13</v>
      </c>
      <c r="B65" s="419"/>
      <c r="C65" s="86" t="s">
        <v>18</v>
      </c>
      <c r="D65" s="17" t="s">
        <v>18</v>
      </c>
      <c r="E65" s="17">
        <v>127089</v>
      </c>
      <c r="F65" s="17">
        <v>204678</v>
      </c>
      <c r="G65" s="147" t="s">
        <v>18</v>
      </c>
      <c r="H65">
        <f>'Depreciation schedule'!H57</f>
        <v>0</v>
      </c>
      <c r="I65">
        <f>'Depreciation schedule'!I57</f>
        <v>0</v>
      </c>
      <c r="J65">
        <f>'Depreciation schedule'!J57</f>
        <v>0</v>
      </c>
      <c r="K65">
        <f>'Depreciation schedule'!K57</f>
        <v>285884.00770398276</v>
      </c>
      <c r="L65" s="120">
        <f>'Depreciation schedule'!L57</f>
        <v>0</v>
      </c>
      <c r="M65" s="8"/>
    </row>
    <row r="66" spans="1:15" x14ac:dyDescent="0.35">
      <c r="A66" s="4" t="s">
        <v>14</v>
      </c>
      <c r="B66" s="419"/>
      <c r="C66" s="86">
        <v>-898297</v>
      </c>
      <c r="D66" s="17">
        <v>-1133030</v>
      </c>
      <c r="E66" s="17">
        <v>-1598782</v>
      </c>
      <c r="F66" s="17">
        <v>-2194079</v>
      </c>
      <c r="G66" s="147">
        <v>-2676454</v>
      </c>
      <c r="H66" s="90">
        <f>'Depreciation schedule'!H59</f>
        <v>-2626469.6714630323</v>
      </c>
      <c r="I66" s="90">
        <f>'Depreciation schedule'!I59</f>
        <v>-2876492.414515534</v>
      </c>
      <c r="J66" s="90">
        <f>'Depreciation schedule'!J59</f>
        <v>-3168438.8454414019</v>
      </c>
      <c r="K66" s="90">
        <f>'Depreciation schedule'!K59</f>
        <v>-3422294.0791727235</v>
      </c>
      <c r="L66" s="155">
        <f>'Depreciation schedule'!L59</f>
        <v>-3573957.9097907101</v>
      </c>
      <c r="M66" s="8"/>
    </row>
    <row r="67" spans="1:15" x14ac:dyDescent="0.35">
      <c r="A67" s="4" t="s">
        <v>15</v>
      </c>
      <c r="B67" s="419"/>
      <c r="C67" s="86">
        <f>SUM(C61:C66)</f>
        <v>16425782</v>
      </c>
      <c r="D67" s="17">
        <f>SUM(D61:D66)</f>
        <v>17343708</v>
      </c>
      <c r="E67" s="17">
        <f>SUM(E61:E66)</f>
        <v>28672809</v>
      </c>
      <c r="F67" s="17">
        <f>SUM(F61:F66)</f>
        <v>31652742</v>
      </c>
      <c r="G67" s="147">
        <v>31936508</v>
      </c>
      <c r="H67" s="90">
        <f>'Depreciation schedule'!H60</f>
        <v>33940931.928536966</v>
      </c>
      <c r="I67" s="90">
        <f>'Depreciation schedule'!I60</f>
        <v>36694178.834021434</v>
      </c>
      <c r="J67" s="90">
        <f>'Depreciation schedule'!J60</f>
        <v>39871235.972580031</v>
      </c>
      <c r="K67" s="90">
        <f>'Depreciation schedule'!K60</f>
        <v>41463367.474207304</v>
      </c>
      <c r="L67" s="155">
        <f>'Depreciation schedule'!L60</f>
        <v>42871917.861376598</v>
      </c>
      <c r="M67" s="8"/>
    </row>
    <row r="68" spans="1:15" ht="29" x14ac:dyDescent="0.35">
      <c r="A68" s="4" t="s">
        <v>432</v>
      </c>
      <c r="B68" s="419"/>
      <c r="H68" s="90">
        <f>'Depreciation schedule'!H61</f>
        <v>0</v>
      </c>
      <c r="I68" s="90">
        <f>'Depreciation schedule'!I61</f>
        <v>0</v>
      </c>
      <c r="J68" s="90">
        <f>'Depreciation schedule'!J61</f>
        <v>0</v>
      </c>
      <c r="K68" s="90">
        <f>'Depreciation schedule'!K61</f>
        <v>0</v>
      </c>
      <c r="L68" s="155">
        <f>'Depreciation schedule'!L61</f>
        <v>0</v>
      </c>
      <c r="M68" s="8"/>
    </row>
    <row r="69" spans="1:15" x14ac:dyDescent="0.35">
      <c r="A69" s="4" t="s">
        <v>16</v>
      </c>
      <c r="B69" s="419"/>
      <c r="C69" s="86">
        <v>28025363</v>
      </c>
      <c r="D69" s="17">
        <v>30076319</v>
      </c>
      <c r="E69" s="17">
        <v>42877113</v>
      </c>
      <c r="F69" s="17">
        <v>47846447</v>
      </c>
      <c r="G69" s="147">
        <v>50806667</v>
      </c>
      <c r="H69" s="90">
        <f>'Depreciation schedule'!H62</f>
        <v>55769327.600000001</v>
      </c>
      <c r="I69" s="90">
        <f>'Depreciation schedule'!I62</f>
        <v>61399066.920000002</v>
      </c>
      <c r="J69" s="90">
        <f>'Depreciation schedule'!J62</f>
        <v>67744562.903999999</v>
      </c>
      <c r="K69" s="90">
        <f>'Depreciation schedule'!K62</f>
        <v>72758988.484799996</v>
      </c>
      <c r="L69" s="155">
        <f>'Depreciation schedule'!L62</f>
        <v>77741496.781759992</v>
      </c>
      <c r="M69" s="9"/>
    </row>
    <row r="70" spans="1:15" x14ac:dyDescent="0.35">
      <c r="A70" s="4" t="s">
        <v>6</v>
      </c>
      <c r="B70" s="419"/>
      <c r="C70" s="86">
        <v>-11599581</v>
      </c>
      <c r="D70" s="17">
        <v>-12732611</v>
      </c>
      <c r="E70" s="17">
        <v>-14204304</v>
      </c>
      <c r="F70" s="17">
        <v>-16193705</v>
      </c>
      <c r="G70" s="147">
        <v>-18870159</v>
      </c>
      <c r="H70" s="90">
        <f>'Depreciation schedule'!H63</f>
        <v>-21828395.671463031</v>
      </c>
      <c r="I70" s="90">
        <f>'Depreciation schedule'!I63</f>
        <v>-24704888.085978564</v>
      </c>
      <c r="J70" s="90">
        <f>'Depreciation schedule'!J63</f>
        <v>-27873326.931419965</v>
      </c>
      <c r="K70" s="90">
        <f>'Depreciation schedule'!K63</f>
        <v>-31295621.010592688</v>
      </c>
      <c r="L70" s="155">
        <f>'Depreciation schedule'!L63</f>
        <v>-34869578.920383401</v>
      </c>
      <c r="M70" s="9"/>
    </row>
    <row r="71" spans="1:15" x14ac:dyDescent="0.35">
      <c r="A71" s="4" t="s">
        <v>7</v>
      </c>
      <c r="C71" s="86">
        <f>SUM(C69:C70)</f>
        <v>16425782</v>
      </c>
      <c r="D71" s="17">
        <f>SUM(D69:D70)</f>
        <v>17343708</v>
      </c>
      <c r="E71" s="17">
        <f>SUM(E69:E70)</f>
        <v>28672809</v>
      </c>
      <c r="F71" s="17">
        <f>SUM(F69:F70)</f>
        <v>31652742</v>
      </c>
      <c r="G71" s="147">
        <v>31936508</v>
      </c>
      <c r="H71" s="90">
        <f>'Depreciation schedule'!H64</f>
        <v>33940931.928536966</v>
      </c>
      <c r="I71" s="90">
        <f>'Depreciation schedule'!I64</f>
        <v>36694178.834021434</v>
      </c>
      <c r="J71" s="90">
        <f>'Depreciation schedule'!J64</f>
        <v>39871235.972580031</v>
      </c>
      <c r="K71" s="90">
        <f>'Depreciation schedule'!K64</f>
        <v>41463367.474207312</v>
      </c>
      <c r="L71" s="155">
        <f>'Depreciation schedule'!L64</f>
        <v>42871917.861376591</v>
      </c>
      <c r="M71" s="9"/>
    </row>
    <row r="72" spans="1:15" x14ac:dyDescent="0.35">
      <c r="L72" s="157"/>
      <c r="M72" s="9"/>
    </row>
    <row r="73" spans="1:15" x14ac:dyDescent="0.35">
      <c r="A73" s="7" t="s">
        <v>20</v>
      </c>
      <c r="L73" s="157"/>
      <c r="M73" s="9"/>
    </row>
    <row r="74" spans="1:15" ht="29" x14ac:dyDescent="0.35">
      <c r="A74" s="4" t="s">
        <v>430</v>
      </c>
      <c r="B74" s="420" t="s">
        <v>510</v>
      </c>
      <c r="H74" s="2"/>
      <c r="I74" s="10"/>
      <c r="J74" s="10"/>
      <c r="K74" s="12"/>
    </row>
    <row r="75" spans="1:15" x14ac:dyDescent="0.35">
      <c r="A75" s="4" t="s">
        <v>5</v>
      </c>
      <c r="B75" s="420"/>
      <c r="C75" s="86">
        <f>SUM(398968,26122,50315,33849)</f>
        <v>509254</v>
      </c>
      <c r="D75" s="17">
        <f>SUM(398968,26122,50315,98288,33849)</f>
        <v>607542</v>
      </c>
      <c r="E75" s="17">
        <f>SUM(398968,26122,50135,100287,33849)</f>
        <v>609361</v>
      </c>
      <c r="F75" s="17">
        <f>574407+33849</f>
        <v>608256</v>
      </c>
      <c r="G75" s="148">
        <f>'Depreciation schedule'!G70</f>
        <v>725651.77053493937</v>
      </c>
      <c r="H75" s="2">
        <f>'Depreciation schedule'!H70</f>
        <v>728039.38799891609</v>
      </c>
      <c r="I75" s="2">
        <f>'Depreciation schedule'!I70</f>
        <v>726504.57637249783</v>
      </c>
      <c r="J75" s="2">
        <f>'Depreciation schedule'!J70</f>
        <v>866722.78143814299</v>
      </c>
      <c r="K75" s="2">
        <f>'Depreciation schedule'!K70</f>
        <v>869574.56590752094</v>
      </c>
      <c r="L75" s="148">
        <f>'Depreciation schedule'!L70</f>
        <v>867741.37779188773</v>
      </c>
    </row>
    <row r="76" spans="1:15" x14ac:dyDescent="0.35">
      <c r="A76" s="4" t="s">
        <v>6</v>
      </c>
      <c r="B76" s="420"/>
      <c r="C76" s="86">
        <f>-SUM(245573,25021,2866,18242)</f>
        <v>-291702</v>
      </c>
      <c r="D76" s="17">
        <f>-SUM(258471,25029,24056,253,19714)</f>
        <v>-327523</v>
      </c>
      <c r="E76" s="17">
        <f>-(SUM(271337,25374,25823,3300,21185))</f>
        <v>-347019</v>
      </c>
      <c r="F76" s="17">
        <f>-343384-22656</f>
        <v>-366040</v>
      </c>
      <c r="G76" s="148">
        <f>'Depreciation schedule'!G71</f>
        <v>-386984</v>
      </c>
      <c r="H76" s="2">
        <f>'Depreciation schedule'!H71</f>
        <v>-406949</v>
      </c>
      <c r="I76" s="2">
        <f>'Depreciation schedule'!I71</f>
        <v>-428424.5142884606</v>
      </c>
      <c r="J76" s="2">
        <f>'Depreciation schedule'!J71</f>
        <v>-428424.5142884606</v>
      </c>
      <c r="K76" s="2">
        <f>'Depreciation schedule'!K71</f>
        <v>-428424.5142884606</v>
      </c>
      <c r="L76" s="148">
        <f>'Depreciation schedule'!L71</f>
        <v>-428424.5142884606</v>
      </c>
    </row>
    <row r="77" spans="1:15" x14ac:dyDescent="0.35">
      <c r="A77" s="4" t="s">
        <v>7</v>
      </c>
      <c r="B77" s="420"/>
      <c r="C77" s="86">
        <f>SUM(C75:C76)</f>
        <v>217552</v>
      </c>
      <c r="D77" s="17">
        <f>SUM(D75:D76)</f>
        <v>280019</v>
      </c>
      <c r="E77" s="17">
        <f>SUM(E75:E76)</f>
        <v>262342</v>
      </c>
      <c r="F77" s="17">
        <f t="shared" ref="F77" si="2">SUM(F75:F76)</f>
        <v>242216</v>
      </c>
      <c r="G77" s="148">
        <f>'Depreciation schedule'!G72</f>
        <v>338667.77053493937</v>
      </c>
      <c r="H77" s="2">
        <f>'Depreciation schedule'!H72</f>
        <v>321090.38799891609</v>
      </c>
      <c r="I77" s="2">
        <f>'Depreciation schedule'!I72</f>
        <v>298080.06208403723</v>
      </c>
      <c r="J77" s="2">
        <f>'Depreciation schedule'!J72</f>
        <v>438298.26714968239</v>
      </c>
      <c r="K77" s="2">
        <f>'Depreciation schedule'!K72</f>
        <v>441150.05161906034</v>
      </c>
      <c r="L77" s="148">
        <f>'Depreciation schedule'!L72</f>
        <v>439316.86350342713</v>
      </c>
      <c r="M77" s="10"/>
    </row>
    <row r="78" spans="1:15" x14ac:dyDescent="0.35">
      <c r="A78" s="4" t="s">
        <v>431</v>
      </c>
      <c r="B78" s="420"/>
      <c r="G78" s="148">
        <f>'Depreciation schedule'!G73</f>
        <v>0</v>
      </c>
      <c r="H78" s="2">
        <f>'Depreciation schedule'!H73</f>
        <v>0</v>
      </c>
      <c r="I78" s="2">
        <f>'Depreciation schedule'!I73</f>
        <v>0</v>
      </c>
      <c r="J78" s="2">
        <f>'Depreciation schedule'!J73</f>
        <v>0</v>
      </c>
      <c r="K78" s="2">
        <f>'Depreciation schedule'!K73</f>
        <v>0</v>
      </c>
      <c r="L78" s="148">
        <f>'Depreciation schedule'!L73</f>
        <v>0</v>
      </c>
      <c r="M78" s="9"/>
      <c r="N78" s="10"/>
      <c r="O78" s="10"/>
    </row>
    <row r="79" spans="1:15" x14ac:dyDescent="0.35">
      <c r="A79" s="4" t="s">
        <v>8</v>
      </c>
      <c r="B79" s="420"/>
      <c r="G79" s="148">
        <f>'Depreciation schedule'!G74</f>
        <v>0</v>
      </c>
      <c r="H79" s="2">
        <f>'Depreciation schedule'!H74</f>
        <v>0</v>
      </c>
      <c r="I79" s="2">
        <f>'Depreciation schedule'!I74</f>
        <v>0</v>
      </c>
      <c r="J79" s="2">
        <f>'Depreciation schedule'!J74</f>
        <v>0</v>
      </c>
      <c r="K79" s="2">
        <f>'Depreciation schedule'!K74</f>
        <v>0</v>
      </c>
      <c r="L79" s="148">
        <f>'Depreciation schedule'!L74</f>
        <v>0</v>
      </c>
      <c r="M79" s="9"/>
      <c r="N79" s="9"/>
      <c r="O79" s="9"/>
    </row>
    <row r="80" spans="1:15" x14ac:dyDescent="0.35">
      <c r="A80" s="4" t="s">
        <v>9</v>
      </c>
      <c r="B80" s="420"/>
      <c r="C80" s="86">
        <f>SUM(153395,1101,28449,15607)</f>
        <v>198552</v>
      </c>
      <c r="D80" s="17">
        <f>SUM(140497,1093,26259,98035,14135)</f>
        <v>280019</v>
      </c>
      <c r="E80" s="17">
        <f>SUM(127631,748,24492,96987,12664)</f>
        <v>262522</v>
      </c>
      <c r="F80" s="17">
        <f>F77</f>
        <v>242216</v>
      </c>
      <c r="G80" s="148">
        <f>'Depreciation schedule'!G75</f>
        <v>338667.77053493937</v>
      </c>
      <c r="H80" s="2">
        <f>'Depreciation schedule'!H75</f>
        <v>321090.38799891609</v>
      </c>
      <c r="I80" s="2">
        <f>'Depreciation schedule'!I75</f>
        <v>298080.06208403723</v>
      </c>
      <c r="J80" s="2">
        <f>'Depreciation schedule'!J75</f>
        <v>438298.26714968239</v>
      </c>
      <c r="K80" s="2">
        <f>'Depreciation schedule'!K75</f>
        <v>441150.05161906034</v>
      </c>
      <c r="L80" s="148">
        <f>'Depreciation schedule'!L75</f>
        <v>439316.86350342713</v>
      </c>
      <c r="M80" s="9"/>
      <c r="N80" s="9"/>
      <c r="O80" s="9"/>
    </row>
    <row r="81" spans="1:15" x14ac:dyDescent="0.35">
      <c r="A81" s="4" t="s">
        <v>10</v>
      </c>
      <c r="B81" s="420"/>
      <c r="C81" s="86">
        <v>98288</v>
      </c>
      <c r="D81" s="17">
        <v>1999</v>
      </c>
      <c r="F81" s="17">
        <v>0</v>
      </c>
      <c r="G81" s="148">
        <f>'Depreciation schedule'!G76</f>
        <v>2387.6174639767187</v>
      </c>
      <c r="H81" s="2">
        <f>'Depreciation schedule'!H76</f>
        <v>0</v>
      </c>
      <c r="I81" s="2">
        <f>'Depreciation schedule'!I76</f>
        <v>140218.20506564516</v>
      </c>
      <c r="J81" s="2">
        <f>'Depreciation schedule'!J76</f>
        <v>2851.784469377998</v>
      </c>
      <c r="K81" s="2">
        <f>'Depreciation schedule'!K76</f>
        <v>0</v>
      </c>
      <c r="L81" s="148">
        <f>'Depreciation schedule'!L76</f>
        <v>167477.45631926123</v>
      </c>
      <c r="M81" s="9"/>
      <c r="N81" s="8"/>
      <c r="O81" s="8"/>
    </row>
    <row r="82" spans="1:15" x14ac:dyDescent="0.35">
      <c r="A82" s="4" t="s">
        <v>11</v>
      </c>
      <c r="B82" s="420"/>
      <c r="F82" s="17">
        <v>0</v>
      </c>
      <c r="G82" s="148">
        <f>'Depreciation schedule'!G77</f>
        <v>0</v>
      </c>
      <c r="H82" s="2">
        <f>'Depreciation schedule'!H77</f>
        <v>0</v>
      </c>
      <c r="I82" s="2">
        <f>'Depreciation schedule'!I77</f>
        <v>0</v>
      </c>
      <c r="J82" s="2">
        <f>'Depreciation schedule'!J77</f>
        <v>0</v>
      </c>
      <c r="K82" s="2">
        <f>'Depreciation schedule'!K77</f>
        <v>0</v>
      </c>
      <c r="L82" s="148">
        <f>'Depreciation schedule'!L77</f>
        <v>0</v>
      </c>
      <c r="M82" s="8"/>
      <c r="N82" s="8"/>
      <c r="O82" s="8"/>
    </row>
    <row r="83" spans="1:15" x14ac:dyDescent="0.35">
      <c r="A83" s="4" t="s">
        <v>12</v>
      </c>
      <c r="B83" s="420"/>
      <c r="C83" s="86">
        <v>0</v>
      </c>
      <c r="D83" s="86">
        <v>0</v>
      </c>
      <c r="E83" s="17">
        <f>-SUM(993,292)</f>
        <v>-1285</v>
      </c>
      <c r="F83" s="17">
        <v>0</v>
      </c>
      <c r="G83" s="148">
        <f>'Depreciation schedule'!G78</f>
        <v>0</v>
      </c>
      <c r="H83" s="2">
        <f>'Depreciation schedule'!H78</f>
        <v>-1534.8116264182511</v>
      </c>
      <c r="I83" s="2">
        <f>'Depreciation schedule'!I78</f>
        <v>0</v>
      </c>
      <c r="J83" s="2">
        <f>'Depreciation schedule'!J78</f>
        <v>0</v>
      </c>
      <c r="K83" s="2">
        <f>'Depreciation schedule'!K78</f>
        <v>-1833.1881156331804</v>
      </c>
      <c r="L83" s="148">
        <f>'Depreciation schedule'!L78</f>
        <v>0</v>
      </c>
      <c r="M83" s="8"/>
      <c r="N83" s="8"/>
      <c r="O83" s="8"/>
    </row>
    <row r="84" spans="1:15" x14ac:dyDescent="0.35">
      <c r="A84" s="4" t="s">
        <v>13</v>
      </c>
      <c r="B84" s="420"/>
      <c r="E84" s="17">
        <f>802+157</f>
        <v>959</v>
      </c>
      <c r="F84" s="17">
        <v>0</v>
      </c>
      <c r="G84" s="148">
        <f>'Depreciation schedule'!G79</f>
        <v>0</v>
      </c>
      <c r="H84" s="2">
        <f>'Depreciation schedule'!H79</f>
        <v>1124.5539867277164</v>
      </c>
      <c r="I84" s="2">
        <f>'Depreciation schedule'!I79</f>
        <v>0</v>
      </c>
      <c r="J84" s="2">
        <f>'Depreciation schedule'!J79</f>
        <v>0</v>
      </c>
      <c r="K84" s="2">
        <f>'Depreciation schedule'!K79</f>
        <v>1183.8989543037922</v>
      </c>
      <c r="L84" s="148">
        <f>'Depreciation schedule'!L79</f>
        <v>0</v>
      </c>
      <c r="M84" s="8"/>
      <c r="N84" s="9"/>
      <c r="O84" s="9"/>
    </row>
    <row r="85" spans="1:15" x14ac:dyDescent="0.35">
      <c r="A85" s="4" t="s">
        <v>14</v>
      </c>
      <c r="B85" s="420"/>
      <c r="C85" s="86">
        <f>-SUM(12898,8,2190,253,1472)</f>
        <v>-16821</v>
      </c>
      <c r="D85" s="17">
        <f>-SUM(12886,345,1767,3047,1471)</f>
        <v>-19516</v>
      </c>
      <c r="E85" s="17">
        <f>-SUM(12885,345,4112,1167,1471)</f>
        <v>-19980</v>
      </c>
      <c r="F85" s="17">
        <f>-18494-1471</f>
        <v>-19965</v>
      </c>
      <c r="G85" s="148">
        <f>'Depreciation schedule'!G81</f>
        <v>-19965</v>
      </c>
      <c r="H85" s="2">
        <f>'Depreciation schedule'!H81</f>
        <v>-21475.514288460585</v>
      </c>
      <c r="I85" s="2">
        <f>'Depreciation schedule'!I81</f>
        <v>0</v>
      </c>
      <c r="J85" s="2">
        <f>'Depreciation schedule'!J81</f>
        <v>0</v>
      </c>
      <c r="K85" s="2">
        <f>'Depreciation schedule'!K81</f>
        <v>0</v>
      </c>
      <c r="L85" s="148">
        <f>'Depreciation schedule'!L81</f>
        <v>0</v>
      </c>
      <c r="M85" s="8"/>
      <c r="N85" s="9"/>
      <c r="O85" s="9"/>
    </row>
    <row r="86" spans="1:15" x14ac:dyDescent="0.35">
      <c r="A86" s="4" t="s">
        <v>15</v>
      </c>
      <c r="B86" s="420"/>
      <c r="C86" s="86">
        <f>SUM(C80:C85)</f>
        <v>280019</v>
      </c>
      <c r="D86" s="17">
        <f t="shared" ref="D86:F86" si="3">SUM(D80:D85)</f>
        <v>262502</v>
      </c>
      <c r="E86" s="17">
        <f t="shared" si="3"/>
        <v>242216</v>
      </c>
      <c r="F86" s="17">
        <f t="shared" si="3"/>
        <v>222251</v>
      </c>
      <c r="G86" s="148">
        <f>'Depreciation schedule'!G82</f>
        <v>321090.38799891609</v>
      </c>
      <c r="H86" s="2">
        <f>'Depreciation schedule'!H82</f>
        <v>299204.61607076495</v>
      </c>
      <c r="I86" s="2">
        <f>'Depreciation schedule'!I82</f>
        <v>438298.26714968239</v>
      </c>
      <c r="J86" s="2">
        <f>'Depreciation schedule'!J82</f>
        <v>441150.0516190604</v>
      </c>
      <c r="K86" s="2">
        <f>'Depreciation schedule'!K82</f>
        <v>440500.76245773095</v>
      </c>
      <c r="L86" s="148">
        <f>'Depreciation schedule'!L82</f>
        <v>606794.31982268835</v>
      </c>
      <c r="M86" s="9"/>
      <c r="N86" s="9"/>
      <c r="O86" s="9"/>
    </row>
    <row r="87" spans="1:15" ht="29" x14ac:dyDescent="0.35">
      <c r="A87" s="4" t="s">
        <v>432</v>
      </c>
      <c r="B87" s="420"/>
      <c r="G87" s="148">
        <f>'Depreciation schedule'!G83</f>
        <v>0</v>
      </c>
      <c r="H87" s="2">
        <f>'Depreciation schedule'!H83</f>
        <v>0</v>
      </c>
      <c r="I87" s="2">
        <f>'Depreciation schedule'!I83</f>
        <v>0</v>
      </c>
      <c r="J87" s="2">
        <f>'Depreciation schedule'!J83</f>
        <v>0</v>
      </c>
      <c r="K87" s="2">
        <f>'Depreciation schedule'!K83</f>
        <v>0</v>
      </c>
      <c r="L87" s="148">
        <f>'Depreciation schedule'!L83</f>
        <v>0</v>
      </c>
      <c r="M87" s="9"/>
      <c r="N87" s="9"/>
      <c r="O87" s="9"/>
    </row>
    <row r="88" spans="1:15" x14ac:dyDescent="0.35">
      <c r="A88" s="4" t="s">
        <v>16</v>
      </c>
      <c r="B88" s="420"/>
      <c r="C88" s="86">
        <f>C75+C81</f>
        <v>607542</v>
      </c>
      <c r="D88" s="17">
        <f>D75-98288+100287</f>
        <v>609541</v>
      </c>
      <c r="E88" s="17">
        <f>SUM(397975,26122,50023,100287,33849)</f>
        <v>608256</v>
      </c>
      <c r="F88" s="17">
        <f>F75</f>
        <v>608256</v>
      </c>
      <c r="G88" s="148">
        <f>'Depreciation schedule'!G84</f>
        <v>728039.38799891609</v>
      </c>
      <c r="H88" s="2">
        <f>'Depreciation schedule'!H84</f>
        <v>726504.57637249783</v>
      </c>
      <c r="I88" s="2">
        <f>'Depreciation schedule'!I84</f>
        <v>866722.78143814299</v>
      </c>
      <c r="J88" s="2">
        <f>'Depreciation schedule'!J84</f>
        <v>869574.56590752094</v>
      </c>
      <c r="K88" s="2">
        <f>'Depreciation schedule'!K84</f>
        <v>867741.37779188773</v>
      </c>
      <c r="L88" s="148">
        <f>'Depreciation schedule'!L84</f>
        <v>1035218.834111149</v>
      </c>
      <c r="M88" s="9"/>
      <c r="N88" s="9"/>
    </row>
    <row r="89" spans="1:15" x14ac:dyDescent="0.35">
      <c r="A89" s="4" t="s">
        <v>6</v>
      </c>
      <c r="B89" s="420"/>
      <c r="C89" s="86">
        <f>-SUM(258471,25029,24056,253,19714)</f>
        <v>-327523</v>
      </c>
      <c r="D89" s="17">
        <f>-SUM(271337,25374,25823,3300,21185)</f>
        <v>-347019</v>
      </c>
      <c r="E89" s="17">
        <f>-SUM(283420,25719,29778,4467,22656)</f>
        <v>-366040</v>
      </c>
      <c r="F89" s="17">
        <f>-361878-24127</f>
        <v>-386005</v>
      </c>
      <c r="G89" s="148">
        <f>'Depreciation schedule'!G85</f>
        <v>-406949</v>
      </c>
      <c r="H89" s="2">
        <f>'Depreciation schedule'!H85</f>
        <v>-428424.5142884606</v>
      </c>
      <c r="I89" s="2">
        <f>'Depreciation schedule'!I85</f>
        <v>-428424.5142884606</v>
      </c>
      <c r="J89" s="2">
        <f>'Depreciation schedule'!J85</f>
        <v>-428424.5142884606</v>
      </c>
      <c r="K89" s="2">
        <f>'Depreciation schedule'!K85</f>
        <v>-428424.5142884606</v>
      </c>
      <c r="L89" s="148">
        <f>'Depreciation schedule'!L85</f>
        <v>-428424.5142884606</v>
      </c>
      <c r="M89" s="9"/>
    </row>
    <row r="90" spans="1:15" x14ac:dyDescent="0.35">
      <c r="A90" s="4" t="s">
        <v>7</v>
      </c>
      <c r="B90" s="420"/>
      <c r="C90" s="86">
        <f>SUM(C88:C89)</f>
        <v>280019</v>
      </c>
      <c r="D90" s="17">
        <f t="shared" ref="D90:F90" si="4">SUM(D88:D89)</f>
        <v>262522</v>
      </c>
      <c r="E90" s="17">
        <f t="shared" si="4"/>
        <v>242216</v>
      </c>
      <c r="F90" s="17">
        <f t="shared" si="4"/>
        <v>222251</v>
      </c>
      <c r="G90" s="148">
        <f>'Depreciation schedule'!G86</f>
        <v>321090.38799891609</v>
      </c>
      <c r="H90" s="2">
        <f>'Depreciation schedule'!H86</f>
        <v>298080.06208403723</v>
      </c>
      <c r="I90" s="2">
        <f>'Depreciation schedule'!I86</f>
        <v>438298.26714968239</v>
      </c>
      <c r="J90" s="2">
        <f>'Depreciation schedule'!J86</f>
        <v>441150.05161906034</v>
      </c>
      <c r="K90" s="2">
        <f>'Depreciation schedule'!K86</f>
        <v>439316.86350342713</v>
      </c>
      <c r="L90" s="148">
        <f>'Depreciation schedule'!L86</f>
        <v>606794.31982268835</v>
      </c>
      <c r="M90" s="9"/>
    </row>
    <row r="91" spans="1:15" x14ac:dyDescent="0.35">
      <c r="B91" s="420"/>
      <c r="F91" s="15"/>
    </row>
    <row r="92" spans="1:15" ht="16" x14ac:dyDescent="0.35">
      <c r="A92" s="7" t="s">
        <v>23</v>
      </c>
      <c r="B92" s="420"/>
      <c r="L92" s="158"/>
    </row>
    <row r="93" spans="1:15" ht="29" x14ac:dyDescent="0.35">
      <c r="A93" s="4" t="s">
        <v>430</v>
      </c>
      <c r="B93" s="420"/>
      <c r="I93" s="10"/>
      <c r="J93" s="10"/>
    </row>
    <row r="94" spans="1:15" x14ac:dyDescent="0.35">
      <c r="A94" s="4" t="s">
        <v>5</v>
      </c>
      <c r="B94" s="420"/>
      <c r="C94" s="86">
        <v>313611</v>
      </c>
      <c r="D94" s="17">
        <v>391517</v>
      </c>
      <c r="E94" s="17">
        <v>429465</v>
      </c>
      <c r="F94" s="17">
        <v>497747</v>
      </c>
      <c r="G94" s="147">
        <v>632100</v>
      </c>
      <c r="H94">
        <f>'Depreciation schedule'!H91</f>
        <v>719772</v>
      </c>
      <c r="I94">
        <f>'Depreciation schedule'!I91</f>
        <v>954852.22895915108</v>
      </c>
      <c r="J94">
        <f>'Depreciation schedule'!J91</f>
        <v>1136191.7797603977</v>
      </c>
      <c r="K94">
        <f>'Depreciation schedule'!K91</f>
        <v>1441066.2579853535</v>
      </c>
      <c r="L94" s="120">
        <f>'Depreciation schedule'!L91</f>
        <v>1638760.8191015387</v>
      </c>
      <c r="M94" s="10"/>
    </row>
    <row r="95" spans="1:15" x14ac:dyDescent="0.35">
      <c r="A95" s="4" t="s">
        <v>6</v>
      </c>
      <c r="B95" s="420"/>
      <c r="C95" s="86">
        <v>-211409</v>
      </c>
      <c r="D95" s="17">
        <v>-244804</v>
      </c>
      <c r="E95" s="17">
        <v>-209813</v>
      </c>
      <c r="F95" s="17">
        <v>-252281</v>
      </c>
      <c r="G95" s="147">
        <v>-330208</v>
      </c>
      <c r="H95">
        <f>'Depreciation schedule'!H92</f>
        <v>-424310</v>
      </c>
      <c r="I95">
        <f>'Depreciation schedule'!I92</f>
        <v>-520905.25710249593</v>
      </c>
      <c r="J95">
        <f>'Depreciation schedule'!J92</f>
        <v>-644588.06809645623</v>
      </c>
      <c r="K95">
        <f>'Depreciation schedule'!K92</f>
        <v>-817373.06298854807</v>
      </c>
      <c r="L95" s="120">
        <f>'Depreciation schedule'!L92</f>
        <v>-1010739.6036544632</v>
      </c>
      <c r="M95" s="9"/>
    </row>
    <row r="96" spans="1:15" x14ac:dyDescent="0.35">
      <c r="A96" s="4" t="s">
        <v>7</v>
      </c>
      <c r="B96" s="420"/>
      <c r="C96" s="86">
        <f>SUM(C94:C95)</f>
        <v>102202</v>
      </c>
      <c r="D96" s="17">
        <f>SUM(D94:D95)</f>
        <v>146713</v>
      </c>
      <c r="E96" s="17">
        <f>SUM(E94:E95)</f>
        <v>219652</v>
      </c>
      <c r="F96" s="17">
        <f t="shared" ref="F96:G96" si="5">SUM(F94:F95)</f>
        <v>245466</v>
      </c>
      <c r="G96" s="146">
        <f t="shared" si="5"/>
        <v>301892</v>
      </c>
      <c r="H96">
        <f>'Depreciation schedule'!H93</f>
        <v>295462</v>
      </c>
      <c r="I96">
        <f>'Depreciation schedule'!I93</f>
        <v>433946.97185665515</v>
      </c>
      <c r="J96">
        <f>'Depreciation schedule'!J93</f>
        <v>491603.7116639415</v>
      </c>
      <c r="K96">
        <f>'Depreciation schedule'!K93</f>
        <v>623693.1949968054</v>
      </c>
      <c r="L96" s="120">
        <f>'Depreciation schedule'!L93</f>
        <v>628021.21544707555</v>
      </c>
      <c r="M96" s="9"/>
    </row>
    <row r="97" spans="1:16384" x14ac:dyDescent="0.35">
      <c r="A97" s="4" t="s">
        <v>431</v>
      </c>
      <c r="B97" s="420"/>
      <c r="H97">
        <f>'Depreciation schedule'!H94</f>
        <v>0</v>
      </c>
      <c r="I97">
        <f>'Depreciation schedule'!I94</f>
        <v>0</v>
      </c>
      <c r="J97">
        <f>'Depreciation schedule'!J94</f>
        <v>0</v>
      </c>
      <c r="K97">
        <f>'Depreciation schedule'!K94</f>
        <v>0</v>
      </c>
      <c r="L97" s="120">
        <f>'Depreciation schedule'!L94</f>
        <v>0</v>
      </c>
      <c r="M97" s="9"/>
    </row>
    <row r="98" spans="1:16384" x14ac:dyDescent="0.35">
      <c r="A98" s="4" t="s">
        <v>8</v>
      </c>
      <c r="B98" s="420"/>
      <c r="H98">
        <f>'Depreciation schedule'!H95</f>
        <v>0</v>
      </c>
      <c r="I98">
        <f>'Depreciation schedule'!I95</f>
        <v>0</v>
      </c>
      <c r="J98">
        <f>'Depreciation schedule'!J95</f>
        <v>0</v>
      </c>
      <c r="K98">
        <f>'Depreciation schedule'!K95</f>
        <v>0</v>
      </c>
      <c r="L98" s="120">
        <f>'Depreciation schedule'!L95</f>
        <v>0</v>
      </c>
      <c r="M98" s="9"/>
    </row>
    <row r="99" spans="1:16384" x14ac:dyDescent="0.35">
      <c r="A99" s="4" t="s">
        <v>9</v>
      </c>
      <c r="B99" s="420"/>
      <c r="C99" s="86">
        <f>C96</f>
        <v>102202</v>
      </c>
      <c r="D99" s="17">
        <v>146713</v>
      </c>
      <c r="E99" s="17">
        <f>E96</f>
        <v>219652</v>
      </c>
      <c r="F99" s="17">
        <v>245466</v>
      </c>
      <c r="G99" s="147">
        <v>301892</v>
      </c>
      <c r="H99">
        <f>'Depreciation schedule'!H96</f>
        <v>295462</v>
      </c>
      <c r="I99">
        <f>'Depreciation schedule'!I96</f>
        <v>433946.97185665515</v>
      </c>
      <c r="J99">
        <f>'Depreciation schedule'!J96</f>
        <v>491603.7116639415</v>
      </c>
      <c r="K99">
        <f>'Depreciation schedule'!K96</f>
        <v>623693.1949968054</v>
      </c>
      <c r="L99" s="120">
        <f>'Depreciation schedule'!L96</f>
        <v>628021.21544707555</v>
      </c>
      <c r="M99" s="8"/>
    </row>
    <row r="100" spans="1:16384" x14ac:dyDescent="0.35">
      <c r="A100" s="4" t="s">
        <v>10</v>
      </c>
      <c r="B100" s="420"/>
      <c r="C100" s="86">
        <v>81726</v>
      </c>
      <c r="D100" s="17">
        <v>145239</v>
      </c>
      <c r="E100" s="17">
        <v>98451</v>
      </c>
      <c r="F100" s="17">
        <v>143901</v>
      </c>
      <c r="G100" s="147">
        <v>96493</v>
      </c>
      <c r="H100">
        <f>'Depreciation schedule'!H97</f>
        <v>267010.02895915118</v>
      </c>
      <c r="I100">
        <f>'Depreciation schedule'!I97</f>
        <v>218891.31080124664</v>
      </c>
      <c r="J100">
        <f>'Depreciation schedule'!J97</f>
        <v>328478.39022495563</v>
      </c>
      <c r="K100">
        <f>'Depreciation schedule'!K97</f>
        <v>219985.45551618529</v>
      </c>
      <c r="L100" s="120">
        <f>'Depreciation schedule'!L97</f>
        <v>607922.47234599874</v>
      </c>
      <c r="M100" s="8"/>
    </row>
    <row r="101" spans="1:16384" x14ac:dyDescent="0.35">
      <c r="A101" s="4" t="s">
        <v>455</v>
      </c>
      <c r="B101" s="420"/>
      <c r="C101" s="131"/>
      <c r="D101"/>
      <c r="E101"/>
      <c r="F101"/>
      <c r="G101" s="120"/>
      <c r="H101">
        <f>'Depreciation schedule'!H98</f>
        <v>0</v>
      </c>
      <c r="EJ101" t="s">
        <v>455</v>
      </c>
      <c r="EK101" t="s">
        <v>455</v>
      </c>
      <c r="EL101" t="s">
        <v>455</v>
      </c>
      <c r="EM101" t="s">
        <v>455</v>
      </c>
      <c r="EN101" t="s">
        <v>455</v>
      </c>
      <c r="EO101" t="s">
        <v>455</v>
      </c>
      <c r="EP101" t="s">
        <v>455</v>
      </c>
      <c r="EQ101" t="s">
        <v>455</v>
      </c>
      <c r="ER101" t="s">
        <v>455</v>
      </c>
      <c r="ES101" t="s">
        <v>455</v>
      </c>
      <c r="ET101" t="s">
        <v>455</v>
      </c>
      <c r="EU101" t="s">
        <v>455</v>
      </c>
      <c r="EV101" t="s">
        <v>455</v>
      </c>
      <c r="EW101" t="s">
        <v>455</v>
      </c>
      <c r="EX101" t="s">
        <v>455</v>
      </c>
      <c r="EY101" t="s">
        <v>455</v>
      </c>
      <c r="EZ101" t="s">
        <v>455</v>
      </c>
      <c r="FA101" t="s">
        <v>455</v>
      </c>
      <c r="FB101" t="s">
        <v>455</v>
      </c>
      <c r="FC101" t="s">
        <v>455</v>
      </c>
      <c r="FD101" t="s">
        <v>455</v>
      </c>
      <c r="FE101" t="s">
        <v>455</v>
      </c>
      <c r="FF101" t="s">
        <v>455</v>
      </c>
      <c r="FG101" t="s">
        <v>455</v>
      </c>
      <c r="FH101" t="s">
        <v>455</v>
      </c>
      <c r="FI101" t="s">
        <v>455</v>
      </c>
      <c r="FJ101" t="s">
        <v>455</v>
      </c>
      <c r="FK101" t="s">
        <v>455</v>
      </c>
      <c r="FL101" t="s">
        <v>455</v>
      </c>
      <c r="FM101" t="s">
        <v>455</v>
      </c>
      <c r="FN101" t="s">
        <v>455</v>
      </c>
      <c r="FO101" t="s">
        <v>455</v>
      </c>
      <c r="FP101" t="s">
        <v>455</v>
      </c>
      <c r="FQ101" t="s">
        <v>455</v>
      </c>
      <c r="FR101" t="s">
        <v>455</v>
      </c>
      <c r="FS101" t="s">
        <v>455</v>
      </c>
      <c r="FT101" t="s">
        <v>455</v>
      </c>
      <c r="FU101" t="s">
        <v>455</v>
      </c>
      <c r="FV101" t="s">
        <v>455</v>
      </c>
      <c r="FW101" t="s">
        <v>455</v>
      </c>
      <c r="FX101" t="s">
        <v>455</v>
      </c>
      <c r="FY101" t="s">
        <v>455</v>
      </c>
      <c r="FZ101" t="s">
        <v>455</v>
      </c>
      <c r="GA101" t="s">
        <v>455</v>
      </c>
      <c r="GB101" t="s">
        <v>455</v>
      </c>
      <c r="GC101" t="s">
        <v>455</v>
      </c>
      <c r="GD101" t="s">
        <v>455</v>
      </c>
      <c r="GE101" t="s">
        <v>455</v>
      </c>
      <c r="GF101" t="s">
        <v>455</v>
      </c>
      <c r="GG101" t="s">
        <v>455</v>
      </c>
      <c r="GH101" t="s">
        <v>455</v>
      </c>
      <c r="GI101" t="s">
        <v>455</v>
      </c>
      <c r="GJ101" t="s">
        <v>455</v>
      </c>
      <c r="GK101" t="s">
        <v>455</v>
      </c>
      <c r="GL101" t="s">
        <v>455</v>
      </c>
      <c r="GM101" t="s">
        <v>455</v>
      </c>
      <c r="GN101" t="s">
        <v>455</v>
      </c>
      <c r="GO101" t="s">
        <v>455</v>
      </c>
      <c r="GP101" t="s">
        <v>455</v>
      </c>
      <c r="GQ101" t="s">
        <v>455</v>
      </c>
      <c r="GR101" t="s">
        <v>455</v>
      </c>
      <c r="GS101" t="s">
        <v>455</v>
      </c>
      <c r="GT101" t="s">
        <v>455</v>
      </c>
      <c r="GU101" t="s">
        <v>455</v>
      </c>
      <c r="GV101" t="s">
        <v>455</v>
      </c>
      <c r="GW101" t="s">
        <v>455</v>
      </c>
      <c r="GX101" t="s">
        <v>455</v>
      </c>
      <c r="GY101" t="s">
        <v>455</v>
      </c>
      <c r="GZ101" t="s">
        <v>455</v>
      </c>
      <c r="HA101" t="s">
        <v>455</v>
      </c>
      <c r="HB101" t="s">
        <v>455</v>
      </c>
      <c r="HC101" t="s">
        <v>455</v>
      </c>
      <c r="HD101" t="s">
        <v>455</v>
      </c>
      <c r="HE101" t="s">
        <v>455</v>
      </c>
      <c r="HF101" t="s">
        <v>455</v>
      </c>
      <c r="HG101" t="s">
        <v>455</v>
      </c>
      <c r="HH101" t="s">
        <v>455</v>
      </c>
      <c r="HI101" t="s">
        <v>455</v>
      </c>
      <c r="HJ101" t="s">
        <v>455</v>
      </c>
      <c r="HK101" t="s">
        <v>455</v>
      </c>
      <c r="HL101" t="s">
        <v>455</v>
      </c>
      <c r="HM101" t="s">
        <v>455</v>
      </c>
      <c r="HN101" t="s">
        <v>455</v>
      </c>
      <c r="HO101" t="s">
        <v>455</v>
      </c>
      <c r="HP101" t="s">
        <v>455</v>
      </c>
      <c r="HQ101" t="s">
        <v>455</v>
      </c>
      <c r="HR101" t="s">
        <v>455</v>
      </c>
      <c r="HS101" t="s">
        <v>455</v>
      </c>
      <c r="HT101" t="s">
        <v>455</v>
      </c>
      <c r="HU101" t="s">
        <v>455</v>
      </c>
      <c r="HV101" t="s">
        <v>455</v>
      </c>
      <c r="HW101" t="s">
        <v>455</v>
      </c>
      <c r="HX101" t="s">
        <v>455</v>
      </c>
      <c r="HY101" t="s">
        <v>455</v>
      </c>
      <c r="HZ101" t="s">
        <v>455</v>
      </c>
      <c r="IA101" t="s">
        <v>455</v>
      </c>
      <c r="IB101" t="s">
        <v>455</v>
      </c>
      <c r="IC101" t="s">
        <v>455</v>
      </c>
      <c r="ID101" t="s">
        <v>455</v>
      </c>
      <c r="IE101" t="s">
        <v>455</v>
      </c>
      <c r="IF101" t="s">
        <v>455</v>
      </c>
      <c r="IG101" t="s">
        <v>455</v>
      </c>
      <c r="IH101" t="s">
        <v>455</v>
      </c>
      <c r="II101" t="s">
        <v>455</v>
      </c>
      <c r="IJ101" t="s">
        <v>455</v>
      </c>
      <c r="IK101" t="s">
        <v>455</v>
      </c>
      <c r="IL101" t="s">
        <v>455</v>
      </c>
      <c r="IM101" t="s">
        <v>455</v>
      </c>
      <c r="IN101" t="s">
        <v>455</v>
      </c>
      <c r="IO101" t="s">
        <v>455</v>
      </c>
      <c r="IP101" t="s">
        <v>455</v>
      </c>
      <c r="IQ101" t="s">
        <v>455</v>
      </c>
      <c r="IR101" t="s">
        <v>455</v>
      </c>
      <c r="IS101" t="s">
        <v>455</v>
      </c>
      <c r="IT101" t="s">
        <v>455</v>
      </c>
      <c r="IU101" t="s">
        <v>455</v>
      </c>
      <c r="IV101" t="s">
        <v>455</v>
      </c>
      <c r="IW101" t="s">
        <v>455</v>
      </c>
      <c r="IX101" t="s">
        <v>455</v>
      </c>
      <c r="IY101" t="s">
        <v>455</v>
      </c>
      <c r="IZ101" t="s">
        <v>455</v>
      </c>
      <c r="JA101" t="s">
        <v>455</v>
      </c>
      <c r="JB101" t="s">
        <v>455</v>
      </c>
      <c r="JC101" t="s">
        <v>455</v>
      </c>
      <c r="JD101" t="s">
        <v>455</v>
      </c>
      <c r="JE101" t="s">
        <v>455</v>
      </c>
      <c r="JF101" t="s">
        <v>455</v>
      </c>
      <c r="JG101" t="s">
        <v>455</v>
      </c>
      <c r="JH101" t="s">
        <v>455</v>
      </c>
      <c r="JI101" t="s">
        <v>455</v>
      </c>
      <c r="JJ101" t="s">
        <v>455</v>
      </c>
      <c r="JK101" t="s">
        <v>455</v>
      </c>
      <c r="JL101" t="s">
        <v>455</v>
      </c>
      <c r="JM101" t="s">
        <v>455</v>
      </c>
      <c r="JN101" t="s">
        <v>455</v>
      </c>
      <c r="JO101" t="s">
        <v>455</v>
      </c>
      <c r="JP101" t="s">
        <v>455</v>
      </c>
      <c r="JQ101" t="s">
        <v>455</v>
      </c>
      <c r="JR101" t="s">
        <v>455</v>
      </c>
      <c r="JS101" t="s">
        <v>455</v>
      </c>
      <c r="JT101" t="s">
        <v>455</v>
      </c>
      <c r="JU101" t="s">
        <v>455</v>
      </c>
      <c r="JV101" t="s">
        <v>455</v>
      </c>
      <c r="JW101" t="s">
        <v>455</v>
      </c>
      <c r="JX101" t="s">
        <v>455</v>
      </c>
      <c r="JY101" t="s">
        <v>455</v>
      </c>
      <c r="JZ101" t="s">
        <v>455</v>
      </c>
      <c r="KA101" t="s">
        <v>455</v>
      </c>
      <c r="KB101" t="s">
        <v>455</v>
      </c>
      <c r="KC101" t="s">
        <v>455</v>
      </c>
      <c r="KD101" t="s">
        <v>455</v>
      </c>
      <c r="KE101" t="s">
        <v>455</v>
      </c>
      <c r="KF101" t="s">
        <v>455</v>
      </c>
      <c r="KG101" t="s">
        <v>455</v>
      </c>
      <c r="KH101" t="s">
        <v>455</v>
      </c>
      <c r="KI101" t="s">
        <v>455</v>
      </c>
      <c r="KJ101" t="s">
        <v>455</v>
      </c>
      <c r="KK101" t="s">
        <v>455</v>
      </c>
      <c r="KL101" t="s">
        <v>455</v>
      </c>
      <c r="KM101" t="s">
        <v>455</v>
      </c>
      <c r="KN101" t="s">
        <v>455</v>
      </c>
      <c r="KO101" t="s">
        <v>455</v>
      </c>
      <c r="KP101" t="s">
        <v>455</v>
      </c>
      <c r="KQ101" t="s">
        <v>455</v>
      </c>
      <c r="KR101" t="s">
        <v>455</v>
      </c>
      <c r="KS101" t="s">
        <v>455</v>
      </c>
      <c r="KT101" t="s">
        <v>455</v>
      </c>
      <c r="KU101" t="s">
        <v>455</v>
      </c>
      <c r="KV101" t="s">
        <v>455</v>
      </c>
      <c r="KW101" t="s">
        <v>455</v>
      </c>
      <c r="KX101" t="s">
        <v>455</v>
      </c>
      <c r="KY101" t="s">
        <v>455</v>
      </c>
      <c r="KZ101" t="s">
        <v>455</v>
      </c>
      <c r="LA101" t="s">
        <v>455</v>
      </c>
      <c r="LB101" t="s">
        <v>455</v>
      </c>
      <c r="LC101" t="s">
        <v>455</v>
      </c>
      <c r="LD101" t="s">
        <v>455</v>
      </c>
      <c r="LE101" t="s">
        <v>455</v>
      </c>
      <c r="LF101" t="s">
        <v>455</v>
      </c>
      <c r="LG101" t="s">
        <v>455</v>
      </c>
      <c r="LH101" t="s">
        <v>455</v>
      </c>
      <c r="LI101" t="s">
        <v>455</v>
      </c>
      <c r="LJ101" t="s">
        <v>455</v>
      </c>
      <c r="LK101" t="s">
        <v>455</v>
      </c>
      <c r="LL101" t="s">
        <v>455</v>
      </c>
      <c r="LM101" t="s">
        <v>455</v>
      </c>
      <c r="LN101" t="s">
        <v>455</v>
      </c>
      <c r="LO101" t="s">
        <v>455</v>
      </c>
      <c r="LP101" t="s">
        <v>455</v>
      </c>
      <c r="LQ101" t="s">
        <v>455</v>
      </c>
      <c r="LR101" t="s">
        <v>455</v>
      </c>
      <c r="LS101" t="s">
        <v>455</v>
      </c>
      <c r="LT101" t="s">
        <v>455</v>
      </c>
      <c r="LU101" t="s">
        <v>455</v>
      </c>
      <c r="LV101" t="s">
        <v>455</v>
      </c>
      <c r="LW101" t="s">
        <v>455</v>
      </c>
      <c r="LX101" t="s">
        <v>455</v>
      </c>
      <c r="LY101" t="s">
        <v>455</v>
      </c>
      <c r="LZ101" t="s">
        <v>455</v>
      </c>
      <c r="MA101" t="s">
        <v>455</v>
      </c>
      <c r="MB101" t="s">
        <v>455</v>
      </c>
      <c r="MC101" t="s">
        <v>455</v>
      </c>
      <c r="MD101" t="s">
        <v>455</v>
      </c>
      <c r="ME101" t="s">
        <v>455</v>
      </c>
      <c r="MF101" t="s">
        <v>455</v>
      </c>
      <c r="MG101" t="s">
        <v>455</v>
      </c>
      <c r="MH101" t="s">
        <v>455</v>
      </c>
      <c r="MI101" t="s">
        <v>455</v>
      </c>
      <c r="MJ101" t="s">
        <v>455</v>
      </c>
      <c r="MK101" t="s">
        <v>455</v>
      </c>
      <c r="ML101" t="s">
        <v>455</v>
      </c>
      <c r="MM101" t="s">
        <v>455</v>
      </c>
      <c r="MN101" t="s">
        <v>455</v>
      </c>
      <c r="MO101" t="s">
        <v>455</v>
      </c>
      <c r="MP101" t="s">
        <v>455</v>
      </c>
      <c r="MQ101" t="s">
        <v>455</v>
      </c>
      <c r="MR101" t="s">
        <v>455</v>
      </c>
      <c r="MS101" t="s">
        <v>455</v>
      </c>
      <c r="MT101" t="s">
        <v>455</v>
      </c>
      <c r="MU101" t="s">
        <v>455</v>
      </c>
      <c r="MV101" t="s">
        <v>455</v>
      </c>
      <c r="MW101" t="s">
        <v>455</v>
      </c>
      <c r="MX101" t="s">
        <v>455</v>
      </c>
      <c r="MY101" t="s">
        <v>455</v>
      </c>
      <c r="MZ101" t="s">
        <v>455</v>
      </c>
      <c r="NA101" t="s">
        <v>455</v>
      </c>
      <c r="NB101" t="s">
        <v>455</v>
      </c>
      <c r="NC101" t="s">
        <v>455</v>
      </c>
      <c r="ND101" t="s">
        <v>455</v>
      </c>
      <c r="NE101" t="s">
        <v>455</v>
      </c>
      <c r="NF101" t="s">
        <v>455</v>
      </c>
      <c r="NG101" t="s">
        <v>455</v>
      </c>
      <c r="NH101" t="s">
        <v>455</v>
      </c>
      <c r="NI101" t="s">
        <v>455</v>
      </c>
      <c r="NJ101" t="s">
        <v>455</v>
      </c>
      <c r="NK101" t="s">
        <v>455</v>
      </c>
      <c r="NL101" t="s">
        <v>455</v>
      </c>
      <c r="NM101" t="s">
        <v>455</v>
      </c>
      <c r="NN101" t="s">
        <v>455</v>
      </c>
      <c r="NO101" t="s">
        <v>455</v>
      </c>
      <c r="NP101" t="s">
        <v>455</v>
      </c>
      <c r="NQ101" t="s">
        <v>455</v>
      </c>
      <c r="NR101" t="s">
        <v>455</v>
      </c>
      <c r="NS101" t="s">
        <v>455</v>
      </c>
      <c r="NT101" t="s">
        <v>455</v>
      </c>
      <c r="NU101" t="s">
        <v>455</v>
      </c>
      <c r="NV101" t="s">
        <v>455</v>
      </c>
      <c r="NW101" t="s">
        <v>455</v>
      </c>
      <c r="NX101" t="s">
        <v>455</v>
      </c>
      <c r="NY101" t="s">
        <v>455</v>
      </c>
      <c r="NZ101" t="s">
        <v>455</v>
      </c>
      <c r="OA101" t="s">
        <v>455</v>
      </c>
      <c r="OB101" t="s">
        <v>455</v>
      </c>
      <c r="OC101" t="s">
        <v>455</v>
      </c>
      <c r="OD101" t="s">
        <v>455</v>
      </c>
      <c r="OE101" t="s">
        <v>455</v>
      </c>
      <c r="OF101" t="s">
        <v>455</v>
      </c>
      <c r="OG101" t="s">
        <v>455</v>
      </c>
      <c r="OH101" t="s">
        <v>455</v>
      </c>
      <c r="OI101" t="s">
        <v>455</v>
      </c>
      <c r="OJ101" t="s">
        <v>455</v>
      </c>
      <c r="OK101" t="s">
        <v>455</v>
      </c>
      <c r="OL101" t="s">
        <v>455</v>
      </c>
      <c r="OM101" t="s">
        <v>455</v>
      </c>
      <c r="ON101" t="s">
        <v>455</v>
      </c>
      <c r="OO101" t="s">
        <v>455</v>
      </c>
      <c r="OP101" t="s">
        <v>455</v>
      </c>
      <c r="OQ101" t="s">
        <v>455</v>
      </c>
      <c r="OR101" t="s">
        <v>455</v>
      </c>
      <c r="OS101" t="s">
        <v>455</v>
      </c>
      <c r="OT101" t="s">
        <v>455</v>
      </c>
      <c r="OU101" t="s">
        <v>455</v>
      </c>
      <c r="OV101" t="s">
        <v>455</v>
      </c>
      <c r="OW101" t="s">
        <v>455</v>
      </c>
      <c r="OX101" t="s">
        <v>455</v>
      </c>
      <c r="OY101" t="s">
        <v>455</v>
      </c>
      <c r="OZ101" t="s">
        <v>455</v>
      </c>
      <c r="PA101" t="s">
        <v>455</v>
      </c>
      <c r="PB101" t="s">
        <v>455</v>
      </c>
      <c r="PC101" t="s">
        <v>455</v>
      </c>
      <c r="PD101" t="s">
        <v>455</v>
      </c>
      <c r="PE101" t="s">
        <v>455</v>
      </c>
      <c r="PF101" t="s">
        <v>455</v>
      </c>
      <c r="PG101" t="s">
        <v>455</v>
      </c>
      <c r="PH101" t="s">
        <v>455</v>
      </c>
      <c r="PI101" t="s">
        <v>455</v>
      </c>
      <c r="PJ101" t="s">
        <v>455</v>
      </c>
      <c r="PK101" t="s">
        <v>455</v>
      </c>
      <c r="PL101" t="s">
        <v>455</v>
      </c>
      <c r="PM101" t="s">
        <v>455</v>
      </c>
      <c r="PN101" t="s">
        <v>455</v>
      </c>
      <c r="PO101" t="s">
        <v>455</v>
      </c>
      <c r="PP101" t="s">
        <v>455</v>
      </c>
      <c r="PQ101" t="s">
        <v>455</v>
      </c>
      <c r="PR101" t="s">
        <v>455</v>
      </c>
      <c r="PS101" t="s">
        <v>455</v>
      </c>
      <c r="PT101" t="s">
        <v>455</v>
      </c>
      <c r="PU101" t="s">
        <v>455</v>
      </c>
      <c r="PV101" t="s">
        <v>455</v>
      </c>
      <c r="PW101" t="s">
        <v>455</v>
      </c>
      <c r="PX101" t="s">
        <v>455</v>
      </c>
      <c r="PY101" t="s">
        <v>455</v>
      </c>
      <c r="PZ101" t="s">
        <v>455</v>
      </c>
      <c r="QA101" t="s">
        <v>455</v>
      </c>
      <c r="QB101" t="s">
        <v>455</v>
      </c>
      <c r="QC101" t="s">
        <v>455</v>
      </c>
      <c r="QD101" t="s">
        <v>455</v>
      </c>
      <c r="QE101" t="s">
        <v>455</v>
      </c>
      <c r="QF101" t="s">
        <v>455</v>
      </c>
      <c r="QG101" t="s">
        <v>455</v>
      </c>
      <c r="QH101" t="s">
        <v>455</v>
      </c>
      <c r="QI101" t="s">
        <v>455</v>
      </c>
      <c r="QJ101" t="s">
        <v>455</v>
      </c>
      <c r="QK101" t="s">
        <v>455</v>
      </c>
      <c r="QL101" t="s">
        <v>455</v>
      </c>
      <c r="QM101" t="s">
        <v>455</v>
      </c>
      <c r="QN101" t="s">
        <v>455</v>
      </c>
      <c r="QO101" t="s">
        <v>455</v>
      </c>
      <c r="QP101" t="s">
        <v>455</v>
      </c>
      <c r="QQ101" t="s">
        <v>455</v>
      </c>
      <c r="QR101" t="s">
        <v>455</v>
      </c>
      <c r="QS101" t="s">
        <v>455</v>
      </c>
      <c r="QT101" t="s">
        <v>455</v>
      </c>
      <c r="QU101" t="s">
        <v>455</v>
      </c>
      <c r="QV101" t="s">
        <v>455</v>
      </c>
      <c r="QW101" t="s">
        <v>455</v>
      </c>
      <c r="QX101" t="s">
        <v>455</v>
      </c>
      <c r="QY101" t="s">
        <v>455</v>
      </c>
      <c r="QZ101" t="s">
        <v>455</v>
      </c>
      <c r="RA101" t="s">
        <v>455</v>
      </c>
      <c r="RB101" t="s">
        <v>455</v>
      </c>
      <c r="RC101" t="s">
        <v>455</v>
      </c>
      <c r="RD101" t="s">
        <v>455</v>
      </c>
      <c r="RE101" t="s">
        <v>455</v>
      </c>
      <c r="RF101" t="s">
        <v>455</v>
      </c>
      <c r="RG101" t="s">
        <v>455</v>
      </c>
      <c r="RH101" t="s">
        <v>455</v>
      </c>
      <c r="RI101" t="s">
        <v>455</v>
      </c>
      <c r="RJ101" t="s">
        <v>455</v>
      </c>
      <c r="RK101" t="s">
        <v>455</v>
      </c>
      <c r="RL101" t="s">
        <v>455</v>
      </c>
      <c r="RM101" t="s">
        <v>455</v>
      </c>
      <c r="RN101" t="s">
        <v>455</v>
      </c>
      <c r="RO101" t="s">
        <v>455</v>
      </c>
      <c r="RP101" t="s">
        <v>455</v>
      </c>
      <c r="RQ101" t="s">
        <v>455</v>
      </c>
      <c r="RR101" t="s">
        <v>455</v>
      </c>
      <c r="RS101" t="s">
        <v>455</v>
      </c>
      <c r="RT101" t="s">
        <v>455</v>
      </c>
      <c r="RU101" t="s">
        <v>455</v>
      </c>
      <c r="RV101" t="s">
        <v>455</v>
      </c>
      <c r="RW101" t="s">
        <v>455</v>
      </c>
      <c r="RX101" t="s">
        <v>455</v>
      </c>
      <c r="RY101" t="s">
        <v>455</v>
      </c>
      <c r="RZ101" t="s">
        <v>455</v>
      </c>
      <c r="SA101" t="s">
        <v>455</v>
      </c>
      <c r="SB101" t="s">
        <v>455</v>
      </c>
      <c r="SC101" t="s">
        <v>455</v>
      </c>
      <c r="SD101" t="s">
        <v>455</v>
      </c>
      <c r="SE101" t="s">
        <v>455</v>
      </c>
      <c r="SF101" t="s">
        <v>455</v>
      </c>
      <c r="SG101" t="s">
        <v>455</v>
      </c>
      <c r="SH101" t="s">
        <v>455</v>
      </c>
      <c r="SI101" t="s">
        <v>455</v>
      </c>
      <c r="SJ101" t="s">
        <v>455</v>
      </c>
      <c r="SK101" t="s">
        <v>455</v>
      </c>
      <c r="SL101" t="s">
        <v>455</v>
      </c>
      <c r="SM101" t="s">
        <v>455</v>
      </c>
      <c r="SN101" t="s">
        <v>455</v>
      </c>
      <c r="SO101" t="s">
        <v>455</v>
      </c>
      <c r="SP101" t="s">
        <v>455</v>
      </c>
      <c r="SQ101" t="s">
        <v>455</v>
      </c>
      <c r="SR101" t="s">
        <v>455</v>
      </c>
      <c r="SS101" t="s">
        <v>455</v>
      </c>
      <c r="ST101" t="s">
        <v>455</v>
      </c>
      <c r="SU101" t="s">
        <v>455</v>
      </c>
      <c r="SV101" t="s">
        <v>455</v>
      </c>
      <c r="SW101" t="s">
        <v>455</v>
      </c>
      <c r="SX101" t="s">
        <v>455</v>
      </c>
      <c r="SY101" t="s">
        <v>455</v>
      </c>
      <c r="SZ101" t="s">
        <v>455</v>
      </c>
      <c r="TA101" t="s">
        <v>455</v>
      </c>
      <c r="TB101" t="s">
        <v>455</v>
      </c>
      <c r="TC101" t="s">
        <v>455</v>
      </c>
      <c r="TD101" t="s">
        <v>455</v>
      </c>
      <c r="TE101" t="s">
        <v>455</v>
      </c>
      <c r="TF101" t="s">
        <v>455</v>
      </c>
      <c r="TG101" t="s">
        <v>455</v>
      </c>
      <c r="TH101" t="s">
        <v>455</v>
      </c>
      <c r="TI101" t="s">
        <v>455</v>
      </c>
      <c r="TJ101" t="s">
        <v>455</v>
      </c>
      <c r="TK101" t="s">
        <v>455</v>
      </c>
      <c r="TL101" t="s">
        <v>455</v>
      </c>
      <c r="TM101" t="s">
        <v>455</v>
      </c>
      <c r="TN101" t="s">
        <v>455</v>
      </c>
      <c r="TO101" t="s">
        <v>455</v>
      </c>
      <c r="TP101" t="s">
        <v>455</v>
      </c>
      <c r="TQ101" t="s">
        <v>455</v>
      </c>
      <c r="TR101" t="s">
        <v>455</v>
      </c>
      <c r="TS101" t="s">
        <v>455</v>
      </c>
      <c r="TT101" t="s">
        <v>455</v>
      </c>
      <c r="TU101" t="s">
        <v>455</v>
      </c>
      <c r="TV101" t="s">
        <v>455</v>
      </c>
      <c r="TW101" t="s">
        <v>455</v>
      </c>
      <c r="TX101" t="s">
        <v>455</v>
      </c>
      <c r="TY101" t="s">
        <v>455</v>
      </c>
      <c r="TZ101" t="s">
        <v>455</v>
      </c>
      <c r="UA101" t="s">
        <v>455</v>
      </c>
      <c r="UB101" t="s">
        <v>455</v>
      </c>
      <c r="UC101" t="s">
        <v>455</v>
      </c>
      <c r="UD101" t="s">
        <v>455</v>
      </c>
      <c r="UE101" t="s">
        <v>455</v>
      </c>
      <c r="UF101" t="s">
        <v>455</v>
      </c>
      <c r="UG101" t="s">
        <v>455</v>
      </c>
      <c r="UH101" t="s">
        <v>455</v>
      </c>
      <c r="UI101" t="s">
        <v>455</v>
      </c>
      <c r="UJ101" t="s">
        <v>455</v>
      </c>
      <c r="UK101" t="s">
        <v>455</v>
      </c>
      <c r="UL101" t="s">
        <v>455</v>
      </c>
      <c r="UM101" t="s">
        <v>455</v>
      </c>
      <c r="UN101" t="s">
        <v>455</v>
      </c>
      <c r="UO101" t="s">
        <v>455</v>
      </c>
      <c r="UP101" t="s">
        <v>455</v>
      </c>
      <c r="UQ101" t="s">
        <v>455</v>
      </c>
      <c r="UR101" t="s">
        <v>455</v>
      </c>
      <c r="US101" t="s">
        <v>455</v>
      </c>
      <c r="UT101" t="s">
        <v>455</v>
      </c>
      <c r="UU101" t="s">
        <v>455</v>
      </c>
      <c r="UV101" t="s">
        <v>455</v>
      </c>
      <c r="UW101" t="s">
        <v>455</v>
      </c>
      <c r="UX101" t="s">
        <v>455</v>
      </c>
      <c r="UY101" t="s">
        <v>455</v>
      </c>
      <c r="UZ101" t="s">
        <v>455</v>
      </c>
      <c r="VA101" t="s">
        <v>455</v>
      </c>
      <c r="VB101" t="s">
        <v>455</v>
      </c>
      <c r="VC101" t="s">
        <v>455</v>
      </c>
      <c r="VD101" t="s">
        <v>455</v>
      </c>
      <c r="VE101" t="s">
        <v>455</v>
      </c>
      <c r="VF101" t="s">
        <v>455</v>
      </c>
      <c r="VG101" t="s">
        <v>455</v>
      </c>
      <c r="VH101" t="s">
        <v>455</v>
      </c>
      <c r="VI101" t="s">
        <v>455</v>
      </c>
      <c r="VJ101" t="s">
        <v>455</v>
      </c>
      <c r="VK101" t="s">
        <v>455</v>
      </c>
      <c r="VL101" t="s">
        <v>455</v>
      </c>
      <c r="VM101" t="s">
        <v>455</v>
      </c>
      <c r="VN101" t="s">
        <v>455</v>
      </c>
      <c r="VO101" t="s">
        <v>455</v>
      </c>
      <c r="VP101" t="s">
        <v>455</v>
      </c>
      <c r="VQ101" t="s">
        <v>455</v>
      </c>
      <c r="VR101" t="s">
        <v>455</v>
      </c>
      <c r="VS101" t="s">
        <v>455</v>
      </c>
      <c r="VT101" t="s">
        <v>455</v>
      </c>
      <c r="VU101" t="s">
        <v>455</v>
      </c>
      <c r="VV101" t="s">
        <v>455</v>
      </c>
      <c r="VW101" t="s">
        <v>455</v>
      </c>
      <c r="VX101" t="s">
        <v>455</v>
      </c>
      <c r="VY101" t="s">
        <v>455</v>
      </c>
      <c r="VZ101" t="s">
        <v>455</v>
      </c>
      <c r="WA101" t="s">
        <v>455</v>
      </c>
      <c r="WB101" t="s">
        <v>455</v>
      </c>
      <c r="WC101" t="s">
        <v>455</v>
      </c>
      <c r="WD101" t="s">
        <v>455</v>
      </c>
      <c r="WE101" t="s">
        <v>455</v>
      </c>
      <c r="WF101" t="s">
        <v>455</v>
      </c>
      <c r="WG101" t="s">
        <v>455</v>
      </c>
      <c r="WH101" t="s">
        <v>455</v>
      </c>
      <c r="WI101" t="s">
        <v>455</v>
      </c>
      <c r="WJ101" t="s">
        <v>455</v>
      </c>
      <c r="WK101" t="s">
        <v>455</v>
      </c>
      <c r="WL101" t="s">
        <v>455</v>
      </c>
      <c r="WM101" t="s">
        <v>455</v>
      </c>
      <c r="WN101" t="s">
        <v>455</v>
      </c>
      <c r="WO101" t="s">
        <v>455</v>
      </c>
      <c r="WP101" t="s">
        <v>455</v>
      </c>
      <c r="WQ101" t="s">
        <v>455</v>
      </c>
      <c r="WR101" t="s">
        <v>455</v>
      </c>
      <c r="WS101" t="s">
        <v>455</v>
      </c>
      <c r="WT101" t="s">
        <v>455</v>
      </c>
      <c r="WU101" t="s">
        <v>455</v>
      </c>
      <c r="WV101" t="s">
        <v>455</v>
      </c>
      <c r="WW101" t="s">
        <v>455</v>
      </c>
      <c r="WX101" t="s">
        <v>455</v>
      </c>
      <c r="WY101" t="s">
        <v>455</v>
      </c>
      <c r="WZ101" t="s">
        <v>455</v>
      </c>
      <c r="XA101" t="s">
        <v>455</v>
      </c>
      <c r="XB101" t="s">
        <v>455</v>
      </c>
      <c r="XC101" t="s">
        <v>455</v>
      </c>
      <c r="XD101" t="s">
        <v>455</v>
      </c>
      <c r="XE101" t="s">
        <v>455</v>
      </c>
      <c r="XF101" t="s">
        <v>455</v>
      </c>
      <c r="XG101" t="s">
        <v>455</v>
      </c>
      <c r="XH101" t="s">
        <v>455</v>
      </c>
      <c r="XI101" t="s">
        <v>455</v>
      </c>
      <c r="XJ101" t="s">
        <v>455</v>
      </c>
      <c r="XK101" t="s">
        <v>455</v>
      </c>
      <c r="XL101" t="s">
        <v>455</v>
      </c>
      <c r="XM101" t="s">
        <v>455</v>
      </c>
      <c r="XN101" t="s">
        <v>455</v>
      </c>
      <c r="XO101" t="s">
        <v>455</v>
      </c>
      <c r="XP101" t="s">
        <v>455</v>
      </c>
      <c r="XQ101" t="s">
        <v>455</v>
      </c>
      <c r="XR101" t="s">
        <v>455</v>
      </c>
      <c r="XS101" t="s">
        <v>455</v>
      </c>
      <c r="XT101" t="s">
        <v>455</v>
      </c>
      <c r="XU101" t="s">
        <v>455</v>
      </c>
      <c r="XV101" t="s">
        <v>455</v>
      </c>
      <c r="XW101" t="s">
        <v>455</v>
      </c>
      <c r="XX101" t="s">
        <v>455</v>
      </c>
      <c r="XY101" t="s">
        <v>455</v>
      </c>
      <c r="XZ101" t="s">
        <v>455</v>
      </c>
      <c r="YA101" t="s">
        <v>455</v>
      </c>
      <c r="YB101" t="s">
        <v>455</v>
      </c>
      <c r="YC101" t="s">
        <v>455</v>
      </c>
      <c r="YD101" t="s">
        <v>455</v>
      </c>
      <c r="YE101" t="s">
        <v>455</v>
      </c>
      <c r="YF101" t="s">
        <v>455</v>
      </c>
      <c r="YG101" t="s">
        <v>455</v>
      </c>
      <c r="YH101" t="s">
        <v>455</v>
      </c>
      <c r="YI101" t="s">
        <v>455</v>
      </c>
      <c r="YJ101" t="s">
        <v>455</v>
      </c>
      <c r="YK101" t="s">
        <v>455</v>
      </c>
      <c r="YL101" t="s">
        <v>455</v>
      </c>
      <c r="YM101" t="s">
        <v>455</v>
      </c>
      <c r="YN101" t="s">
        <v>455</v>
      </c>
      <c r="YO101" t="s">
        <v>455</v>
      </c>
      <c r="YP101" t="s">
        <v>455</v>
      </c>
      <c r="YQ101" t="s">
        <v>455</v>
      </c>
      <c r="YR101" t="s">
        <v>455</v>
      </c>
      <c r="YS101" t="s">
        <v>455</v>
      </c>
      <c r="YT101" t="s">
        <v>455</v>
      </c>
      <c r="YU101" t="s">
        <v>455</v>
      </c>
      <c r="YV101" t="s">
        <v>455</v>
      </c>
      <c r="YW101" t="s">
        <v>455</v>
      </c>
      <c r="YX101" t="s">
        <v>455</v>
      </c>
      <c r="YY101" t="s">
        <v>455</v>
      </c>
      <c r="YZ101" t="s">
        <v>455</v>
      </c>
      <c r="ZA101" t="s">
        <v>455</v>
      </c>
      <c r="ZB101" t="s">
        <v>455</v>
      </c>
      <c r="ZC101" t="s">
        <v>455</v>
      </c>
      <c r="ZD101" t="s">
        <v>455</v>
      </c>
      <c r="ZE101" t="s">
        <v>455</v>
      </c>
      <c r="ZF101" t="s">
        <v>455</v>
      </c>
      <c r="ZG101" t="s">
        <v>455</v>
      </c>
      <c r="ZH101" t="s">
        <v>455</v>
      </c>
      <c r="ZI101" t="s">
        <v>455</v>
      </c>
      <c r="ZJ101" t="s">
        <v>455</v>
      </c>
      <c r="ZK101" t="s">
        <v>455</v>
      </c>
      <c r="ZL101" t="s">
        <v>455</v>
      </c>
      <c r="ZM101" t="s">
        <v>455</v>
      </c>
      <c r="ZN101" t="s">
        <v>455</v>
      </c>
      <c r="ZO101" t="s">
        <v>455</v>
      </c>
      <c r="ZP101" t="s">
        <v>455</v>
      </c>
      <c r="ZQ101" t="s">
        <v>455</v>
      </c>
      <c r="ZR101" t="s">
        <v>455</v>
      </c>
      <c r="ZS101" t="s">
        <v>455</v>
      </c>
      <c r="ZT101" t="s">
        <v>455</v>
      </c>
      <c r="ZU101" t="s">
        <v>455</v>
      </c>
      <c r="ZV101" t="s">
        <v>455</v>
      </c>
      <c r="ZW101" t="s">
        <v>455</v>
      </c>
      <c r="ZX101" t="s">
        <v>455</v>
      </c>
      <c r="ZY101" t="s">
        <v>455</v>
      </c>
      <c r="ZZ101" t="s">
        <v>455</v>
      </c>
      <c r="AAA101" t="s">
        <v>455</v>
      </c>
      <c r="AAB101" t="s">
        <v>455</v>
      </c>
      <c r="AAC101" t="s">
        <v>455</v>
      </c>
      <c r="AAD101" t="s">
        <v>455</v>
      </c>
      <c r="AAE101" t="s">
        <v>455</v>
      </c>
      <c r="AAF101" t="s">
        <v>455</v>
      </c>
      <c r="AAG101" t="s">
        <v>455</v>
      </c>
      <c r="AAH101" t="s">
        <v>455</v>
      </c>
      <c r="AAI101" t="s">
        <v>455</v>
      </c>
      <c r="AAJ101" t="s">
        <v>455</v>
      </c>
      <c r="AAK101" t="s">
        <v>455</v>
      </c>
      <c r="AAL101" t="s">
        <v>455</v>
      </c>
      <c r="AAM101" t="s">
        <v>455</v>
      </c>
      <c r="AAN101" t="s">
        <v>455</v>
      </c>
      <c r="AAO101" t="s">
        <v>455</v>
      </c>
      <c r="AAP101" t="s">
        <v>455</v>
      </c>
      <c r="AAQ101" t="s">
        <v>455</v>
      </c>
      <c r="AAR101" t="s">
        <v>455</v>
      </c>
      <c r="AAS101" t="s">
        <v>455</v>
      </c>
      <c r="AAT101" t="s">
        <v>455</v>
      </c>
      <c r="AAU101" t="s">
        <v>455</v>
      </c>
      <c r="AAV101" t="s">
        <v>455</v>
      </c>
      <c r="AAW101" t="s">
        <v>455</v>
      </c>
      <c r="AAX101" t="s">
        <v>455</v>
      </c>
      <c r="AAY101" t="s">
        <v>455</v>
      </c>
      <c r="AAZ101" t="s">
        <v>455</v>
      </c>
      <c r="ABA101" t="s">
        <v>455</v>
      </c>
      <c r="ABB101" t="s">
        <v>455</v>
      </c>
      <c r="ABC101" t="s">
        <v>455</v>
      </c>
      <c r="ABD101" t="s">
        <v>455</v>
      </c>
      <c r="ABE101" t="s">
        <v>455</v>
      </c>
      <c r="ABF101" t="s">
        <v>455</v>
      </c>
      <c r="ABG101" t="s">
        <v>455</v>
      </c>
      <c r="ABH101" t="s">
        <v>455</v>
      </c>
      <c r="ABI101" t="s">
        <v>455</v>
      </c>
      <c r="ABJ101" t="s">
        <v>455</v>
      </c>
      <c r="ABK101" t="s">
        <v>455</v>
      </c>
      <c r="ABL101" t="s">
        <v>455</v>
      </c>
      <c r="ABM101" t="s">
        <v>455</v>
      </c>
      <c r="ABN101" t="s">
        <v>455</v>
      </c>
      <c r="ABO101" t="s">
        <v>455</v>
      </c>
      <c r="ABP101" t="s">
        <v>455</v>
      </c>
      <c r="ABQ101" t="s">
        <v>455</v>
      </c>
      <c r="ABR101" t="s">
        <v>455</v>
      </c>
      <c r="ABS101" t="s">
        <v>455</v>
      </c>
      <c r="ABT101" t="s">
        <v>455</v>
      </c>
      <c r="ABU101" t="s">
        <v>455</v>
      </c>
      <c r="ABV101" t="s">
        <v>455</v>
      </c>
      <c r="ABW101" t="s">
        <v>455</v>
      </c>
      <c r="ABX101" t="s">
        <v>455</v>
      </c>
      <c r="ABY101" t="s">
        <v>455</v>
      </c>
      <c r="ABZ101" t="s">
        <v>455</v>
      </c>
      <c r="ACA101" t="s">
        <v>455</v>
      </c>
      <c r="ACB101" t="s">
        <v>455</v>
      </c>
      <c r="ACC101" t="s">
        <v>455</v>
      </c>
      <c r="ACD101" t="s">
        <v>455</v>
      </c>
      <c r="ACE101" t="s">
        <v>455</v>
      </c>
      <c r="ACF101" t="s">
        <v>455</v>
      </c>
      <c r="ACG101" t="s">
        <v>455</v>
      </c>
      <c r="ACH101" t="s">
        <v>455</v>
      </c>
      <c r="ACI101" t="s">
        <v>455</v>
      </c>
      <c r="ACJ101" t="s">
        <v>455</v>
      </c>
      <c r="ACK101" t="s">
        <v>455</v>
      </c>
      <c r="ACL101" t="s">
        <v>455</v>
      </c>
      <c r="ACM101" t="s">
        <v>455</v>
      </c>
      <c r="ACN101" t="s">
        <v>455</v>
      </c>
      <c r="ACO101" t="s">
        <v>455</v>
      </c>
      <c r="ACP101" t="s">
        <v>455</v>
      </c>
      <c r="ACQ101" t="s">
        <v>455</v>
      </c>
      <c r="ACR101" t="s">
        <v>455</v>
      </c>
      <c r="ACS101" t="s">
        <v>455</v>
      </c>
      <c r="ACT101" t="s">
        <v>455</v>
      </c>
      <c r="ACU101" t="s">
        <v>455</v>
      </c>
      <c r="ACV101" t="s">
        <v>455</v>
      </c>
      <c r="ACW101" t="s">
        <v>455</v>
      </c>
      <c r="ACX101" t="s">
        <v>455</v>
      </c>
      <c r="ACY101" t="s">
        <v>455</v>
      </c>
      <c r="ACZ101" t="s">
        <v>455</v>
      </c>
      <c r="ADA101" t="s">
        <v>455</v>
      </c>
      <c r="ADB101" t="s">
        <v>455</v>
      </c>
      <c r="ADC101" t="s">
        <v>455</v>
      </c>
      <c r="ADD101" t="s">
        <v>455</v>
      </c>
      <c r="ADE101" t="s">
        <v>455</v>
      </c>
      <c r="ADF101" t="s">
        <v>455</v>
      </c>
      <c r="ADG101" t="s">
        <v>455</v>
      </c>
      <c r="ADH101" t="s">
        <v>455</v>
      </c>
      <c r="ADI101" t="s">
        <v>455</v>
      </c>
      <c r="ADJ101" t="s">
        <v>455</v>
      </c>
      <c r="ADK101" t="s">
        <v>455</v>
      </c>
      <c r="ADL101" t="s">
        <v>455</v>
      </c>
      <c r="ADM101" t="s">
        <v>455</v>
      </c>
      <c r="ADN101" t="s">
        <v>455</v>
      </c>
      <c r="ADO101" t="s">
        <v>455</v>
      </c>
      <c r="ADP101" t="s">
        <v>455</v>
      </c>
      <c r="ADQ101" t="s">
        <v>455</v>
      </c>
      <c r="ADR101" t="s">
        <v>455</v>
      </c>
      <c r="ADS101" t="s">
        <v>455</v>
      </c>
      <c r="ADT101" t="s">
        <v>455</v>
      </c>
      <c r="ADU101" t="s">
        <v>455</v>
      </c>
      <c r="ADV101" t="s">
        <v>455</v>
      </c>
      <c r="ADW101" t="s">
        <v>455</v>
      </c>
      <c r="ADX101" t="s">
        <v>455</v>
      </c>
      <c r="ADY101" t="s">
        <v>455</v>
      </c>
      <c r="ADZ101" t="s">
        <v>455</v>
      </c>
      <c r="AEA101" t="s">
        <v>455</v>
      </c>
      <c r="AEB101" t="s">
        <v>455</v>
      </c>
      <c r="AEC101" t="s">
        <v>455</v>
      </c>
      <c r="AED101" t="s">
        <v>455</v>
      </c>
      <c r="AEE101" t="s">
        <v>455</v>
      </c>
      <c r="AEF101" t="s">
        <v>455</v>
      </c>
      <c r="AEG101" t="s">
        <v>455</v>
      </c>
      <c r="AEH101" t="s">
        <v>455</v>
      </c>
      <c r="AEI101" t="s">
        <v>455</v>
      </c>
      <c r="AEJ101" t="s">
        <v>455</v>
      </c>
      <c r="AEK101" t="s">
        <v>455</v>
      </c>
      <c r="AEL101" t="s">
        <v>455</v>
      </c>
      <c r="AEM101" t="s">
        <v>455</v>
      </c>
      <c r="AEN101" t="s">
        <v>455</v>
      </c>
      <c r="AEO101" t="s">
        <v>455</v>
      </c>
      <c r="AEP101" t="s">
        <v>455</v>
      </c>
      <c r="AEQ101" t="s">
        <v>455</v>
      </c>
      <c r="AER101" t="s">
        <v>455</v>
      </c>
      <c r="AES101" t="s">
        <v>455</v>
      </c>
      <c r="AET101" t="s">
        <v>455</v>
      </c>
      <c r="AEU101" t="s">
        <v>455</v>
      </c>
      <c r="AEV101" t="s">
        <v>455</v>
      </c>
      <c r="AEW101" t="s">
        <v>455</v>
      </c>
      <c r="AEX101" t="s">
        <v>455</v>
      </c>
      <c r="AEY101" t="s">
        <v>455</v>
      </c>
      <c r="AEZ101" t="s">
        <v>455</v>
      </c>
      <c r="AFA101" t="s">
        <v>455</v>
      </c>
      <c r="AFB101" t="s">
        <v>455</v>
      </c>
      <c r="AFC101" t="s">
        <v>455</v>
      </c>
      <c r="AFD101" t="s">
        <v>455</v>
      </c>
      <c r="AFE101" t="s">
        <v>455</v>
      </c>
      <c r="AFF101" t="s">
        <v>455</v>
      </c>
      <c r="AFG101" t="s">
        <v>455</v>
      </c>
      <c r="AFH101" t="s">
        <v>455</v>
      </c>
      <c r="AFI101" t="s">
        <v>455</v>
      </c>
      <c r="AFJ101" t="s">
        <v>455</v>
      </c>
      <c r="AFK101" t="s">
        <v>455</v>
      </c>
      <c r="AFL101" t="s">
        <v>455</v>
      </c>
      <c r="AFM101" t="s">
        <v>455</v>
      </c>
      <c r="AFN101" t="s">
        <v>455</v>
      </c>
      <c r="AFO101" t="s">
        <v>455</v>
      </c>
      <c r="AFP101" t="s">
        <v>455</v>
      </c>
      <c r="AFQ101" t="s">
        <v>455</v>
      </c>
      <c r="AFR101" t="s">
        <v>455</v>
      </c>
      <c r="AFS101" t="s">
        <v>455</v>
      </c>
      <c r="AFT101" t="s">
        <v>455</v>
      </c>
      <c r="AFU101" t="s">
        <v>455</v>
      </c>
      <c r="AFV101" t="s">
        <v>455</v>
      </c>
      <c r="AFW101" t="s">
        <v>455</v>
      </c>
      <c r="AFX101" t="s">
        <v>455</v>
      </c>
      <c r="AFY101" t="s">
        <v>455</v>
      </c>
      <c r="AFZ101" t="s">
        <v>455</v>
      </c>
      <c r="AGA101" t="s">
        <v>455</v>
      </c>
      <c r="AGB101" t="s">
        <v>455</v>
      </c>
      <c r="AGC101" t="s">
        <v>455</v>
      </c>
      <c r="AGD101" t="s">
        <v>455</v>
      </c>
      <c r="AGE101" t="s">
        <v>455</v>
      </c>
      <c r="AGF101" t="s">
        <v>455</v>
      </c>
      <c r="AGG101" t="s">
        <v>455</v>
      </c>
      <c r="AGH101" t="s">
        <v>455</v>
      </c>
      <c r="AGI101" t="s">
        <v>455</v>
      </c>
      <c r="AGJ101" t="s">
        <v>455</v>
      </c>
      <c r="AGK101" t="s">
        <v>455</v>
      </c>
      <c r="AGL101" t="s">
        <v>455</v>
      </c>
      <c r="AGM101" t="s">
        <v>455</v>
      </c>
      <c r="AGN101" t="s">
        <v>455</v>
      </c>
      <c r="AGO101" t="s">
        <v>455</v>
      </c>
      <c r="AGP101" t="s">
        <v>455</v>
      </c>
      <c r="AGQ101" t="s">
        <v>455</v>
      </c>
      <c r="AGR101" t="s">
        <v>455</v>
      </c>
      <c r="AGS101" t="s">
        <v>455</v>
      </c>
      <c r="AGT101" t="s">
        <v>455</v>
      </c>
      <c r="AGU101" t="s">
        <v>455</v>
      </c>
      <c r="AGV101" t="s">
        <v>455</v>
      </c>
      <c r="AGW101" t="s">
        <v>455</v>
      </c>
      <c r="AGX101" t="s">
        <v>455</v>
      </c>
      <c r="AGY101" t="s">
        <v>455</v>
      </c>
      <c r="AGZ101" t="s">
        <v>455</v>
      </c>
      <c r="AHA101" t="s">
        <v>455</v>
      </c>
      <c r="AHB101" t="s">
        <v>455</v>
      </c>
      <c r="AHC101" t="s">
        <v>455</v>
      </c>
      <c r="AHD101" t="s">
        <v>455</v>
      </c>
      <c r="AHE101" t="s">
        <v>455</v>
      </c>
      <c r="AHF101" t="s">
        <v>455</v>
      </c>
      <c r="AHG101" t="s">
        <v>455</v>
      </c>
      <c r="AHH101" t="s">
        <v>455</v>
      </c>
      <c r="AHI101" t="s">
        <v>455</v>
      </c>
      <c r="AHJ101" t="s">
        <v>455</v>
      </c>
      <c r="AHK101" t="s">
        <v>455</v>
      </c>
      <c r="AHL101" t="s">
        <v>455</v>
      </c>
      <c r="AHM101" t="s">
        <v>455</v>
      </c>
      <c r="AHN101" t="s">
        <v>455</v>
      </c>
      <c r="AHO101" t="s">
        <v>455</v>
      </c>
      <c r="AHP101" t="s">
        <v>455</v>
      </c>
      <c r="AHQ101" t="s">
        <v>455</v>
      </c>
      <c r="AHR101" t="s">
        <v>455</v>
      </c>
      <c r="AHS101" t="s">
        <v>455</v>
      </c>
      <c r="AHT101" t="s">
        <v>455</v>
      </c>
      <c r="AHU101" t="s">
        <v>455</v>
      </c>
      <c r="AHV101" t="s">
        <v>455</v>
      </c>
      <c r="AHW101" t="s">
        <v>455</v>
      </c>
      <c r="AHX101" t="s">
        <v>455</v>
      </c>
      <c r="AHY101" t="s">
        <v>455</v>
      </c>
      <c r="AHZ101" t="s">
        <v>455</v>
      </c>
      <c r="AIA101" t="s">
        <v>455</v>
      </c>
      <c r="AIB101" t="s">
        <v>455</v>
      </c>
      <c r="AIC101" t="s">
        <v>455</v>
      </c>
      <c r="AID101" t="s">
        <v>455</v>
      </c>
      <c r="AIE101" t="s">
        <v>455</v>
      </c>
      <c r="AIF101" t="s">
        <v>455</v>
      </c>
      <c r="AIG101" t="s">
        <v>455</v>
      </c>
      <c r="AIH101" t="s">
        <v>455</v>
      </c>
      <c r="AII101" t="s">
        <v>455</v>
      </c>
      <c r="AIJ101" t="s">
        <v>455</v>
      </c>
      <c r="AIK101" t="s">
        <v>455</v>
      </c>
      <c r="AIL101" t="s">
        <v>455</v>
      </c>
      <c r="AIM101" t="s">
        <v>455</v>
      </c>
      <c r="AIN101" t="s">
        <v>455</v>
      </c>
      <c r="AIO101" t="s">
        <v>455</v>
      </c>
      <c r="AIP101" t="s">
        <v>455</v>
      </c>
      <c r="AIQ101" t="s">
        <v>455</v>
      </c>
      <c r="AIR101" t="s">
        <v>455</v>
      </c>
      <c r="AIS101" t="s">
        <v>455</v>
      </c>
      <c r="AIT101" t="s">
        <v>455</v>
      </c>
      <c r="AIU101" t="s">
        <v>455</v>
      </c>
      <c r="AIV101" t="s">
        <v>455</v>
      </c>
      <c r="AIW101" t="s">
        <v>455</v>
      </c>
      <c r="AIX101" t="s">
        <v>455</v>
      </c>
      <c r="AIY101" t="s">
        <v>455</v>
      </c>
      <c r="AIZ101" t="s">
        <v>455</v>
      </c>
      <c r="AJA101" t="s">
        <v>455</v>
      </c>
      <c r="AJB101" t="s">
        <v>455</v>
      </c>
      <c r="AJC101" t="s">
        <v>455</v>
      </c>
      <c r="AJD101" t="s">
        <v>455</v>
      </c>
      <c r="AJE101" t="s">
        <v>455</v>
      </c>
      <c r="AJF101" t="s">
        <v>455</v>
      </c>
      <c r="AJG101" t="s">
        <v>455</v>
      </c>
      <c r="AJH101" t="s">
        <v>455</v>
      </c>
      <c r="AJI101" t="s">
        <v>455</v>
      </c>
      <c r="AJJ101" t="s">
        <v>455</v>
      </c>
      <c r="AJK101" t="s">
        <v>455</v>
      </c>
      <c r="AJL101" t="s">
        <v>455</v>
      </c>
      <c r="AJM101" t="s">
        <v>455</v>
      </c>
      <c r="AJN101" t="s">
        <v>455</v>
      </c>
      <c r="AJO101" t="s">
        <v>455</v>
      </c>
      <c r="AJP101" t="s">
        <v>455</v>
      </c>
      <c r="AJQ101" t="s">
        <v>455</v>
      </c>
      <c r="AJR101" t="s">
        <v>455</v>
      </c>
      <c r="AJS101" t="s">
        <v>455</v>
      </c>
      <c r="AJT101" t="s">
        <v>455</v>
      </c>
      <c r="AJU101" t="s">
        <v>455</v>
      </c>
      <c r="AJV101" t="s">
        <v>455</v>
      </c>
      <c r="AJW101" t="s">
        <v>455</v>
      </c>
      <c r="AJX101" t="s">
        <v>455</v>
      </c>
      <c r="AJY101" t="s">
        <v>455</v>
      </c>
      <c r="AJZ101" t="s">
        <v>455</v>
      </c>
      <c r="AKA101" t="s">
        <v>455</v>
      </c>
      <c r="AKB101" t="s">
        <v>455</v>
      </c>
      <c r="AKC101" t="s">
        <v>455</v>
      </c>
      <c r="AKD101" t="s">
        <v>455</v>
      </c>
      <c r="AKE101" t="s">
        <v>455</v>
      </c>
      <c r="AKF101" t="s">
        <v>455</v>
      </c>
      <c r="AKG101" t="s">
        <v>455</v>
      </c>
      <c r="AKH101" t="s">
        <v>455</v>
      </c>
      <c r="AKI101" t="s">
        <v>455</v>
      </c>
      <c r="AKJ101" t="s">
        <v>455</v>
      </c>
      <c r="AKK101" t="s">
        <v>455</v>
      </c>
      <c r="AKL101" t="s">
        <v>455</v>
      </c>
      <c r="AKM101" t="s">
        <v>455</v>
      </c>
      <c r="AKN101" t="s">
        <v>455</v>
      </c>
      <c r="AKO101" t="s">
        <v>455</v>
      </c>
      <c r="AKP101" t="s">
        <v>455</v>
      </c>
      <c r="AKQ101" t="s">
        <v>455</v>
      </c>
      <c r="AKR101" t="s">
        <v>455</v>
      </c>
      <c r="AKS101" t="s">
        <v>455</v>
      </c>
      <c r="AKT101" t="s">
        <v>455</v>
      </c>
      <c r="AKU101" t="s">
        <v>455</v>
      </c>
      <c r="AKV101" t="s">
        <v>455</v>
      </c>
      <c r="AKW101" t="s">
        <v>455</v>
      </c>
      <c r="AKX101" t="s">
        <v>455</v>
      </c>
      <c r="AKY101" t="s">
        <v>455</v>
      </c>
      <c r="AKZ101" t="s">
        <v>455</v>
      </c>
      <c r="ALA101" t="s">
        <v>455</v>
      </c>
      <c r="ALB101" t="s">
        <v>455</v>
      </c>
      <c r="ALC101" t="s">
        <v>455</v>
      </c>
      <c r="ALD101" t="s">
        <v>455</v>
      </c>
      <c r="ALE101" t="s">
        <v>455</v>
      </c>
      <c r="ALF101" t="s">
        <v>455</v>
      </c>
      <c r="ALG101" t="s">
        <v>455</v>
      </c>
      <c r="ALH101" t="s">
        <v>455</v>
      </c>
      <c r="ALI101" t="s">
        <v>455</v>
      </c>
      <c r="ALJ101" t="s">
        <v>455</v>
      </c>
      <c r="ALK101" t="s">
        <v>455</v>
      </c>
      <c r="ALL101" t="s">
        <v>455</v>
      </c>
      <c r="ALM101" t="s">
        <v>455</v>
      </c>
      <c r="ALN101" t="s">
        <v>455</v>
      </c>
      <c r="ALO101" t="s">
        <v>455</v>
      </c>
      <c r="ALP101" t="s">
        <v>455</v>
      </c>
      <c r="ALQ101" t="s">
        <v>455</v>
      </c>
      <c r="ALR101" t="s">
        <v>455</v>
      </c>
      <c r="ALS101" t="s">
        <v>455</v>
      </c>
      <c r="ALT101" t="s">
        <v>455</v>
      </c>
      <c r="ALU101" t="s">
        <v>455</v>
      </c>
      <c r="ALV101" t="s">
        <v>455</v>
      </c>
      <c r="ALW101" t="s">
        <v>455</v>
      </c>
      <c r="ALX101" t="s">
        <v>455</v>
      </c>
      <c r="ALY101" t="s">
        <v>455</v>
      </c>
      <c r="ALZ101" t="s">
        <v>455</v>
      </c>
      <c r="AMA101" t="s">
        <v>455</v>
      </c>
      <c r="AMB101" t="s">
        <v>455</v>
      </c>
      <c r="AMC101" t="s">
        <v>455</v>
      </c>
      <c r="AMD101" t="s">
        <v>455</v>
      </c>
      <c r="AME101" t="s">
        <v>455</v>
      </c>
      <c r="AMF101" t="s">
        <v>455</v>
      </c>
      <c r="AMG101" t="s">
        <v>455</v>
      </c>
      <c r="AMH101" t="s">
        <v>455</v>
      </c>
      <c r="AMI101" t="s">
        <v>455</v>
      </c>
      <c r="AMJ101" t="s">
        <v>455</v>
      </c>
      <c r="AMK101" t="s">
        <v>455</v>
      </c>
      <c r="AML101" t="s">
        <v>455</v>
      </c>
      <c r="AMM101" t="s">
        <v>455</v>
      </c>
      <c r="AMN101" t="s">
        <v>455</v>
      </c>
      <c r="AMO101" t="s">
        <v>455</v>
      </c>
      <c r="AMP101" t="s">
        <v>455</v>
      </c>
      <c r="AMQ101" t="s">
        <v>455</v>
      </c>
      <c r="AMR101" t="s">
        <v>455</v>
      </c>
      <c r="AMS101" t="s">
        <v>455</v>
      </c>
      <c r="AMT101" t="s">
        <v>455</v>
      </c>
      <c r="AMU101" t="s">
        <v>455</v>
      </c>
      <c r="AMV101" t="s">
        <v>455</v>
      </c>
      <c r="AMW101" t="s">
        <v>455</v>
      </c>
      <c r="AMX101" t="s">
        <v>455</v>
      </c>
      <c r="AMY101" t="s">
        <v>455</v>
      </c>
      <c r="AMZ101" t="s">
        <v>455</v>
      </c>
      <c r="ANA101" t="s">
        <v>455</v>
      </c>
      <c r="ANB101" t="s">
        <v>455</v>
      </c>
      <c r="ANC101" t="s">
        <v>455</v>
      </c>
      <c r="AND101" t="s">
        <v>455</v>
      </c>
      <c r="ANE101" t="s">
        <v>455</v>
      </c>
      <c r="ANF101" t="s">
        <v>455</v>
      </c>
      <c r="ANG101" t="s">
        <v>455</v>
      </c>
      <c r="ANH101" t="s">
        <v>455</v>
      </c>
      <c r="ANI101" t="s">
        <v>455</v>
      </c>
      <c r="ANJ101" t="s">
        <v>455</v>
      </c>
      <c r="ANK101" t="s">
        <v>455</v>
      </c>
      <c r="ANL101" t="s">
        <v>455</v>
      </c>
      <c r="ANM101" t="s">
        <v>455</v>
      </c>
      <c r="ANN101" t="s">
        <v>455</v>
      </c>
      <c r="ANO101" t="s">
        <v>455</v>
      </c>
      <c r="ANP101" t="s">
        <v>455</v>
      </c>
      <c r="ANQ101" t="s">
        <v>455</v>
      </c>
      <c r="ANR101" t="s">
        <v>455</v>
      </c>
      <c r="ANS101" t="s">
        <v>455</v>
      </c>
      <c r="ANT101" t="s">
        <v>455</v>
      </c>
      <c r="ANU101" t="s">
        <v>455</v>
      </c>
      <c r="ANV101" t="s">
        <v>455</v>
      </c>
      <c r="ANW101" t="s">
        <v>455</v>
      </c>
      <c r="ANX101" t="s">
        <v>455</v>
      </c>
      <c r="ANY101" t="s">
        <v>455</v>
      </c>
      <c r="ANZ101" t="s">
        <v>455</v>
      </c>
      <c r="AOA101" t="s">
        <v>455</v>
      </c>
      <c r="AOB101" t="s">
        <v>455</v>
      </c>
      <c r="AOC101" t="s">
        <v>455</v>
      </c>
      <c r="AOD101" t="s">
        <v>455</v>
      </c>
      <c r="AOE101" t="s">
        <v>455</v>
      </c>
      <c r="AOF101" t="s">
        <v>455</v>
      </c>
      <c r="AOG101" t="s">
        <v>455</v>
      </c>
      <c r="AOH101" t="s">
        <v>455</v>
      </c>
      <c r="AOI101" t="s">
        <v>455</v>
      </c>
      <c r="AOJ101" t="s">
        <v>455</v>
      </c>
      <c r="AOK101" t="s">
        <v>455</v>
      </c>
      <c r="AOL101" t="s">
        <v>455</v>
      </c>
      <c r="AOM101" t="s">
        <v>455</v>
      </c>
      <c r="AON101" t="s">
        <v>455</v>
      </c>
      <c r="AOO101" t="s">
        <v>455</v>
      </c>
      <c r="AOP101" t="s">
        <v>455</v>
      </c>
      <c r="AOQ101" t="s">
        <v>455</v>
      </c>
      <c r="AOR101" t="s">
        <v>455</v>
      </c>
      <c r="AOS101" t="s">
        <v>455</v>
      </c>
      <c r="AOT101" t="s">
        <v>455</v>
      </c>
      <c r="AOU101" t="s">
        <v>455</v>
      </c>
      <c r="AOV101" t="s">
        <v>455</v>
      </c>
      <c r="AOW101" t="s">
        <v>455</v>
      </c>
      <c r="AOX101" t="s">
        <v>455</v>
      </c>
      <c r="AOY101" t="s">
        <v>455</v>
      </c>
      <c r="AOZ101" t="s">
        <v>455</v>
      </c>
      <c r="APA101" t="s">
        <v>455</v>
      </c>
      <c r="APB101" t="s">
        <v>455</v>
      </c>
      <c r="APC101" t="s">
        <v>455</v>
      </c>
      <c r="APD101" t="s">
        <v>455</v>
      </c>
      <c r="APE101" t="s">
        <v>455</v>
      </c>
      <c r="APF101" t="s">
        <v>455</v>
      </c>
      <c r="APG101" t="s">
        <v>455</v>
      </c>
      <c r="APH101" t="s">
        <v>455</v>
      </c>
      <c r="API101" t="s">
        <v>455</v>
      </c>
      <c r="APJ101" t="s">
        <v>455</v>
      </c>
      <c r="APK101" t="s">
        <v>455</v>
      </c>
      <c r="APL101" t="s">
        <v>455</v>
      </c>
      <c r="APM101" t="s">
        <v>455</v>
      </c>
      <c r="APN101" t="s">
        <v>455</v>
      </c>
      <c r="APO101" t="s">
        <v>455</v>
      </c>
      <c r="APP101" t="s">
        <v>455</v>
      </c>
      <c r="APQ101" t="s">
        <v>455</v>
      </c>
      <c r="APR101" t="s">
        <v>455</v>
      </c>
      <c r="APS101" t="s">
        <v>455</v>
      </c>
      <c r="APT101" t="s">
        <v>455</v>
      </c>
      <c r="APU101" t="s">
        <v>455</v>
      </c>
      <c r="APV101" t="s">
        <v>455</v>
      </c>
      <c r="APW101" t="s">
        <v>455</v>
      </c>
      <c r="APX101" t="s">
        <v>455</v>
      </c>
      <c r="APY101" t="s">
        <v>455</v>
      </c>
      <c r="APZ101" t="s">
        <v>455</v>
      </c>
      <c r="AQA101" t="s">
        <v>455</v>
      </c>
      <c r="AQB101" t="s">
        <v>455</v>
      </c>
      <c r="AQC101" t="s">
        <v>455</v>
      </c>
      <c r="AQD101" t="s">
        <v>455</v>
      </c>
      <c r="AQE101" t="s">
        <v>455</v>
      </c>
      <c r="AQF101" t="s">
        <v>455</v>
      </c>
      <c r="AQG101" t="s">
        <v>455</v>
      </c>
      <c r="AQH101" t="s">
        <v>455</v>
      </c>
      <c r="AQI101" t="s">
        <v>455</v>
      </c>
      <c r="AQJ101" t="s">
        <v>455</v>
      </c>
      <c r="AQK101" t="s">
        <v>455</v>
      </c>
      <c r="AQL101" t="s">
        <v>455</v>
      </c>
      <c r="AQM101" t="s">
        <v>455</v>
      </c>
      <c r="AQN101" t="s">
        <v>455</v>
      </c>
      <c r="AQO101" t="s">
        <v>455</v>
      </c>
      <c r="AQP101" t="s">
        <v>455</v>
      </c>
      <c r="AQQ101" t="s">
        <v>455</v>
      </c>
      <c r="AQR101" t="s">
        <v>455</v>
      </c>
      <c r="AQS101" t="s">
        <v>455</v>
      </c>
      <c r="AQT101" t="s">
        <v>455</v>
      </c>
      <c r="AQU101" t="s">
        <v>455</v>
      </c>
      <c r="AQV101" t="s">
        <v>455</v>
      </c>
      <c r="AQW101" t="s">
        <v>455</v>
      </c>
      <c r="AQX101" t="s">
        <v>455</v>
      </c>
      <c r="AQY101" t="s">
        <v>455</v>
      </c>
      <c r="AQZ101" t="s">
        <v>455</v>
      </c>
      <c r="ARA101" t="s">
        <v>455</v>
      </c>
      <c r="ARB101" t="s">
        <v>455</v>
      </c>
      <c r="ARC101" t="s">
        <v>455</v>
      </c>
      <c r="ARD101" t="s">
        <v>455</v>
      </c>
      <c r="ARE101" t="s">
        <v>455</v>
      </c>
      <c r="ARF101" t="s">
        <v>455</v>
      </c>
      <c r="ARG101" t="s">
        <v>455</v>
      </c>
      <c r="ARH101" t="s">
        <v>455</v>
      </c>
      <c r="ARI101" t="s">
        <v>455</v>
      </c>
      <c r="ARJ101" t="s">
        <v>455</v>
      </c>
      <c r="ARK101" t="s">
        <v>455</v>
      </c>
      <c r="ARL101" t="s">
        <v>455</v>
      </c>
      <c r="ARM101" t="s">
        <v>455</v>
      </c>
      <c r="ARN101" t="s">
        <v>455</v>
      </c>
      <c r="ARO101" t="s">
        <v>455</v>
      </c>
      <c r="ARP101" t="s">
        <v>455</v>
      </c>
      <c r="ARQ101" t="s">
        <v>455</v>
      </c>
      <c r="ARR101" t="s">
        <v>455</v>
      </c>
      <c r="ARS101" t="s">
        <v>455</v>
      </c>
      <c r="ART101" t="s">
        <v>455</v>
      </c>
      <c r="ARU101" t="s">
        <v>455</v>
      </c>
      <c r="ARV101" t="s">
        <v>455</v>
      </c>
      <c r="ARW101" t="s">
        <v>455</v>
      </c>
      <c r="ARX101" t="s">
        <v>455</v>
      </c>
      <c r="ARY101" t="s">
        <v>455</v>
      </c>
      <c r="ARZ101" t="s">
        <v>455</v>
      </c>
      <c r="ASA101" t="s">
        <v>455</v>
      </c>
      <c r="ASB101" t="s">
        <v>455</v>
      </c>
      <c r="ASC101" t="s">
        <v>455</v>
      </c>
      <c r="ASD101" t="s">
        <v>455</v>
      </c>
      <c r="ASE101" t="s">
        <v>455</v>
      </c>
      <c r="ASF101" t="s">
        <v>455</v>
      </c>
      <c r="ASG101" t="s">
        <v>455</v>
      </c>
      <c r="ASH101" t="s">
        <v>455</v>
      </c>
      <c r="ASI101" t="s">
        <v>455</v>
      </c>
      <c r="ASJ101" t="s">
        <v>455</v>
      </c>
      <c r="ASK101" t="s">
        <v>455</v>
      </c>
      <c r="ASL101" t="s">
        <v>455</v>
      </c>
      <c r="ASM101" t="s">
        <v>455</v>
      </c>
      <c r="ASN101" t="s">
        <v>455</v>
      </c>
      <c r="ASO101" t="s">
        <v>455</v>
      </c>
      <c r="ASP101" t="s">
        <v>455</v>
      </c>
      <c r="ASQ101" t="s">
        <v>455</v>
      </c>
      <c r="ASR101" t="s">
        <v>455</v>
      </c>
      <c r="ASS101" t="s">
        <v>455</v>
      </c>
      <c r="AST101" t="s">
        <v>455</v>
      </c>
      <c r="ASU101" t="s">
        <v>455</v>
      </c>
      <c r="ASV101" t="s">
        <v>455</v>
      </c>
      <c r="ASW101" t="s">
        <v>455</v>
      </c>
      <c r="ASX101" t="s">
        <v>455</v>
      </c>
      <c r="ASY101" t="s">
        <v>455</v>
      </c>
      <c r="ASZ101" t="s">
        <v>455</v>
      </c>
      <c r="ATA101" t="s">
        <v>455</v>
      </c>
      <c r="ATB101" t="s">
        <v>455</v>
      </c>
      <c r="ATC101" t="s">
        <v>455</v>
      </c>
      <c r="ATD101" t="s">
        <v>455</v>
      </c>
      <c r="ATE101" t="s">
        <v>455</v>
      </c>
      <c r="ATF101" t="s">
        <v>455</v>
      </c>
      <c r="ATG101" t="s">
        <v>455</v>
      </c>
      <c r="ATH101" t="s">
        <v>455</v>
      </c>
      <c r="ATI101" t="s">
        <v>455</v>
      </c>
      <c r="ATJ101" t="s">
        <v>455</v>
      </c>
      <c r="ATK101" t="s">
        <v>455</v>
      </c>
      <c r="ATL101" t="s">
        <v>455</v>
      </c>
      <c r="ATM101" t="s">
        <v>455</v>
      </c>
      <c r="ATN101" t="s">
        <v>455</v>
      </c>
      <c r="ATO101" t="s">
        <v>455</v>
      </c>
      <c r="ATP101" t="s">
        <v>455</v>
      </c>
      <c r="ATQ101" t="s">
        <v>455</v>
      </c>
      <c r="ATR101" t="s">
        <v>455</v>
      </c>
      <c r="ATS101" t="s">
        <v>455</v>
      </c>
      <c r="ATT101" t="s">
        <v>455</v>
      </c>
      <c r="ATU101" t="s">
        <v>455</v>
      </c>
      <c r="ATV101" t="s">
        <v>455</v>
      </c>
      <c r="ATW101" t="s">
        <v>455</v>
      </c>
      <c r="ATX101" t="s">
        <v>455</v>
      </c>
      <c r="ATY101" t="s">
        <v>455</v>
      </c>
      <c r="ATZ101" t="s">
        <v>455</v>
      </c>
      <c r="AUA101" t="s">
        <v>455</v>
      </c>
      <c r="AUB101" t="s">
        <v>455</v>
      </c>
      <c r="AUC101" t="s">
        <v>455</v>
      </c>
      <c r="AUD101" t="s">
        <v>455</v>
      </c>
      <c r="AUE101" t="s">
        <v>455</v>
      </c>
      <c r="AUF101" t="s">
        <v>455</v>
      </c>
      <c r="AUG101" t="s">
        <v>455</v>
      </c>
      <c r="AUH101" t="s">
        <v>455</v>
      </c>
      <c r="AUI101" t="s">
        <v>455</v>
      </c>
      <c r="AUJ101" t="s">
        <v>455</v>
      </c>
      <c r="AUK101" t="s">
        <v>455</v>
      </c>
      <c r="AUL101" t="s">
        <v>455</v>
      </c>
      <c r="AUM101" t="s">
        <v>455</v>
      </c>
      <c r="AUN101" t="s">
        <v>455</v>
      </c>
      <c r="AUO101" t="s">
        <v>455</v>
      </c>
      <c r="AUP101" t="s">
        <v>455</v>
      </c>
      <c r="AUQ101" t="s">
        <v>455</v>
      </c>
      <c r="AUR101" t="s">
        <v>455</v>
      </c>
      <c r="AUS101" t="s">
        <v>455</v>
      </c>
      <c r="AUT101" t="s">
        <v>455</v>
      </c>
      <c r="AUU101" t="s">
        <v>455</v>
      </c>
      <c r="AUV101" t="s">
        <v>455</v>
      </c>
      <c r="AUW101" t="s">
        <v>455</v>
      </c>
      <c r="AUX101" t="s">
        <v>455</v>
      </c>
      <c r="AUY101" t="s">
        <v>455</v>
      </c>
      <c r="AUZ101" t="s">
        <v>455</v>
      </c>
      <c r="AVA101" t="s">
        <v>455</v>
      </c>
      <c r="AVB101" t="s">
        <v>455</v>
      </c>
      <c r="AVC101" t="s">
        <v>455</v>
      </c>
      <c r="AVD101" t="s">
        <v>455</v>
      </c>
      <c r="AVE101" t="s">
        <v>455</v>
      </c>
      <c r="AVF101" t="s">
        <v>455</v>
      </c>
      <c r="AVG101" t="s">
        <v>455</v>
      </c>
      <c r="AVH101" t="s">
        <v>455</v>
      </c>
      <c r="AVI101" t="s">
        <v>455</v>
      </c>
      <c r="AVJ101" t="s">
        <v>455</v>
      </c>
      <c r="AVK101" t="s">
        <v>455</v>
      </c>
      <c r="AVL101" t="s">
        <v>455</v>
      </c>
      <c r="AVM101" t="s">
        <v>455</v>
      </c>
      <c r="AVN101" t="s">
        <v>455</v>
      </c>
      <c r="AVO101" t="s">
        <v>455</v>
      </c>
      <c r="AVP101" t="s">
        <v>455</v>
      </c>
      <c r="AVQ101" t="s">
        <v>455</v>
      </c>
      <c r="AVR101" t="s">
        <v>455</v>
      </c>
      <c r="AVS101" t="s">
        <v>455</v>
      </c>
      <c r="AVT101" t="s">
        <v>455</v>
      </c>
      <c r="AVU101" t="s">
        <v>455</v>
      </c>
      <c r="AVV101" t="s">
        <v>455</v>
      </c>
      <c r="AVW101" t="s">
        <v>455</v>
      </c>
      <c r="AVX101" t="s">
        <v>455</v>
      </c>
      <c r="AVY101" t="s">
        <v>455</v>
      </c>
      <c r="AVZ101" t="s">
        <v>455</v>
      </c>
      <c r="AWA101" t="s">
        <v>455</v>
      </c>
      <c r="AWB101" t="s">
        <v>455</v>
      </c>
      <c r="AWC101" t="s">
        <v>455</v>
      </c>
      <c r="AWD101" t="s">
        <v>455</v>
      </c>
      <c r="AWE101" t="s">
        <v>455</v>
      </c>
      <c r="AWF101" t="s">
        <v>455</v>
      </c>
      <c r="AWG101" t="s">
        <v>455</v>
      </c>
      <c r="AWH101" t="s">
        <v>455</v>
      </c>
      <c r="AWI101" t="s">
        <v>455</v>
      </c>
      <c r="AWJ101" t="s">
        <v>455</v>
      </c>
      <c r="AWK101" t="s">
        <v>455</v>
      </c>
      <c r="AWL101" t="s">
        <v>455</v>
      </c>
      <c r="AWM101" t="s">
        <v>455</v>
      </c>
      <c r="AWN101" t="s">
        <v>455</v>
      </c>
      <c r="AWO101" t="s">
        <v>455</v>
      </c>
      <c r="AWP101" t="s">
        <v>455</v>
      </c>
      <c r="AWQ101" t="s">
        <v>455</v>
      </c>
      <c r="AWR101" t="s">
        <v>455</v>
      </c>
      <c r="AWS101" t="s">
        <v>455</v>
      </c>
      <c r="AWT101" t="s">
        <v>455</v>
      </c>
      <c r="AWU101" t="s">
        <v>455</v>
      </c>
      <c r="AWV101" t="s">
        <v>455</v>
      </c>
      <c r="AWW101" t="s">
        <v>455</v>
      </c>
      <c r="AWX101" t="s">
        <v>455</v>
      </c>
      <c r="AWY101" t="s">
        <v>455</v>
      </c>
      <c r="AWZ101" t="s">
        <v>455</v>
      </c>
      <c r="AXA101" t="s">
        <v>455</v>
      </c>
      <c r="AXB101" t="s">
        <v>455</v>
      </c>
      <c r="AXC101" t="s">
        <v>455</v>
      </c>
      <c r="AXD101" t="s">
        <v>455</v>
      </c>
      <c r="AXE101" t="s">
        <v>455</v>
      </c>
      <c r="AXF101" t="s">
        <v>455</v>
      </c>
      <c r="AXG101" t="s">
        <v>455</v>
      </c>
      <c r="AXH101" t="s">
        <v>455</v>
      </c>
      <c r="AXI101" t="s">
        <v>455</v>
      </c>
      <c r="AXJ101" t="s">
        <v>455</v>
      </c>
      <c r="AXK101" t="s">
        <v>455</v>
      </c>
      <c r="AXL101" t="s">
        <v>455</v>
      </c>
      <c r="AXM101" t="s">
        <v>455</v>
      </c>
      <c r="AXN101" t="s">
        <v>455</v>
      </c>
      <c r="AXO101" t="s">
        <v>455</v>
      </c>
      <c r="AXP101" t="s">
        <v>455</v>
      </c>
      <c r="AXQ101" t="s">
        <v>455</v>
      </c>
      <c r="AXR101" t="s">
        <v>455</v>
      </c>
      <c r="AXS101" t="s">
        <v>455</v>
      </c>
      <c r="AXT101" t="s">
        <v>455</v>
      </c>
      <c r="AXU101" t="s">
        <v>455</v>
      </c>
      <c r="AXV101" t="s">
        <v>455</v>
      </c>
      <c r="AXW101" t="s">
        <v>455</v>
      </c>
      <c r="AXX101" t="s">
        <v>455</v>
      </c>
      <c r="AXY101" t="s">
        <v>455</v>
      </c>
      <c r="AXZ101" t="s">
        <v>455</v>
      </c>
      <c r="AYA101" t="s">
        <v>455</v>
      </c>
      <c r="AYB101" t="s">
        <v>455</v>
      </c>
      <c r="AYC101" t="s">
        <v>455</v>
      </c>
      <c r="AYD101" t="s">
        <v>455</v>
      </c>
      <c r="AYE101" t="s">
        <v>455</v>
      </c>
      <c r="AYF101" t="s">
        <v>455</v>
      </c>
      <c r="AYG101" t="s">
        <v>455</v>
      </c>
      <c r="AYH101" t="s">
        <v>455</v>
      </c>
      <c r="AYI101" t="s">
        <v>455</v>
      </c>
      <c r="AYJ101" t="s">
        <v>455</v>
      </c>
      <c r="AYK101" t="s">
        <v>455</v>
      </c>
      <c r="AYL101" t="s">
        <v>455</v>
      </c>
      <c r="AYM101" t="s">
        <v>455</v>
      </c>
      <c r="AYN101" t="s">
        <v>455</v>
      </c>
      <c r="AYO101" t="s">
        <v>455</v>
      </c>
      <c r="AYP101" t="s">
        <v>455</v>
      </c>
      <c r="AYQ101" t="s">
        <v>455</v>
      </c>
      <c r="AYR101" t="s">
        <v>455</v>
      </c>
      <c r="AYS101" t="s">
        <v>455</v>
      </c>
      <c r="AYT101" t="s">
        <v>455</v>
      </c>
      <c r="AYU101" t="s">
        <v>455</v>
      </c>
      <c r="AYV101" t="s">
        <v>455</v>
      </c>
      <c r="AYW101" t="s">
        <v>455</v>
      </c>
      <c r="AYX101" t="s">
        <v>455</v>
      </c>
      <c r="AYY101" t="s">
        <v>455</v>
      </c>
      <c r="AYZ101" t="s">
        <v>455</v>
      </c>
      <c r="AZA101" t="s">
        <v>455</v>
      </c>
      <c r="AZB101" t="s">
        <v>455</v>
      </c>
      <c r="AZC101" t="s">
        <v>455</v>
      </c>
      <c r="AZD101" t="s">
        <v>455</v>
      </c>
      <c r="AZE101" t="s">
        <v>455</v>
      </c>
      <c r="AZF101" t="s">
        <v>455</v>
      </c>
      <c r="AZG101" t="s">
        <v>455</v>
      </c>
      <c r="AZH101" t="s">
        <v>455</v>
      </c>
      <c r="AZI101" t="s">
        <v>455</v>
      </c>
      <c r="AZJ101" t="s">
        <v>455</v>
      </c>
      <c r="AZK101" t="s">
        <v>455</v>
      </c>
      <c r="AZL101" t="s">
        <v>455</v>
      </c>
      <c r="AZM101" t="s">
        <v>455</v>
      </c>
      <c r="AZN101" t="s">
        <v>455</v>
      </c>
      <c r="AZO101" t="s">
        <v>455</v>
      </c>
      <c r="AZP101" t="s">
        <v>455</v>
      </c>
      <c r="AZQ101" t="s">
        <v>455</v>
      </c>
      <c r="AZR101" t="s">
        <v>455</v>
      </c>
      <c r="AZS101" t="s">
        <v>455</v>
      </c>
      <c r="AZT101" t="s">
        <v>455</v>
      </c>
      <c r="AZU101" t="s">
        <v>455</v>
      </c>
      <c r="AZV101" t="s">
        <v>455</v>
      </c>
      <c r="AZW101" t="s">
        <v>455</v>
      </c>
      <c r="AZX101" t="s">
        <v>455</v>
      </c>
      <c r="AZY101" t="s">
        <v>455</v>
      </c>
      <c r="AZZ101" t="s">
        <v>455</v>
      </c>
      <c r="BAA101" t="s">
        <v>455</v>
      </c>
      <c r="BAB101" t="s">
        <v>455</v>
      </c>
      <c r="BAC101" t="s">
        <v>455</v>
      </c>
      <c r="BAD101" t="s">
        <v>455</v>
      </c>
      <c r="BAE101" t="s">
        <v>455</v>
      </c>
      <c r="BAF101" t="s">
        <v>455</v>
      </c>
      <c r="BAG101" t="s">
        <v>455</v>
      </c>
      <c r="BAH101" t="s">
        <v>455</v>
      </c>
      <c r="BAI101" t="s">
        <v>455</v>
      </c>
      <c r="BAJ101" t="s">
        <v>455</v>
      </c>
      <c r="BAK101" t="s">
        <v>455</v>
      </c>
      <c r="BAL101" t="s">
        <v>455</v>
      </c>
      <c r="BAM101" t="s">
        <v>455</v>
      </c>
      <c r="BAN101" t="s">
        <v>455</v>
      </c>
      <c r="BAO101" t="s">
        <v>455</v>
      </c>
      <c r="BAP101" t="s">
        <v>455</v>
      </c>
      <c r="BAQ101" t="s">
        <v>455</v>
      </c>
      <c r="BAR101" t="s">
        <v>455</v>
      </c>
      <c r="BAS101" t="s">
        <v>455</v>
      </c>
      <c r="BAT101" t="s">
        <v>455</v>
      </c>
      <c r="BAU101" t="s">
        <v>455</v>
      </c>
      <c r="BAV101" t="s">
        <v>455</v>
      </c>
      <c r="BAW101" t="s">
        <v>455</v>
      </c>
      <c r="BAX101" t="s">
        <v>455</v>
      </c>
      <c r="BAY101" t="s">
        <v>455</v>
      </c>
      <c r="BAZ101" t="s">
        <v>455</v>
      </c>
      <c r="BBA101" t="s">
        <v>455</v>
      </c>
      <c r="BBB101" t="s">
        <v>455</v>
      </c>
      <c r="BBC101" t="s">
        <v>455</v>
      </c>
      <c r="BBD101" t="s">
        <v>455</v>
      </c>
      <c r="BBE101" t="s">
        <v>455</v>
      </c>
      <c r="BBF101" t="s">
        <v>455</v>
      </c>
      <c r="BBG101" t="s">
        <v>455</v>
      </c>
      <c r="BBH101" t="s">
        <v>455</v>
      </c>
      <c r="BBI101" t="s">
        <v>455</v>
      </c>
      <c r="BBJ101" t="s">
        <v>455</v>
      </c>
      <c r="BBK101" t="s">
        <v>455</v>
      </c>
      <c r="BBL101" t="s">
        <v>455</v>
      </c>
      <c r="BBM101" t="s">
        <v>455</v>
      </c>
      <c r="BBN101" t="s">
        <v>455</v>
      </c>
      <c r="BBO101" t="s">
        <v>455</v>
      </c>
      <c r="BBP101" t="s">
        <v>455</v>
      </c>
      <c r="BBQ101" t="s">
        <v>455</v>
      </c>
      <c r="BBR101" t="s">
        <v>455</v>
      </c>
      <c r="BBS101" t="s">
        <v>455</v>
      </c>
      <c r="BBT101" t="s">
        <v>455</v>
      </c>
      <c r="BBU101" t="s">
        <v>455</v>
      </c>
      <c r="BBV101" t="s">
        <v>455</v>
      </c>
      <c r="BBW101" t="s">
        <v>455</v>
      </c>
      <c r="BBX101" t="s">
        <v>455</v>
      </c>
      <c r="BBY101" t="s">
        <v>455</v>
      </c>
      <c r="BBZ101" t="s">
        <v>455</v>
      </c>
      <c r="BCA101" t="s">
        <v>455</v>
      </c>
      <c r="BCB101" t="s">
        <v>455</v>
      </c>
      <c r="BCC101" t="s">
        <v>455</v>
      </c>
      <c r="BCD101" t="s">
        <v>455</v>
      </c>
      <c r="BCE101" t="s">
        <v>455</v>
      </c>
      <c r="BCF101" t="s">
        <v>455</v>
      </c>
      <c r="BCG101" t="s">
        <v>455</v>
      </c>
      <c r="BCH101" t="s">
        <v>455</v>
      </c>
      <c r="BCI101" t="s">
        <v>455</v>
      </c>
      <c r="BCJ101" t="s">
        <v>455</v>
      </c>
      <c r="BCK101" t="s">
        <v>455</v>
      </c>
      <c r="BCL101" t="s">
        <v>455</v>
      </c>
      <c r="BCM101" t="s">
        <v>455</v>
      </c>
      <c r="BCN101" t="s">
        <v>455</v>
      </c>
      <c r="BCO101" t="s">
        <v>455</v>
      </c>
      <c r="BCP101" t="s">
        <v>455</v>
      </c>
      <c r="BCQ101" t="s">
        <v>455</v>
      </c>
      <c r="BCR101" t="s">
        <v>455</v>
      </c>
      <c r="BCS101" t="s">
        <v>455</v>
      </c>
      <c r="BCT101" t="s">
        <v>455</v>
      </c>
      <c r="BCU101" t="s">
        <v>455</v>
      </c>
      <c r="BCV101" t="s">
        <v>455</v>
      </c>
      <c r="BCW101" t="s">
        <v>455</v>
      </c>
      <c r="BCX101" t="s">
        <v>455</v>
      </c>
      <c r="BCY101" t="s">
        <v>455</v>
      </c>
      <c r="BCZ101" t="s">
        <v>455</v>
      </c>
      <c r="BDA101" t="s">
        <v>455</v>
      </c>
      <c r="BDB101" t="s">
        <v>455</v>
      </c>
      <c r="BDC101" t="s">
        <v>455</v>
      </c>
      <c r="BDD101" t="s">
        <v>455</v>
      </c>
      <c r="BDE101" t="s">
        <v>455</v>
      </c>
      <c r="BDF101" t="s">
        <v>455</v>
      </c>
      <c r="BDG101" t="s">
        <v>455</v>
      </c>
      <c r="BDH101" t="s">
        <v>455</v>
      </c>
      <c r="BDI101" t="s">
        <v>455</v>
      </c>
      <c r="BDJ101" t="s">
        <v>455</v>
      </c>
      <c r="BDK101" t="s">
        <v>455</v>
      </c>
      <c r="BDL101" t="s">
        <v>455</v>
      </c>
      <c r="BDM101" t="s">
        <v>455</v>
      </c>
      <c r="BDN101" t="s">
        <v>455</v>
      </c>
      <c r="BDO101" t="s">
        <v>455</v>
      </c>
      <c r="BDP101" t="s">
        <v>455</v>
      </c>
      <c r="BDQ101" t="s">
        <v>455</v>
      </c>
      <c r="BDR101" t="s">
        <v>455</v>
      </c>
      <c r="BDS101" t="s">
        <v>455</v>
      </c>
      <c r="BDT101" t="s">
        <v>455</v>
      </c>
      <c r="BDU101" t="s">
        <v>455</v>
      </c>
      <c r="BDV101" t="s">
        <v>455</v>
      </c>
      <c r="BDW101" t="s">
        <v>455</v>
      </c>
      <c r="BDX101" t="s">
        <v>455</v>
      </c>
      <c r="BDY101" t="s">
        <v>455</v>
      </c>
      <c r="BDZ101" t="s">
        <v>455</v>
      </c>
      <c r="BEA101" t="s">
        <v>455</v>
      </c>
      <c r="BEB101" t="s">
        <v>455</v>
      </c>
      <c r="BEC101" t="s">
        <v>455</v>
      </c>
      <c r="BED101" t="s">
        <v>455</v>
      </c>
      <c r="BEE101" t="s">
        <v>455</v>
      </c>
      <c r="BEF101" t="s">
        <v>455</v>
      </c>
      <c r="BEG101" t="s">
        <v>455</v>
      </c>
      <c r="BEH101" t="s">
        <v>455</v>
      </c>
      <c r="BEI101" t="s">
        <v>455</v>
      </c>
      <c r="BEJ101" t="s">
        <v>455</v>
      </c>
      <c r="BEK101" t="s">
        <v>455</v>
      </c>
      <c r="BEL101" t="s">
        <v>455</v>
      </c>
      <c r="BEM101" t="s">
        <v>455</v>
      </c>
      <c r="BEN101" t="s">
        <v>455</v>
      </c>
      <c r="BEO101" t="s">
        <v>455</v>
      </c>
      <c r="BEP101" t="s">
        <v>455</v>
      </c>
      <c r="BEQ101" t="s">
        <v>455</v>
      </c>
      <c r="BER101" t="s">
        <v>455</v>
      </c>
      <c r="BES101" t="s">
        <v>455</v>
      </c>
      <c r="BET101" t="s">
        <v>455</v>
      </c>
      <c r="BEU101" t="s">
        <v>455</v>
      </c>
      <c r="BEV101" t="s">
        <v>455</v>
      </c>
      <c r="BEW101" t="s">
        <v>455</v>
      </c>
      <c r="BEX101" t="s">
        <v>455</v>
      </c>
      <c r="BEY101" t="s">
        <v>455</v>
      </c>
      <c r="BEZ101" t="s">
        <v>455</v>
      </c>
      <c r="BFA101" t="s">
        <v>455</v>
      </c>
      <c r="BFB101" t="s">
        <v>455</v>
      </c>
      <c r="BFC101" t="s">
        <v>455</v>
      </c>
      <c r="BFD101" t="s">
        <v>455</v>
      </c>
      <c r="BFE101" t="s">
        <v>455</v>
      </c>
      <c r="BFF101" t="s">
        <v>455</v>
      </c>
      <c r="BFG101" t="s">
        <v>455</v>
      </c>
      <c r="BFH101" t="s">
        <v>455</v>
      </c>
      <c r="BFI101" t="s">
        <v>455</v>
      </c>
      <c r="BFJ101" t="s">
        <v>455</v>
      </c>
      <c r="BFK101" t="s">
        <v>455</v>
      </c>
      <c r="BFL101" t="s">
        <v>455</v>
      </c>
      <c r="BFM101" t="s">
        <v>455</v>
      </c>
      <c r="BFN101" t="s">
        <v>455</v>
      </c>
      <c r="BFO101" t="s">
        <v>455</v>
      </c>
      <c r="BFP101" t="s">
        <v>455</v>
      </c>
      <c r="BFQ101" t="s">
        <v>455</v>
      </c>
      <c r="BFR101" t="s">
        <v>455</v>
      </c>
      <c r="BFS101" t="s">
        <v>455</v>
      </c>
      <c r="BFT101" t="s">
        <v>455</v>
      </c>
      <c r="BFU101" t="s">
        <v>455</v>
      </c>
      <c r="BFV101" t="s">
        <v>455</v>
      </c>
      <c r="BFW101" t="s">
        <v>455</v>
      </c>
      <c r="BFX101" t="s">
        <v>455</v>
      </c>
      <c r="BFY101" t="s">
        <v>455</v>
      </c>
      <c r="BFZ101" t="s">
        <v>455</v>
      </c>
      <c r="BGA101" t="s">
        <v>455</v>
      </c>
      <c r="BGB101" t="s">
        <v>455</v>
      </c>
      <c r="BGC101" t="s">
        <v>455</v>
      </c>
      <c r="BGD101" t="s">
        <v>455</v>
      </c>
      <c r="BGE101" t="s">
        <v>455</v>
      </c>
      <c r="BGF101" t="s">
        <v>455</v>
      </c>
      <c r="BGG101" t="s">
        <v>455</v>
      </c>
      <c r="BGH101" t="s">
        <v>455</v>
      </c>
      <c r="BGI101" t="s">
        <v>455</v>
      </c>
      <c r="BGJ101" t="s">
        <v>455</v>
      </c>
      <c r="BGK101" t="s">
        <v>455</v>
      </c>
      <c r="BGL101" t="s">
        <v>455</v>
      </c>
      <c r="BGM101" t="s">
        <v>455</v>
      </c>
      <c r="BGN101" t="s">
        <v>455</v>
      </c>
      <c r="BGO101" t="s">
        <v>455</v>
      </c>
      <c r="BGP101" t="s">
        <v>455</v>
      </c>
      <c r="BGQ101" t="s">
        <v>455</v>
      </c>
      <c r="BGR101" t="s">
        <v>455</v>
      </c>
      <c r="BGS101" t="s">
        <v>455</v>
      </c>
      <c r="BGT101" t="s">
        <v>455</v>
      </c>
      <c r="BGU101" t="s">
        <v>455</v>
      </c>
      <c r="BGV101" t="s">
        <v>455</v>
      </c>
      <c r="BGW101" t="s">
        <v>455</v>
      </c>
      <c r="BGX101" t="s">
        <v>455</v>
      </c>
      <c r="BGY101" t="s">
        <v>455</v>
      </c>
      <c r="BGZ101" t="s">
        <v>455</v>
      </c>
      <c r="BHA101" t="s">
        <v>455</v>
      </c>
      <c r="BHB101" t="s">
        <v>455</v>
      </c>
      <c r="BHC101" t="s">
        <v>455</v>
      </c>
      <c r="BHD101" t="s">
        <v>455</v>
      </c>
      <c r="BHE101" t="s">
        <v>455</v>
      </c>
      <c r="BHF101" t="s">
        <v>455</v>
      </c>
      <c r="BHG101" t="s">
        <v>455</v>
      </c>
      <c r="BHH101" t="s">
        <v>455</v>
      </c>
      <c r="BHI101" t="s">
        <v>455</v>
      </c>
      <c r="BHJ101" t="s">
        <v>455</v>
      </c>
      <c r="BHK101" t="s">
        <v>455</v>
      </c>
      <c r="BHL101" t="s">
        <v>455</v>
      </c>
      <c r="BHM101" t="s">
        <v>455</v>
      </c>
      <c r="BHN101" t="s">
        <v>455</v>
      </c>
      <c r="BHO101" t="s">
        <v>455</v>
      </c>
      <c r="BHP101" t="s">
        <v>455</v>
      </c>
      <c r="BHQ101" t="s">
        <v>455</v>
      </c>
      <c r="BHR101" t="s">
        <v>455</v>
      </c>
      <c r="BHS101" t="s">
        <v>455</v>
      </c>
      <c r="BHT101" t="s">
        <v>455</v>
      </c>
      <c r="BHU101" t="s">
        <v>455</v>
      </c>
      <c r="BHV101" t="s">
        <v>455</v>
      </c>
      <c r="BHW101" t="s">
        <v>455</v>
      </c>
      <c r="BHX101" t="s">
        <v>455</v>
      </c>
      <c r="BHY101" t="s">
        <v>455</v>
      </c>
      <c r="BHZ101" t="s">
        <v>455</v>
      </c>
      <c r="BIA101" t="s">
        <v>455</v>
      </c>
      <c r="BIB101" t="s">
        <v>455</v>
      </c>
      <c r="BIC101" t="s">
        <v>455</v>
      </c>
      <c r="BID101" t="s">
        <v>455</v>
      </c>
      <c r="BIE101" t="s">
        <v>455</v>
      </c>
      <c r="BIF101" t="s">
        <v>455</v>
      </c>
      <c r="BIG101" t="s">
        <v>455</v>
      </c>
      <c r="BIH101" t="s">
        <v>455</v>
      </c>
      <c r="BII101" t="s">
        <v>455</v>
      </c>
      <c r="BIJ101" t="s">
        <v>455</v>
      </c>
      <c r="BIK101" t="s">
        <v>455</v>
      </c>
      <c r="BIL101" t="s">
        <v>455</v>
      </c>
      <c r="BIM101" t="s">
        <v>455</v>
      </c>
      <c r="BIN101" t="s">
        <v>455</v>
      </c>
      <c r="BIO101" t="s">
        <v>455</v>
      </c>
      <c r="BIP101" t="s">
        <v>455</v>
      </c>
      <c r="BIQ101" t="s">
        <v>455</v>
      </c>
      <c r="BIR101" t="s">
        <v>455</v>
      </c>
      <c r="BIS101" t="s">
        <v>455</v>
      </c>
      <c r="BIT101" t="s">
        <v>455</v>
      </c>
      <c r="BIU101" t="s">
        <v>455</v>
      </c>
      <c r="BIV101" t="s">
        <v>455</v>
      </c>
      <c r="BIW101" t="s">
        <v>455</v>
      </c>
      <c r="BIX101" t="s">
        <v>455</v>
      </c>
      <c r="BIY101" t="s">
        <v>455</v>
      </c>
      <c r="BIZ101" t="s">
        <v>455</v>
      </c>
      <c r="BJA101" t="s">
        <v>455</v>
      </c>
      <c r="BJB101" t="s">
        <v>455</v>
      </c>
      <c r="BJC101" t="s">
        <v>455</v>
      </c>
      <c r="BJD101" t="s">
        <v>455</v>
      </c>
      <c r="BJE101" t="s">
        <v>455</v>
      </c>
      <c r="BJF101" t="s">
        <v>455</v>
      </c>
      <c r="BJG101" t="s">
        <v>455</v>
      </c>
      <c r="BJH101" t="s">
        <v>455</v>
      </c>
      <c r="BJI101" t="s">
        <v>455</v>
      </c>
      <c r="BJJ101" t="s">
        <v>455</v>
      </c>
      <c r="BJK101" t="s">
        <v>455</v>
      </c>
      <c r="BJL101" t="s">
        <v>455</v>
      </c>
      <c r="BJM101" t="s">
        <v>455</v>
      </c>
      <c r="BJN101" t="s">
        <v>455</v>
      </c>
      <c r="BJO101" t="s">
        <v>455</v>
      </c>
      <c r="BJP101" t="s">
        <v>455</v>
      </c>
      <c r="BJQ101" t="s">
        <v>455</v>
      </c>
      <c r="BJR101" t="s">
        <v>455</v>
      </c>
      <c r="BJS101" t="s">
        <v>455</v>
      </c>
      <c r="BJT101" t="s">
        <v>455</v>
      </c>
      <c r="BJU101" t="s">
        <v>455</v>
      </c>
      <c r="BJV101" t="s">
        <v>455</v>
      </c>
      <c r="BJW101" t="s">
        <v>455</v>
      </c>
      <c r="BJX101" t="s">
        <v>455</v>
      </c>
      <c r="BJY101" t="s">
        <v>455</v>
      </c>
      <c r="BJZ101" t="s">
        <v>455</v>
      </c>
      <c r="BKA101" t="s">
        <v>455</v>
      </c>
      <c r="BKB101" t="s">
        <v>455</v>
      </c>
      <c r="BKC101" t="s">
        <v>455</v>
      </c>
      <c r="BKD101" t="s">
        <v>455</v>
      </c>
      <c r="BKE101" t="s">
        <v>455</v>
      </c>
      <c r="BKF101" t="s">
        <v>455</v>
      </c>
      <c r="BKG101" t="s">
        <v>455</v>
      </c>
      <c r="BKH101" t="s">
        <v>455</v>
      </c>
      <c r="BKI101" t="s">
        <v>455</v>
      </c>
      <c r="BKJ101" t="s">
        <v>455</v>
      </c>
      <c r="BKK101" t="s">
        <v>455</v>
      </c>
      <c r="BKL101" t="s">
        <v>455</v>
      </c>
      <c r="BKM101" t="s">
        <v>455</v>
      </c>
      <c r="BKN101" t="s">
        <v>455</v>
      </c>
      <c r="BKO101" t="s">
        <v>455</v>
      </c>
      <c r="BKP101" t="s">
        <v>455</v>
      </c>
      <c r="BKQ101" t="s">
        <v>455</v>
      </c>
      <c r="BKR101" t="s">
        <v>455</v>
      </c>
      <c r="BKS101" t="s">
        <v>455</v>
      </c>
      <c r="BKT101" t="s">
        <v>455</v>
      </c>
      <c r="BKU101" t="s">
        <v>455</v>
      </c>
      <c r="BKV101" t="s">
        <v>455</v>
      </c>
      <c r="BKW101" t="s">
        <v>455</v>
      </c>
      <c r="BKX101" t="s">
        <v>455</v>
      </c>
      <c r="BKY101" t="s">
        <v>455</v>
      </c>
      <c r="BKZ101" t="s">
        <v>455</v>
      </c>
      <c r="BLA101" t="s">
        <v>455</v>
      </c>
      <c r="BLB101" t="s">
        <v>455</v>
      </c>
      <c r="BLC101" t="s">
        <v>455</v>
      </c>
      <c r="BLD101" t="s">
        <v>455</v>
      </c>
      <c r="BLE101" t="s">
        <v>455</v>
      </c>
      <c r="BLF101" t="s">
        <v>455</v>
      </c>
      <c r="BLG101" t="s">
        <v>455</v>
      </c>
      <c r="BLH101" t="s">
        <v>455</v>
      </c>
      <c r="BLI101" t="s">
        <v>455</v>
      </c>
      <c r="BLJ101" t="s">
        <v>455</v>
      </c>
      <c r="BLK101" t="s">
        <v>455</v>
      </c>
      <c r="BLL101" t="s">
        <v>455</v>
      </c>
      <c r="BLM101" t="s">
        <v>455</v>
      </c>
      <c r="BLN101" t="s">
        <v>455</v>
      </c>
      <c r="BLO101" t="s">
        <v>455</v>
      </c>
      <c r="BLP101" t="s">
        <v>455</v>
      </c>
      <c r="BLQ101" t="s">
        <v>455</v>
      </c>
      <c r="BLR101" t="s">
        <v>455</v>
      </c>
      <c r="BLS101" t="s">
        <v>455</v>
      </c>
      <c r="BLT101" t="s">
        <v>455</v>
      </c>
      <c r="BLU101" t="s">
        <v>455</v>
      </c>
      <c r="BLV101" t="s">
        <v>455</v>
      </c>
      <c r="BLW101" t="s">
        <v>455</v>
      </c>
      <c r="BLX101" t="s">
        <v>455</v>
      </c>
      <c r="BLY101" t="s">
        <v>455</v>
      </c>
      <c r="BLZ101" t="s">
        <v>455</v>
      </c>
      <c r="BMA101" t="s">
        <v>455</v>
      </c>
      <c r="BMB101" t="s">
        <v>455</v>
      </c>
      <c r="BMC101" t="s">
        <v>455</v>
      </c>
      <c r="BMD101" t="s">
        <v>455</v>
      </c>
      <c r="BME101" t="s">
        <v>455</v>
      </c>
      <c r="BMF101" t="s">
        <v>455</v>
      </c>
      <c r="BMG101" t="s">
        <v>455</v>
      </c>
      <c r="BMH101" t="s">
        <v>455</v>
      </c>
      <c r="BMI101" t="s">
        <v>455</v>
      </c>
      <c r="BMJ101" t="s">
        <v>455</v>
      </c>
      <c r="BMK101" t="s">
        <v>455</v>
      </c>
      <c r="BML101" t="s">
        <v>455</v>
      </c>
      <c r="BMM101" t="s">
        <v>455</v>
      </c>
      <c r="BMN101" t="s">
        <v>455</v>
      </c>
      <c r="BMO101" t="s">
        <v>455</v>
      </c>
      <c r="BMP101" t="s">
        <v>455</v>
      </c>
      <c r="BMQ101" t="s">
        <v>455</v>
      </c>
      <c r="BMR101" t="s">
        <v>455</v>
      </c>
      <c r="BMS101" t="s">
        <v>455</v>
      </c>
      <c r="BMT101" t="s">
        <v>455</v>
      </c>
      <c r="BMU101" t="s">
        <v>455</v>
      </c>
      <c r="BMV101" t="s">
        <v>455</v>
      </c>
      <c r="BMW101" t="s">
        <v>455</v>
      </c>
      <c r="BMX101" t="s">
        <v>455</v>
      </c>
      <c r="BMY101" t="s">
        <v>455</v>
      </c>
      <c r="BMZ101" t="s">
        <v>455</v>
      </c>
      <c r="BNA101" t="s">
        <v>455</v>
      </c>
      <c r="BNB101" t="s">
        <v>455</v>
      </c>
      <c r="BNC101" t="s">
        <v>455</v>
      </c>
      <c r="BND101" t="s">
        <v>455</v>
      </c>
      <c r="BNE101" t="s">
        <v>455</v>
      </c>
      <c r="BNF101" t="s">
        <v>455</v>
      </c>
      <c r="BNG101" t="s">
        <v>455</v>
      </c>
      <c r="BNH101" t="s">
        <v>455</v>
      </c>
      <c r="BNI101" t="s">
        <v>455</v>
      </c>
      <c r="BNJ101" t="s">
        <v>455</v>
      </c>
      <c r="BNK101" t="s">
        <v>455</v>
      </c>
      <c r="BNL101" t="s">
        <v>455</v>
      </c>
      <c r="BNM101" t="s">
        <v>455</v>
      </c>
      <c r="BNN101" t="s">
        <v>455</v>
      </c>
      <c r="BNO101" t="s">
        <v>455</v>
      </c>
      <c r="BNP101" t="s">
        <v>455</v>
      </c>
      <c r="BNQ101" t="s">
        <v>455</v>
      </c>
      <c r="BNR101" t="s">
        <v>455</v>
      </c>
      <c r="BNS101" t="s">
        <v>455</v>
      </c>
      <c r="BNT101" t="s">
        <v>455</v>
      </c>
      <c r="BNU101" t="s">
        <v>455</v>
      </c>
      <c r="BNV101" t="s">
        <v>455</v>
      </c>
      <c r="BNW101" t="s">
        <v>455</v>
      </c>
      <c r="BNX101" t="s">
        <v>455</v>
      </c>
      <c r="BNY101" t="s">
        <v>455</v>
      </c>
      <c r="BNZ101" t="s">
        <v>455</v>
      </c>
      <c r="BOA101" t="s">
        <v>455</v>
      </c>
      <c r="BOB101" t="s">
        <v>455</v>
      </c>
      <c r="BOC101" t="s">
        <v>455</v>
      </c>
      <c r="BOD101" t="s">
        <v>455</v>
      </c>
      <c r="BOE101" t="s">
        <v>455</v>
      </c>
      <c r="BOF101" t="s">
        <v>455</v>
      </c>
      <c r="BOG101" t="s">
        <v>455</v>
      </c>
      <c r="BOH101" t="s">
        <v>455</v>
      </c>
      <c r="BOI101" t="s">
        <v>455</v>
      </c>
      <c r="BOJ101" t="s">
        <v>455</v>
      </c>
      <c r="BOK101" t="s">
        <v>455</v>
      </c>
      <c r="BOL101" t="s">
        <v>455</v>
      </c>
      <c r="BOM101" t="s">
        <v>455</v>
      </c>
      <c r="BON101" t="s">
        <v>455</v>
      </c>
      <c r="BOO101" t="s">
        <v>455</v>
      </c>
      <c r="BOP101" t="s">
        <v>455</v>
      </c>
      <c r="BOQ101" t="s">
        <v>455</v>
      </c>
      <c r="BOR101" t="s">
        <v>455</v>
      </c>
      <c r="BOS101" t="s">
        <v>455</v>
      </c>
      <c r="BOT101" t="s">
        <v>455</v>
      </c>
      <c r="BOU101" t="s">
        <v>455</v>
      </c>
      <c r="BOV101" t="s">
        <v>455</v>
      </c>
      <c r="BOW101" t="s">
        <v>455</v>
      </c>
      <c r="BOX101" t="s">
        <v>455</v>
      </c>
      <c r="BOY101" t="s">
        <v>455</v>
      </c>
      <c r="BOZ101" t="s">
        <v>455</v>
      </c>
      <c r="BPA101" t="s">
        <v>455</v>
      </c>
      <c r="BPB101" t="s">
        <v>455</v>
      </c>
      <c r="BPC101" t="s">
        <v>455</v>
      </c>
      <c r="BPD101" t="s">
        <v>455</v>
      </c>
      <c r="BPE101" t="s">
        <v>455</v>
      </c>
      <c r="BPF101" t="s">
        <v>455</v>
      </c>
      <c r="BPG101" t="s">
        <v>455</v>
      </c>
      <c r="BPH101" t="s">
        <v>455</v>
      </c>
      <c r="BPI101" t="s">
        <v>455</v>
      </c>
      <c r="BPJ101" t="s">
        <v>455</v>
      </c>
      <c r="BPK101" t="s">
        <v>455</v>
      </c>
      <c r="BPL101" t="s">
        <v>455</v>
      </c>
      <c r="BPM101" t="s">
        <v>455</v>
      </c>
      <c r="BPN101" t="s">
        <v>455</v>
      </c>
      <c r="BPO101" t="s">
        <v>455</v>
      </c>
      <c r="BPP101" t="s">
        <v>455</v>
      </c>
      <c r="BPQ101" t="s">
        <v>455</v>
      </c>
      <c r="BPR101" t="s">
        <v>455</v>
      </c>
      <c r="BPS101" t="s">
        <v>455</v>
      </c>
      <c r="BPT101" t="s">
        <v>455</v>
      </c>
      <c r="BPU101" t="s">
        <v>455</v>
      </c>
      <c r="BPV101" t="s">
        <v>455</v>
      </c>
      <c r="BPW101" t="s">
        <v>455</v>
      </c>
      <c r="BPX101" t="s">
        <v>455</v>
      </c>
      <c r="BPY101" t="s">
        <v>455</v>
      </c>
      <c r="BPZ101" t="s">
        <v>455</v>
      </c>
      <c r="BQA101" t="s">
        <v>455</v>
      </c>
      <c r="BQB101" t="s">
        <v>455</v>
      </c>
      <c r="BQC101" t="s">
        <v>455</v>
      </c>
      <c r="BQD101" t="s">
        <v>455</v>
      </c>
      <c r="BQE101" t="s">
        <v>455</v>
      </c>
      <c r="BQF101" t="s">
        <v>455</v>
      </c>
      <c r="BQG101" t="s">
        <v>455</v>
      </c>
      <c r="BQH101" t="s">
        <v>455</v>
      </c>
      <c r="BQI101" t="s">
        <v>455</v>
      </c>
      <c r="BQJ101" t="s">
        <v>455</v>
      </c>
      <c r="BQK101" t="s">
        <v>455</v>
      </c>
      <c r="BQL101" t="s">
        <v>455</v>
      </c>
      <c r="BQM101" t="s">
        <v>455</v>
      </c>
      <c r="BQN101" t="s">
        <v>455</v>
      </c>
      <c r="BQO101" t="s">
        <v>455</v>
      </c>
      <c r="BQP101" t="s">
        <v>455</v>
      </c>
      <c r="BQQ101" t="s">
        <v>455</v>
      </c>
      <c r="BQR101" t="s">
        <v>455</v>
      </c>
      <c r="BQS101" t="s">
        <v>455</v>
      </c>
      <c r="BQT101" t="s">
        <v>455</v>
      </c>
      <c r="BQU101" t="s">
        <v>455</v>
      </c>
      <c r="BQV101" t="s">
        <v>455</v>
      </c>
      <c r="BQW101" t="s">
        <v>455</v>
      </c>
      <c r="BQX101" t="s">
        <v>455</v>
      </c>
      <c r="BQY101" t="s">
        <v>455</v>
      </c>
      <c r="BQZ101" t="s">
        <v>455</v>
      </c>
      <c r="BRA101" t="s">
        <v>455</v>
      </c>
      <c r="BRB101" t="s">
        <v>455</v>
      </c>
      <c r="BRC101" t="s">
        <v>455</v>
      </c>
      <c r="BRD101" t="s">
        <v>455</v>
      </c>
      <c r="BRE101" t="s">
        <v>455</v>
      </c>
      <c r="BRF101" t="s">
        <v>455</v>
      </c>
      <c r="BRG101" t="s">
        <v>455</v>
      </c>
      <c r="BRH101" t="s">
        <v>455</v>
      </c>
      <c r="BRI101" t="s">
        <v>455</v>
      </c>
      <c r="BRJ101" t="s">
        <v>455</v>
      </c>
      <c r="BRK101" t="s">
        <v>455</v>
      </c>
      <c r="BRL101" t="s">
        <v>455</v>
      </c>
      <c r="BRM101" t="s">
        <v>455</v>
      </c>
      <c r="BRN101" t="s">
        <v>455</v>
      </c>
      <c r="BRO101" t="s">
        <v>455</v>
      </c>
      <c r="BRP101" t="s">
        <v>455</v>
      </c>
      <c r="BRQ101" t="s">
        <v>455</v>
      </c>
      <c r="BRR101" t="s">
        <v>455</v>
      </c>
      <c r="BRS101" t="s">
        <v>455</v>
      </c>
      <c r="BRT101" t="s">
        <v>455</v>
      </c>
      <c r="BRU101" t="s">
        <v>455</v>
      </c>
      <c r="BRV101" t="s">
        <v>455</v>
      </c>
      <c r="BRW101" t="s">
        <v>455</v>
      </c>
      <c r="BRX101" t="s">
        <v>455</v>
      </c>
      <c r="BRY101" t="s">
        <v>455</v>
      </c>
      <c r="BRZ101" t="s">
        <v>455</v>
      </c>
      <c r="BSA101" t="s">
        <v>455</v>
      </c>
      <c r="BSB101" t="s">
        <v>455</v>
      </c>
      <c r="BSC101" t="s">
        <v>455</v>
      </c>
      <c r="BSD101" t="s">
        <v>455</v>
      </c>
      <c r="BSE101" t="s">
        <v>455</v>
      </c>
      <c r="BSF101" t="s">
        <v>455</v>
      </c>
      <c r="BSG101" t="s">
        <v>455</v>
      </c>
      <c r="BSH101" t="s">
        <v>455</v>
      </c>
      <c r="BSI101" t="s">
        <v>455</v>
      </c>
      <c r="BSJ101" t="s">
        <v>455</v>
      </c>
      <c r="BSK101" t="s">
        <v>455</v>
      </c>
      <c r="BSL101" t="s">
        <v>455</v>
      </c>
      <c r="BSM101" t="s">
        <v>455</v>
      </c>
      <c r="BSN101" t="s">
        <v>455</v>
      </c>
      <c r="BSO101" t="s">
        <v>455</v>
      </c>
      <c r="BSP101" t="s">
        <v>455</v>
      </c>
      <c r="BSQ101" t="s">
        <v>455</v>
      </c>
      <c r="BSR101" t="s">
        <v>455</v>
      </c>
      <c r="BSS101" t="s">
        <v>455</v>
      </c>
      <c r="BST101" t="s">
        <v>455</v>
      </c>
      <c r="BSU101" t="s">
        <v>455</v>
      </c>
      <c r="BSV101" t="s">
        <v>455</v>
      </c>
      <c r="BSW101" t="s">
        <v>455</v>
      </c>
      <c r="BSX101" t="s">
        <v>455</v>
      </c>
      <c r="BSY101" t="s">
        <v>455</v>
      </c>
      <c r="BSZ101" t="s">
        <v>455</v>
      </c>
      <c r="BTA101" t="s">
        <v>455</v>
      </c>
      <c r="BTB101" t="s">
        <v>455</v>
      </c>
      <c r="BTC101" t="s">
        <v>455</v>
      </c>
      <c r="BTD101" t="s">
        <v>455</v>
      </c>
      <c r="BTE101" t="s">
        <v>455</v>
      </c>
      <c r="BTF101" t="s">
        <v>455</v>
      </c>
      <c r="BTG101" t="s">
        <v>455</v>
      </c>
      <c r="BTH101" t="s">
        <v>455</v>
      </c>
      <c r="BTI101" t="s">
        <v>455</v>
      </c>
      <c r="BTJ101" t="s">
        <v>455</v>
      </c>
      <c r="BTK101" t="s">
        <v>455</v>
      </c>
      <c r="BTL101" t="s">
        <v>455</v>
      </c>
      <c r="BTM101" t="s">
        <v>455</v>
      </c>
      <c r="BTN101" t="s">
        <v>455</v>
      </c>
      <c r="BTO101" t="s">
        <v>455</v>
      </c>
      <c r="BTP101" t="s">
        <v>455</v>
      </c>
      <c r="BTQ101" t="s">
        <v>455</v>
      </c>
      <c r="BTR101" t="s">
        <v>455</v>
      </c>
      <c r="BTS101" t="s">
        <v>455</v>
      </c>
      <c r="BTT101" t="s">
        <v>455</v>
      </c>
      <c r="BTU101" t="s">
        <v>455</v>
      </c>
      <c r="BTV101" t="s">
        <v>455</v>
      </c>
      <c r="BTW101" t="s">
        <v>455</v>
      </c>
      <c r="BTX101" t="s">
        <v>455</v>
      </c>
      <c r="BTY101" t="s">
        <v>455</v>
      </c>
      <c r="BTZ101" t="s">
        <v>455</v>
      </c>
      <c r="BUA101" t="s">
        <v>455</v>
      </c>
      <c r="BUB101" t="s">
        <v>455</v>
      </c>
      <c r="BUC101" t="s">
        <v>455</v>
      </c>
      <c r="BUD101" t="s">
        <v>455</v>
      </c>
      <c r="BUE101" t="s">
        <v>455</v>
      </c>
      <c r="BUF101" t="s">
        <v>455</v>
      </c>
      <c r="BUG101" t="s">
        <v>455</v>
      </c>
      <c r="BUH101" t="s">
        <v>455</v>
      </c>
      <c r="BUI101" t="s">
        <v>455</v>
      </c>
      <c r="BUJ101" t="s">
        <v>455</v>
      </c>
      <c r="BUK101" t="s">
        <v>455</v>
      </c>
      <c r="BUL101" t="s">
        <v>455</v>
      </c>
      <c r="BUM101" t="s">
        <v>455</v>
      </c>
      <c r="BUN101" t="s">
        <v>455</v>
      </c>
      <c r="BUO101" t="s">
        <v>455</v>
      </c>
      <c r="BUP101" t="s">
        <v>455</v>
      </c>
      <c r="BUQ101" t="s">
        <v>455</v>
      </c>
      <c r="BUR101" t="s">
        <v>455</v>
      </c>
      <c r="BUS101" t="s">
        <v>455</v>
      </c>
      <c r="BUT101" t="s">
        <v>455</v>
      </c>
      <c r="BUU101" t="s">
        <v>455</v>
      </c>
      <c r="BUV101" t="s">
        <v>455</v>
      </c>
      <c r="BUW101" t="s">
        <v>455</v>
      </c>
      <c r="BUX101" t="s">
        <v>455</v>
      </c>
      <c r="BUY101" t="s">
        <v>455</v>
      </c>
      <c r="BUZ101" t="s">
        <v>455</v>
      </c>
      <c r="BVA101" t="s">
        <v>455</v>
      </c>
      <c r="BVB101" t="s">
        <v>455</v>
      </c>
      <c r="BVC101" t="s">
        <v>455</v>
      </c>
      <c r="BVD101" t="s">
        <v>455</v>
      </c>
      <c r="BVE101" t="s">
        <v>455</v>
      </c>
      <c r="BVF101" t="s">
        <v>455</v>
      </c>
      <c r="BVG101" t="s">
        <v>455</v>
      </c>
      <c r="BVH101" t="s">
        <v>455</v>
      </c>
      <c r="BVI101" t="s">
        <v>455</v>
      </c>
      <c r="BVJ101" t="s">
        <v>455</v>
      </c>
      <c r="BVK101" t="s">
        <v>455</v>
      </c>
      <c r="BVL101" t="s">
        <v>455</v>
      </c>
      <c r="BVM101" t="s">
        <v>455</v>
      </c>
      <c r="BVN101" t="s">
        <v>455</v>
      </c>
      <c r="BVO101" t="s">
        <v>455</v>
      </c>
      <c r="BVP101" t="s">
        <v>455</v>
      </c>
      <c r="BVQ101" t="s">
        <v>455</v>
      </c>
      <c r="BVR101" t="s">
        <v>455</v>
      </c>
      <c r="BVS101" t="s">
        <v>455</v>
      </c>
      <c r="BVT101" t="s">
        <v>455</v>
      </c>
      <c r="BVU101" t="s">
        <v>455</v>
      </c>
      <c r="BVV101" t="s">
        <v>455</v>
      </c>
      <c r="BVW101" t="s">
        <v>455</v>
      </c>
      <c r="BVX101" t="s">
        <v>455</v>
      </c>
      <c r="BVY101" t="s">
        <v>455</v>
      </c>
      <c r="BVZ101" t="s">
        <v>455</v>
      </c>
      <c r="BWA101" t="s">
        <v>455</v>
      </c>
      <c r="BWB101" t="s">
        <v>455</v>
      </c>
      <c r="BWC101" t="s">
        <v>455</v>
      </c>
      <c r="BWD101" t="s">
        <v>455</v>
      </c>
      <c r="BWE101" t="s">
        <v>455</v>
      </c>
      <c r="BWF101" t="s">
        <v>455</v>
      </c>
      <c r="BWG101" t="s">
        <v>455</v>
      </c>
      <c r="BWH101" t="s">
        <v>455</v>
      </c>
      <c r="BWI101" t="s">
        <v>455</v>
      </c>
      <c r="BWJ101" t="s">
        <v>455</v>
      </c>
      <c r="BWK101" t="s">
        <v>455</v>
      </c>
      <c r="BWL101" t="s">
        <v>455</v>
      </c>
      <c r="BWM101" t="s">
        <v>455</v>
      </c>
      <c r="BWN101" t="s">
        <v>455</v>
      </c>
      <c r="BWO101" t="s">
        <v>455</v>
      </c>
      <c r="BWP101" t="s">
        <v>455</v>
      </c>
      <c r="BWQ101" t="s">
        <v>455</v>
      </c>
      <c r="BWR101" t="s">
        <v>455</v>
      </c>
      <c r="BWS101" t="s">
        <v>455</v>
      </c>
      <c r="BWT101" t="s">
        <v>455</v>
      </c>
      <c r="BWU101" t="s">
        <v>455</v>
      </c>
      <c r="BWV101" t="s">
        <v>455</v>
      </c>
      <c r="BWW101" t="s">
        <v>455</v>
      </c>
      <c r="BWX101" t="s">
        <v>455</v>
      </c>
      <c r="BWY101" t="s">
        <v>455</v>
      </c>
      <c r="BWZ101" t="s">
        <v>455</v>
      </c>
      <c r="BXA101" t="s">
        <v>455</v>
      </c>
      <c r="BXB101" t="s">
        <v>455</v>
      </c>
      <c r="BXC101" t="s">
        <v>455</v>
      </c>
      <c r="BXD101" t="s">
        <v>455</v>
      </c>
      <c r="BXE101" t="s">
        <v>455</v>
      </c>
      <c r="BXF101" t="s">
        <v>455</v>
      </c>
      <c r="BXG101" t="s">
        <v>455</v>
      </c>
      <c r="BXH101" t="s">
        <v>455</v>
      </c>
      <c r="BXI101" t="s">
        <v>455</v>
      </c>
      <c r="BXJ101" t="s">
        <v>455</v>
      </c>
      <c r="BXK101" t="s">
        <v>455</v>
      </c>
      <c r="BXL101" t="s">
        <v>455</v>
      </c>
      <c r="BXM101" t="s">
        <v>455</v>
      </c>
      <c r="BXN101" t="s">
        <v>455</v>
      </c>
      <c r="BXO101" t="s">
        <v>455</v>
      </c>
      <c r="BXP101" t="s">
        <v>455</v>
      </c>
      <c r="BXQ101" t="s">
        <v>455</v>
      </c>
      <c r="BXR101" t="s">
        <v>455</v>
      </c>
      <c r="BXS101" t="s">
        <v>455</v>
      </c>
      <c r="BXT101" t="s">
        <v>455</v>
      </c>
      <c r="BXU101" t="s">
        <v>455</v>
      </c>
      <c r="BXV101" t="s">
        <v>455</v>
      </c>
      <c r="BXW101" t="s">
        <v>455</v>
      </c>
      <c r="BXX101" t="s">
        <v>455</v>
      </c>
      <c r="BXY101" t="s">
        <v>455</v>
      </c>
      <c r="BXZ101" t="s">
        <v>455</v>
      </c>
      <c r="BYA101" t="s">
        <v>455</v>
      </c>
      <c r="BYB101" t="s">
        <v>455</v>
      </c>
      <c r="BYC101" t="s">
        <v>455</v>
      </c>
      <c r="BYD101" t="s">
        <v>455</v>
      </c>
      <c r="BYE101" t="s">
        <v>455</v>
      </c>
      <c r="BYF101" t="s">
        <v>455</v>
      </c>
      <c r="BYG101" t="s">
        <v>455</v>
      </c>
      <c r="BYH101" t="s">
        <v>455</v>
      </c>
      <c r="BYI101" t="s">
        <v>455</v>
      </c>
      <c r="BYJ101" t="s">
        <v>455</v>
      </c>
      <c r="BYK101" t="s">
        <v>455</v>
      </c>
      <c r="BYL101" t="s">
        <v>455</v>
      </c>
      <c r="BYM101" t="s">
        <v>455</v>
      </c>
      <c r="BYN101" t="s">
        <v>455</v>
      </c>
      <c r="BYO101" t="s">
        <v>455</v>
      </c>
      <c r="BYP101" t="s">
        <v>455</v>
      </c>
      <c r="BYQ101" t="s">
        <v>455</v>
      </c>
      <c r="BYR101" t="s">
        <v>455</v>
      </c>
      <c r="BYS101" t="s">
        <v>455</v>
      </c>
      <c r="BYT101" t="s">
        <v>455</v>
      </c>
      <c r="BYU101" t="s">
        <v>455</v>
      </c>
      <c r="BYV101" t="s">
        <v>455</v>
      </c>
      <c r="BYW101" t="s">
        <v>455</v>
      </c>
      <c r="BYX101" t="s">
        <v>455</v>
      </c>
      <c r="BYY101" t="s">
        <v>455</v>
      </c>
      <c r="BYZ101" t="s">
        <v>455</v>
      </c>
      <c r="BZA101" t="s">
        <v>455</v>
      </c>
      <c r="BZB101" t="s">
        <v>455</v>
      </c>
      <c r="BZC101" t="s">
        <v>455</v>
      </c>
      <c r="BZD101" t="s">
        <v>455</v>
      </c>
      <c r="BZE101" t="s">
        <v>455</v>
      </c>
      <c r="BZF101" t="s">
        <v>455</v>
      </c>
      <c r="BZG101" t="s">
        <v>455</v>
      </c>
      <c r="BZH101" t="s">
        <v>455</v>
      </c>
      <c r="BZI101" t="s">
        <v>455</v>
      </c>
      <c r="BZJ101" t="s">
        <v>455</v>
      </c>
      <c r="BZK101" t="s">
        <v>455</v>
      </c>
      <c r="BZL101" t="s">
        <v>455</v>
      </c>
      <c r="BZM101" t="s">
        <v>455</v>
      </c>
      <c r="BZN101" t="s">
        <v>455</v>
      </c>
      <c r="BZO101" t="s">
        <v>455</v>
      </c>
      <c r="BZP101" t="s">
        <v>455</v>
      </c>
      <c r="BZQ101" t="s">
        <v>455</v>
      </c>
      <c r="BZR101" t="s">
        <v>455</v>
      </c>
      <c r="BZS101" t="s">
        <v>455</v>
      </c>
      <c r="BZT101" t="s">
        <v>455</v>
      </c>
      <c r="BZU101" t="s">
        <v>455</v>
      </c>
      <c r="BZV101" t="s">
        <v>455</v>
      </c>
      <c r="BZW101" t="s">
        <v>455</v>
      </c>
      <c r="BZX101" t="s">
        <v>455</v>
      </c>
      <c r="BZY101" t="s">
        <v>455</v>
      </c>
      <c r="BZZ101" t="s">
        <v>455</v>
      </c>
      <c r="CAA101" t="s">
        <v>455</v>
      </c>
      <c r="CAB101" t="s">
        <v>455</v>
      </c>
      <c r="CAC101" t="s">
        <v>455</v>
      </c>
      <c r="CAD101" t="s">
        <v>455</v>
      </c>
      <c r="CAE101" t="s">
        <v>455</v>
      </c>
      <c r="CAF101" t="s">
        <v>455</v>
      </c>
      <c r="CAG101" t="s">
        <v>455</v>
      </c>
      <c r="CAH101" t="s">
        <v>455</v>
      </c>
      <c r="CAI101" t="s">
        <v>455</v>
      </c>
      <c r="CAJ101" t="s">
        <v>455</v>
      </c>
      <c r="CAK101" t="s">
        <v>455</v>
      </c>
      <c r="CAL101" t="s">
        <v>455</v>
      </c>
      <c r="CAM101" t="s">
        <v>455</v>
      </c>
      <c r="CAN101" t="s">
        <v>455</v>
      </c>
      <c r="CAO101" t="s">
        <v>455</v>
      </c>
      <c r="CAP101" t="s">
        <v>455</v>
      </c>
      <c r="CAQ101" t="s">
        <v>455</v>
      </c>
      <c r="CAR101" t="s">
        <v>455</v>
      </c>
      <c r="CAS101" t="s">
        <v>455</v>
      </c>
      <c r="CAT101" t="s">
        <v>455</v>
      </c>
      <c r="CAU101" t="s">
        <v>455</v>
      </c>
      <c r="CAV101" t="s">
        <v>455</v>
      </c>
      <c r="CAW101" t="s">
        <v>455</v>
      </c>
      <c r="CAX101" t="s">
        <v>455</v>
      </c>
      <c r="CAY101" t="s">
        <v>455</v>
      </c>
      <c r="CAZ101" t="s">
        <v>455</v>
      </c>
      <c r="CBA101" t="s">
        <v>455</v>
      </c>
      <c r="CBB101" t="s">
        <v>455</v>
      </c>
      <c r="CBC101" t="s">
        <v>455</v>
      </c>
      <c r="CBD101" t="s">
        <v>455</v>
      </c>
      <c r="CBE101" t="s">
        <v>455</v>
      </c>
      <c r="CBF101" t="s">
        <v>455</v>
      </c>
      <c r="CBG101" t="s">
        <v>455</v>
      </c>
      <c r="CBH101" t="s">
        <v>455</v>
      </c>
      <c r="CBI101" t="s">
        <v>455</v>
      </c>
      <c r="CBJ101" t="s">
        <v>455</v>
      </c>
      <c r="CBK101" t="s">
        <v>455</v>
      </c>
      <c r="CBL101" t="s">
        <v>455</v>
      </c>
      <c r="CBM101" t="s">
        <v>455</v>
      </c>
      <c r="CBN101" t="s">
        <v>455</v>
      </c>
      <c r="CBO101" t="s">
        <v>455</v>
      </c>
      <c r="CBP101" t="s">
        <v>455</v>
      </c>
      <c r="CBQ101" t="s">
        <v>455</v>
      </c>
      <c r="CBR101" t="s">
        <v>455</v>
      </c>
      <c r="CBS101" t="s">
        <v>455</v>
      </c>
      <c r="CBT101" t="s">
        <v>455</v>
      </c>
      <c r="CBU101" t="s">
        <v>455</v>
      </c>
      <c r="CBV101" t="s">
        <v>455</v>
      </c>
      <c r="CBW101" t="s">
        <v>455</v>
      </c>
      <c r="CBX101" t="s">
        <v>455</v>
      </c>
      <c r="CBY101" t="s">
        <v>455</v>
      </c>
      <c r="CBZ101" t="s">
        <v>455</v>
      </c>
      <c r="CCA101" t="s">
        <v>455</v>
      </c>
      <c r="CCB101" t="s">
        <v>455</v>
      </c>
      <c r="CCC101" t="s">
        <v>455</v>
      </c>
      <c r="CCD101" t="s">
        <v>455</v>
      </c>
      <c r="CCE101" t="s">
        <v>455</v>
      </c>
      <c r="CCF101" t="s">
        <v>455</v>
      </c>
      <c r="CCG101" t="s">
        <v>455</v>
      </c>
      <c r="CCH101" t="s">
        <v>455</v>
      </c>
      <c r="CCI101" t="s">
        <v>455</v>
      </c>
      <c r="CCJ101" t="s">
        <v>455</v>
      </c>
      <c r="CCK101" t="s">
        <v>455</v>
      </c>
      <c r="CCL101" t="s">
        <v>455</v>
      </c>
      <c r="CCM101" t="s">
        <v>455</v>
      </c>
      <c r="CCN101" t="s">
        <v>455</v>
      </c>
      <c r="CCO101" t="s">
        <v>455</v>
      </c>
      <c r="CCP101" t="s">
        <v>455</v>
      </c>
      <c r="CCQ101" t="s">
        <v>455</v>
      </c>
      <c r="CCR101" t="s">
        <v>455</v>
      </c>
      <c r="CCS101" t="s">
        <v>455</v>
      </c>
      <c r="CCT101" t="s">
        <v>455</v>
      </c>
      <c r="CCU101" t="s">
        <v>455</v>
      </c>
      <c r="CCV101" t="s">
        <v>455</v>
      </c>
      <c r="CCW101" t="s">
        <v>455</v>
      </c>
      <c r="CCX101" t="s">
        <v>455</v>
      </c>
      <c r="CCY101" t="s">
        <v>455</v>
      </c>
      <c r="CCZ101" t="s">
        <v>455</v>
      </c>
      <c r="CDA101" t="s">
        <v>455</v>
      </c>
      <c r="CDB101" t="s">
        <v>455</v>
      </c>
      <c r="CDC101" t="s">
        <v>455</v>
      </c>
      <c r="CDD101" t="s">
        <v>455</v>
      </c>
      <c r="CDE101" t="s">
        <v>455</v>
      </c>
      <c r="CDF101" t="s">
        <v>455</v>
      </c>
      <c r="CDG101" t="s">
        <v>455</v>
      </c>
      <c r="CDH101" t="s">
        <v>455</v>
      </c>
      <c r="CDI101" t="s">
        <v>455</v>
      </c>
      <c r="CDJ101" t="s">
        <v>455</v>
      </c>
      <c r="CDK101" t="s">
        <v>455</v>
      </c>
      <c r="CDL101" t="s">
        <v>455</v>
      </c>
      <c r="CDM101" t="s">
        <v>455</v>
      </c>
      <c r="CDN101" t="s">
        <v>455</v>
      </c>
      <c r="CDO101" t="s">
        <v>455</v>
      </c>
      <c r="CDP101" t="s">
        <v>455</v>
      </c>
      <c r="CDQ101" t="s">
        <v>455</v>
      </c>
      <c r="CDR101" t="s">
        <v>455</v>
      </c>
      <c r="CDS101" t="s">
        <v>455</v>
      </c>
      <c r="CDT101" t="s">
        <v>455</v>
      </c>
      <c r="CDU101" t="s">
        <v>455</v>
      </c>
      <c r="CDV101" t="s">
        <v>455</v>
      </c>
      <c r="CDW101" t="s">
        <v>455</v>
      </c>
      <c r="CDX101" t="s">
        <v>455</v>
      </c>
      <c r="CDY101" t="s">
        <v>455</v>
      </c>
      <c r="CDZ101" t="s">
        <v>455</v>
      </c>
      <c r="CEA101" t="s">
        <v>455</v>
      </c>
      <c r="CEB101" t="s">
        <v>455</v>
      </c>
      <c r="CEC101" t="s">
        <v>455</v>
      </c>
      <c r="CED101" t="s">
        <v>455</v>
      </c>
      <c r="CEE101" t="s">
        <v>455</v>
      </c>
      <c r="CEF101" t="s">
        <v>455</v>
      </c>
      <c r="CEG101" t="s">
        <v>455</v>
      </c>
      <c r="CEH101" t="s">
        <v>455</v>
      </c>
      <c r="CEI101" t="s">
        <v>455</v>
      </c>
      <c r="CEJ101" t="s">
        <v>455</v>
      </c>
      <c r="CEK101" t="s">
        <v>455</v>
      </c>
      <c r="CEL101" t="s">
        <v>455</v>
      </c>
      <c r="CEM101" t="s">
        <v>455</v>
      </c>
      <c r="CEN101" t="s">
        <v>455</v>
      </c>
      <c r="CEO101" t="s">
        <v>455</v>
      </c>
      <c r="CEP101" t="s">
        <v>455</v>
      </c>
      <c r="CEQ101" t="s">
        <v>455</v>
      </c>
      <c r="CER101" t="s">
        <v>455</v>
      </c>
      <c r="CES101" t="s">
        <v>455</v>
      </c>
      <c r="CET101" t="s">
        <v>455</v>
      </c>
      <c r="CEU101" t="s">
        <v>455</v>
      </c>
      <c r="CEV101" t="s">
        <v>455</v>
      </c>
      <c r="CEW101" t="s">
        <v>455</v>
      </c>
      <c r="CEX101" t="s">
        <v>455</v>
      </c>
      <c r="CEY101" t="s">
        <v>455</v>
      </c>
      <c r="CEZ101" t="s">
        <v>455</v>
      </c>
      <c r="CFA101" t="s">
        <v>455</v>
      </c>
      <c r="CFB101" t="s">
        <v>455</v>
      </c>
      <c r="CFC101" t="s">
        <v>455</v>
      </c>
      <c r="CFD101" t="s">
        <v>455</v>
      </c>
      <c r="CFE101" t="s">
        <v>455</v>
      </c>
      <c r="CFF101" t="s">
        <v>455</v>
      </c>
      <c r="CFG101" t="s">
        <v>455</v>
      </c>
      <c r="CFH101" t="s">
        <v>455</v>
      </c>
      <c r="CFI101" t="s">
        <v>455</v>
      </c>
      <c r="CFJ101" t="s">
        <v>455</v>
      </c>
      <c r="CFK101" t="s">
        <v>455</v>
      </c>
      <c r="CFL101" t="s">
        <v>455</v>
      </c>
      <c r="CFM101" t="s">
        <v>455</v>
      </c>
      <c r="CFN101" t="s">
        <v>455</v>
      </c>
      <c r="CFO101" t="s">
        <v>455</v>
      </c>
      <c r="CFP101" t="s">
        <v>455</v>
      </c>
      <c r="CFQ101" t="s">
        <v>455</v>
      </c>
      <c r="CFR101" t="s">
        <v>455</v>
      </c>
      <c r="CFS101" t="s">
        <v>455</v>
      </c>
      <c r="CFT101" t="s">
        <v>455</v>
      </c>
      <c r="CFU101" t="s">
        <v>455</v>
      </c>
      <c r="CFV101" t="s">
        <v>455</v>
      </c>
      <c r="CFW101" t="s">
        <v>455</v>
      </c>
      <c r="CFX101" t="s">
        <v>455</v>
      </c>
      <c r="CFY101" t="s">
        <v>455</v>
      </c>
      <c r="CFZ101" t="s">
        <v>455</v>
      </c>
      <c r="CGA101" t="s">
        <v>455</v>
      </c>
      <c r="CGB101" t="s">
        <v>455</v>
      </c>
      <c r="CGC101" t="s">
        <v>455</v>
      </c>
      <c r="CGD101" t="s">
        <v>455</v>
      </c>
      <c r="CGE101" t="s">
        <v>455</v>
      </c>
      <c r="CGF101" t="s">
        <v>455</v>
      </c>
      <c r="CGG101" t="s">
        <v>455</v>
      </c>
      <c r="CGH101" t="s">
        <v>455</v>
      </c>
      <c r="CGI101" t="s">
        <v>455</v>
      </c>
      <c r="CGJ101" t="s">
        <v>455</v>
      </c>
      <c r="CGK101" t="s">
        <v>455</v>
      </c>
      <c r="CGL101" t="s">
        <v>455</v>
      </c>
      <c r="CGM101" t="s">
        <v>455</v>
      </c>
      <c r="CGN101" t="s">
        <v>455</v>
      </c>
      <c r="CGO101" t="s">
        <v>455</v>
      </c>
      <c r="CGP101" t="s">
        <v>455</v>
      </c>
      <c r="CGQ101" t="s">
        <v>455</v>
      </c>
      <c r="CGR101" t="s">
        <v>455</v>
      </c>
      <c r="CGS101" t="s">
        <v>455</v>
      </c>
      <c r="CGT101" t="s">
        <v>455</v>
      </c>
      <c r="CGU101" t="s">
        <v>455</v>
      </c>
      <c r="CGV101" t="s">
        <v>455</v>
      </c>
      <c r="CGW101" t="s">
        <v>455</v>
      </c>
      <c r="CGX101" t="s">
        <v>455</v>
      </c>
      <c r="CGY101" t="s">
        <v>455</v>
      </c>
      <c r="CGZ101" t="s">
        <v>455</v>
      </c>
      <c r="CHA101" t="s">
        <v>455</v>
      </c>
      <c r="CHB101" t="s">
        <v>455</v>
      </c>
      <c r="CHC101" t="s">
        <v>455</v>
      </c>
      <c r="CHD101" t="s">
        <v>455</v>
      </c>
      <c r="CHE101" t="s">
        <v>455</v>
      </c>
      <c r="CHF101" t="s">
        <v>455</v>
      </c>
      <c r="CHG101" t="s">
        <v>455</v>
      </c>
      <c r="CHH101" t="s">
        <v>455</v>
      </c>
      <c r="CHI101" t="s">
        <v>455</v>
      </c>
      <c r="CHJ101" t="s">
        <v>455</v>
      </c>
      <c r="CHK101" t="s">
        <v>455</v>
      </c>
      <c r="CHL101" t="s">
        <v>455</v>
      </c>
      <c r="CHM101" t="s">
        <v>455</v>
      </c>
      <c r="CHN101" t="s">
        <v>455</v>
      </c>
      <c r="CHO101" t="s">
        <v>455</v>
      </c>
      <c r="CHP101" t="s">
        <v>455</v>
      </c>
      <c r="CHQ101" t="s">
        <v>455</v>
      </c>
      <c r="CHR101" t="s">
        <v>455</v>
      </c>
      <c r="CHS101" t="s">
        <v>455</v>
      </c>
      <c r="CHT101" t="s">
        <v>455</v>
      </c>
      <c r="CHU101" t="s">
        <v>455</v>
      </c>
      <c r="CHV101" t="s">
        <v>455</v>
      </c>
      <c r="CHW101" t="s">
        <v>455</v>
      </c>
      <c r="CHX101" t="s">
        <v>455</v>
      </c>
      <c r="CHY101" t="s">
        <v>455</v>
      </c>
      <c r="CHZ101" t="s">
        <v>455</v>
      </c>
      <c r="CIA101" t="s">
        <v>455</v>
      </c>
      <c r="CIB101" t="s">
        <v>455</v>
      </c>
      <c r="CIC101" t="s">
        <v>455</v>
      </c>
      <c r="CID101" t="s">
        <v>455</v>
      </c>
      <c r="CIE101" t="s">
        <v>455</v>
      </c>
      <c r="CIF101" t="s">
        <v>455</v>
      </c>
      <c r="CIG101" t="s">
        <v>455</v>
      </c>
      <c r="CIH101" t="s">
        <v>455</v>
      </c>
      <c r="CII101" t="s">
        <v>455</v>
      </c>
      <c r="CIJ101" t="s">
        <v>455</v>
      </c>
      <c r="CIK101" t="s">
        <v>455</v>
      </c>
      <c r="CIL101" t="s">
        <v>455</v>
      </c>
      <c r="CIM101" t="s">
        <v>455</v>
      </c>
      <c r="CIN101" t="s">
        <v>455</v>
      </c>
      <c r="CIO101" t="s">
        <v>455</v>
      </c>
      <c r="CIP101" t="s">
        <v>455</v>
      </c>
      <c r="CIQ101" t="s">
        <v>455</v>
      </c>
      <c r="CIR101" t="s">
        <v>455</v>
      </c>
      <c r="CIS101" t="s">
        <v>455</v>
      </c>
      <c r="CIT101" t="s">
        <v>455</v>
      </c>
      <c r="CIU101" t="s">
        <v>455</v>
      </c>
      <c r="CIV101" t="s">
        <v>455</v>
      </c>
      <c r="CIW101" t="s">
        <v>455</v>
      </c>
      <c r="CIX101" t="s">
        <v>455</v>
      </c>
      <c r="CIY101" t="s">
        <v>455</v>
      </c>
      <c r="CIZ101" t="s">
        <v>455</v>
      </c>
      <c r="CJA101" t="s">
        <v>455</v>
      </c>
      <c r="CJB101" t="s">
        <v>455</v>
      </c>
      <c r="CJC101" t="s">
        <v>455</v>
      </c>
      <c r="CJD101" t="s">
        <v>455</v>
      </c>
      <c r="CJE101" t="s">
        <v>455</v>
      </c>
      <c r="CJF101" t="s">
        <v>455</v>
      </c>
      <c r="CJG101" t="s">
        <v>455</v>
      </c>
      <c r="CJH101" t="s">
        <v>455</v>
      </c>
      <c r="CJI101" t="s">
        <v>455</v>
      </c>
      <c r="CJJ101" t="s">
        <v>455</v>
      </c>
      <c r="CJK101" t="s">
        <v>455</v>
      </c>
      <c r="CJL101" t="s">
        <v>455</v>
      </c>
      <c r="CJM101" t="s">
        <v>455</v>
      </c>
      <c r="CJN101" t="s">
        <v>455</v>
      </c>
      <c r="CJO101" t="s">
        <v>455</v>
      </c>
      <c r="CJP101" t="s">
        <v>455</v>
      </c>
      <c r="CJQ101" t="s">
        <v>455</v>
      </c>
      <c r="CJR101" t="s">
        <v>455</v>
      </c>
      <c r="CJS101" t="s">
        <v>455</v>
      </c>
      <c r="CJT101" t="s">
        <v>455</v>
      </c>
      <c r="CJU101" t="s">
        <v>455</v>
      </c>
      <c r="CJV101" t="s">
        <v>455</v>
      </c>
      <c r="CJW101" t="s">
        <v>455</v>
      </c>
      <c r="CJX101" t="s">
        <v>455</v>
      </c>
      <c r="CJY101" t="s">
        <v>455</v>
      </c>
      <c r="CJZ101" t="s">
        <v>455</v>
      </c>
      <c r="CKA101" t="s">
        <v>455</v>
      </c>
      <c r="CKB101" t="s">
        <v>455</v>
      </c>
      <c r="CKC101" t="s">
        <v>455</v>
      </c>
      <c r="CKD101" t="s">
        <v>455</v>
      </c>
      <c r="CKE101" t="s">
        <v>455</v>
      </c>
      <c r="CKF101" t="s">
        <v>455</v>
      </c>
      <c r="CKG101" t="s">
        <v>455</v>
      </c>
      <c r="CKH101" t="s">
        <v>455</v>
      </c>
      <c r="CKI101" t="s">
        <v>455</v>
      </c>
      <c r="CKJ101" t="s">
        <v>455</v>
      </c>
      <c r="CKK101" t="s">
        <v>455</v>
      </c>
      <c r="CKL101" t="s">
        <v>455</v>
      </c>
      <c r="CKM101" t="s">
        <v>455</v>
      </c>
      <c r="CKN101" t="s">
        <v>455</v>
      </c>
      <c r="CKO101" t="s">
        <v>455</v>
      </c>
      <c r="CKP101" t="s">
        <v>455</v>
      </c>
      <c r="CKQ101" t="s">
        <v>455</v>
      </c>
      <c r="CKR101" t="s">
        <v>455</v>
      </c>
      <c r="CKS101" t="s">
        <v>455</v>
      </c>
      <c r="CKT101" t="s">
        <v>455</v>
      </c>
      <c r="CKU101" t="s">
        <v>455</v>
      </c>
      <c r="CKV101" t="s">
        <v>455</v>
      </c>
      <c r="CKW101" t="s">
        <v>455</v>
      </c>
      <c r="CKX101" t="s">
        <v>455</v>
      </c>
      <c r="CKY101" t="s">
        <v>455</v>
      </c>
      <c r="CKZ101" t="s">
        <v>455</v>
      </c>
      <c r="CLA101" t="s">
        <v>455</v>
      </c>
      <c r="CLB101" t="s">
        <v>455</v>
      </c>
      <c r="CLC101" t="s">
        <v>455</v>
      </c>
      <c r="CLD101" t="s">
        <v>455</v>
      </c>
      <c r="CLE101" t="s">
        <v>455</v>
      </c>
      <c r="CLF101" t="s">
        <v>455</v>
      </c>
      <c r="CLG101" t="s">
        <v>455</v>
      </c>
      <c r="CLH101" t="s">
        <v>455</v>
      </c>
      <c r="CLI101" t="s">
        <v>455</v>
      </c>
      <c r="CLJ101" t="s">
        <v>455</v>
      </c>
      <c r="CLK101" t="s">
        <v>455</v>
      </c>
      <c r="CLL101" t="s">
        <v>455</v>
      </c>
      <c r="CLM101" t="s">
        <v>455</v>
      </c>
      <c r="CLN101" t="s">
        <v>455</v>
      </c>
      <c r="CLO101" t="s">
        <v>455</v>
      </c>
      <c r="CLP101" t="s">
        <v>455</v>
      </c>
      <c r="CLQ101" t="s">
        <v>455</v>
      </c>
      <c r="CLR101" t="s">
        <v>455</v>
      </c>
      <c r="CLS101" t="s">
        <v>455</v>
      </c>
      <c r="CLT101" t="s">
        <v>455</v>
      </c>
      <c r="CLU101" t="s">
        <v>455</v>
      </c>
      <c r="CLV101" t="s">
        <v>455</v>
      </c>
      <c r="CLW101" t="s">
        <v>455</v>
      </c>
      <c r="CLX101" t="s">
        <v>455</v>
      </c>
      <c r="CLY101" t="s">
        <v>455</v>
      </c>
      <c r="CLZ101" t="s">
        <v>455</v>
      </c>
      <c r="CMA101" t="s">
        <v>455</v>
      </c>
      <c r="CMB101" t="s">
        <v>455</v>
      </c>
      <c r="CMC101" t="s">
        <v>455</v>
      </c>
      <c r="CMD101" t="s">
        <v>455</v>
      </c>
      <c r="CME101" t="s">
        <v>455</v>
      </c>
      <c r="CMF101" t="s">
        <v>455</v>
      </c>
      <c r="CMG101" t="s">
        <v>455</v>
      </c>
      <c r="CMH101" t="s">
        <v>455</v>
      </c>
      <c r="CMI101" t="s">
        <v>455</v>
      </c>
      <c r="CMJ101" t="s">
        <v>455</v>
      </c>
      <c r="CMK101" t="s">
        <v>455</v>
      </c>
      <c r="CML101" t="s">
        <v>455</v>
      </c>
      <c r="CMM101" t="s">
        <v>455</v>
      </c>
      <c r="CMN101" t="s">
        <v>455</v>
      </c>
      <c r="CMO101" t="s">
        <v>455</v>
      </c>
      <c r="CMP101" t="s">
        <v>455</v>
      </c>
      <c r="CMQ101" t="s">
        <v>455</v>
      </c>
      <c r="CMR101" t="s">
        <v>455</v>
      </c>
      <c r="CMS101" t="s">
        <v>455</v>
      </c>
      <c r="CMT101" t="s">
        <v>455</v>
      </c>
      <c r="CMU101" t="s">
        <v>455</v>
      </c>
      <c r="CMV101" t="s">
        <v>455</v>
      </c>
      <c r="CMW101" t="s">
        <v>455</v>
      </c>
      <c r="CMX101" t="s">
        <v>455</v>
      </c>
      <c r="CMY101" t="s">
        <v>455</v>
      </c>
      <c r="CMZ101" t="s">
        <v>455</v>
      </c>
      <c r="CNA101" t="s">
        <v>455</v>
      </c>
      <c r="CNB101" t="s">
        <v>455</v>
      </c>
      <c r="CNC101" t="s">
        <v>455</v>
      </c>
      <c r="CND101" t="s">
        <v>455</v>
      </c>
      <c r="CNE101" t="s">
        <v>455</v>
      </c>
      <c r="CNF101" t="s">
        <v>455</v>
      </c>
      <c r="CNG101" t="s">
        <v>455</v>
      </c>
      <c r="CNH101" t="s">
        <v>455</v>
      </c>
      <c r="CNI101" t="s">
        <v>455</v>
      </c>
      <c r="CNJ101" t="s">
        <v>455</v>
      </c>
      <c r="CNK101" t="s">
        <v>455</v>
      </c>
      <c r="CNL101" t="s">
        <v>455</v>
      </c>
      <c r="CNM101" t="s">
        <v>455</v>
      </c>
      <c r="CNN101" t="s">
        <v>455</v>
      </c>
      <c r="CNO101" t="s">
        <v>455</v>
      </c>
      <c r="CNP101" t="s">
        <v>455</v>
      </c>
      <c r="CNQ101" t="s">
        <v>455</v>
      </c>
      <c r="CNR101" t="s">
        <v>455</v>
      </c>
      <c r="CNS101" t="s">
        <v>455</v>
      </c>
      <c r="CNT101" t="s">
        <v>455</v>
      </c>
      <c r="CNU101" t="s">
        <v>455</v>
      </c>
      <c r="CNV101" t="s">
        <v>455</v>
      </c>
      <c r="CNW101" t="s">
        <v>455</v>
      </c>
      <c r="CNX101" t="s">
        <v>455</v>
      </c>
      <c r="CNY101" t="s">
        <v>455</v>
      </c>
      <c r="CNZ101" t="s">
        <v>455</v>
      </c>
      <c r="COA101" t="s">
        <v>455</v>
      </c>
      <c r="COB101" t="s">
        <v>455</v>
      </c>
      <c r="COC101" t="s">
        <v>455</v>
      </c>
      <c r="COD101" t="s">
        <v>455</v>
      </c>
      <c r="COE101" t="s">
        <v>455</v>
      </c>
      <c r="COF101" t="s">
        <v>455</v>
      </c>
      <c r="COG101" t="s">
        <v>455</v>
      </c>
      <c r="COH101" t="s">
        <v>455</v>
      </c>
      <c r="COI101" t="s">
        <v>455</v>
      </c>
      <c r="COJ101" t="s">
        <v>455</v>
      </c>
      <c r="COK101" t="s">
        <v>455</v>
      </c>
      <c r="COL101" t="s">
        <v>455</v>
      </c>
      <c r="COM101" t="s">
        <v>455</v>
      </c>
      <c r="CON101" t="s">
        <v>455</v>
      </c>
      <c r="COO101" t="s">
        <v>455</v>
      </c>
      <c r="COP101" t="s">
        <v>455</v>
      </c>
      <c r="COQ101" t="s">
        <v>455</v>
      </c>
      <c r="COR101" t="s">
        <v>455</v>
      </c>
      <c r="COS101" t="s">
        <v>455</v>
      </c>
      <c r="COT101" t="s">
        <v>455</v>
      </c>
      <c r="COU101" t="s">
        <v>455</v>
      </c>
      <c r="COV101" t="s">
        <v>455</v>
      </c>
      <c r="COW101" t="s">
        <v>455</v>
      </c>
      <c r="COX101" t="s">
        <v>455</v>
      </c>
      <c r="COY101" t="s">
        <v>455</v>
      </c>
      <c r="COZ101" t="s">
        <v>455</v>
      </c>
      <c r="CPA101" t="s">
        <v>455</v>
      </c>
      <c r="CPB101" t="s">
        <v>455</v>
      </c>
      <c r="CPC101" t="s">
        <v>455</v>
      </c>
      <c r="CPD101" t="s">
        <v>455</v>
      </c>
      <c r="CPE101" t="s">
        <v>455</v>
      </c>
      <c r="CPF101" t="s">
        <v>455</v>
      </c>
      <c r="CPG101" t="s">
        <v>455</v>
      </c>
      <c r="CPH101" t="s">
        <v>455</v>
      </c>
      <c r="CPI101" t="s">
        <v>455</v>
      </c>
      <c r="CPJ101" t="s">
        <v>455</v>
      </c>
      <c r="CPK101" t="s">
        <v>455</v>
      </c>
      <c r="CPL101" t="s">
        <v>455</v>
      </c>
      <c r="CPM101" t="s">
        <v>455</v>
      </c>
      <c r="CPN101" t="s">
        <v>455</v>
      </c>
      <c r="CPO101" t="s">
        <v>455</v>
      </c>
      <c r="CPP101" t="s">
        <v>455</v>
      </c>
      <c r="CPQ101" t="s">
        <v>455</v>
      </c>
      <c r="CPR101" t="s">
        <v>455</v>
      </c>
      <c r="CPS101" t="s">
        <v>455</v>
      </c>
      <c r="CPT101" t="s">
        <v>455</v>
      </c>
      <c r="CPU101" t="s">
        <v>455</v>
      </c>
      <c r="CPV101" t="s">
        <v>455</v>
      </c>
      <c r="CPW101" t="s">
        <v>455</v>
      </c>
      <c r="CPX101" t="s">
        <v>455</v>
      </c>
      <c r="CPY101" t="s">
        <v>455</v>
      </c>
      <c r="CPZ101" t="s">
        <v>455</v>
      </c>
      <c r="CQA101" t="s">
        <v>455</v>
      </c>
      <c r="CQB101" t="s">
        <v>455</v>
      </c>
      <c r="CQC101" t="s">
        <v>455</v>
      </c>
      <c r="CQD101" t="s">
        <v>455</v>
      </c>
      <c r="CQE101" t="s">
        <v>455</v>
      </c>
      <c r="CQF101" t="s">
        <v>455</v>
      </c>
      <c r="CQG101" t="s">
        <v>455</v>
      </c>
      <c r="CQH101" t="s">
        <v>455</v>
      </c>
      <c r="CQI101" t="s">
        <v>455</v>
      </c>
      <c r="CQJ101" t="s">
        <v>455</v>
      </c>
      <c r="CQK101" t="s">
        <v>455</v>
      </c>
      <c r="CQL101" t="s">
        <v>455</v>
      </c>
      <c r="CQM101" t="s">
        <v>455</v>
      </c>
      <c r="CQN101" t="s">
        <v>455</v>
      </c>
      <c r="CQO101" t="s">
        <v>455</v>
      </c>
      <c r="CQP101" t="s">
        <v>455</v>
      </c>
      <c r="CQQ101" t="s">
        <v>455</v>
      </c>
      <c r="CQR101" t="s">
        <v>455</v>
      </c>
      <c r="CQS101" t="s">
        <v>455</v>
      </c>
      <c r="CQT101" t="s">
        <v>455</v>
      </c>
      <c r="CQU101" t="s">
        <v>455</v>
      </c>
      <c r="CQV101" t="s">
        <v>455</v>
      </c>
      <c r="CQW101" t="s">
        <v>455</v>
      </c>
      <c r="CQX101" t="s">
        <v>455</v>
      </c>
      <c r="CQY101" t="s">
        <v>455</v>
      </c>
      <c r="CQZ101" t="s">
        <v>455</v>
      </c>
      <c r="CRA101" t="s">
        <v>455</v>
      </c>
      <c r="CRB101" t="s">
        <v>455</v>
      </c>
      <c r="CRC101" t="s">
        <v>455</v>
      </c>
      <c r="CRD101" t="s">
        <v>455</v>
      </c>
      <c r="CRE101" t="s">
        <v>455</v>
      </c>
      <c r="CRF101" t="s">
        <v>455</v>
      </c>
      <c r="CRG101" t="s">
        <v>455</v>
      </c>
      <c r="CRH101" t="s">
        <v>455</v>
      </c>
      <c r="CRI101" t="s">
        <v>455</v>
      </c>
      <c r="CRJ101" t="s">
        <v>455</v>
      </c>
      <c r="CRK101" t="s">
        <v>455</v>
      </c>
      <c r="CRL101" t="s">
        <v>455</v>
      </c>
      <c r="CRM101" t="s">
        <v>455</v>
      </c>
      <c r="CRN101" t="s">
        <v>455</v>
      </c>
      <c r="CRO101" t="s">
        <v>455</v>
      </c>
      <c r="CRP101" t="s">
        <v>455</v>
      </c>
      <c r="CRQ101" t="s">
        <v>455</v>
      </c>
      <c r="CRR101" t="s">
        <v>455</v>
      </c>
      <c r="CRS101" t="s">
        <v>455</v>
      </c>
      <c r="CRT101" t="s">
        <v>455</v>
      </c>
      <c r="CRU101" t="s">
        <v>455</v>
      </c>
      <c r="CRV101" t="s">
        <v>455</v>
      </c>
      <c r="CRW101" t="s">
        <v>455</v>
      </c>
      <c r="CRX101" t="s">
        <v>455</v>
      </c>
      <c r="CRY101" t="s">
        <v>455</v>
      </c>
      <c r="CRZ101" t="s">
        <v>455</v>
      </c>
      <c r="CSA101" t="s">
        <v>455</v>
      </c>
      <c r="CSB101" t="s">
        <v>455</v>
      </c>
      <c r="CSC101" t="s">
        <v>455</v>
      </c>
      <c r="CSD101" t="s">
        <v>455</v>
      </c>
      <c r="CSE101" t="s">
        <v>455</v>
      </c>
      <c r="CSF101" t="s">
        <v>455</v>
      </c>
      <c r="CSG101" t="s">
        <v>455</v>
      </c>
      <c r="CSH101" t="s">
        <v>455</v>
      </c>
      <c r="CSI101" t="s">
        <v>455</v>
      </c>
      <c r="CSJ101" t="s">
        <v>455</v>
      </c>
      <c r="CSK101" t="s">
        <v>455</v>
      </c>
      <c r="CSL101" t="s">
        <v>455</v>
      </c>
      <c r="CSM101" t="s">
        <v>455</v>
      </c>
      <c r="CSN101" t="s">
        <v>455</v>
      </c>
      <c r="CSO101" t="s">
        <v>455</v>
      </c>
      <c r="CSP101" t="s">
        <v>455</v>
      </c>
      <c r="CSQ101" t="s">
        <v>455</v>
      </c>
      <c r="CSR101" t="s">
        <v>455</v>
      </c>
      <c r="CSS101" t="s">
        <v>455</v>
      </c>
      <c r="CST101" t="s">
        <v>455</v>
      </c>
      <c r="CSU101" t="s">
        <v>455</v>
      </c>
      <c r="CSV101" t="s">
        <v>455</v>
      </c>
      <c r="CSW101" t="s">
        <v>455</v>
      </c>
      <c r="CSX101" t="s">
        <v>455</v>
      </c>
      <c r="CSY101" t="s">
        <v>455</v>
      </c>
      <c r="CSZ101" t="s">
        <v>455</v>
      </c>
      <c r="CTA101" t="s">
        <v>455</v>
      </c>
      <c r="CTB101" t="s">
        <v>455</v>
      </c>
      <c r="CTC101" t="s">
        <v>455</v>
      </c>
      <c r="CTD101" t="s">
        <v>455</v>
      </c>
      <c r="CTE101" t="s">
        <v>455</v>
      </c>
      <c r="CTF101" t="s">
        <v>455</v>
      </c>
      <c r="CTG101" t="s">
        <v>455</v>
      </c>
      <c r="CTH101" t="s">
        <v>455</v>
      </c>
      <c r="CTI101" t="s">
        <v>455</v>
      </c>
      <c r="CTJ101" t="s">
        <v>455</v>
      </c>
      <c r="CTK101" t="s">
        <v>455</v>
      </c>
      <c r="CTL101" t="s">
        <v>455</v>
      </c>
      <c r="CTM101" t="s">
        <v>455</v>
      </c>
      <c r="CTN101" t="s">
        <v>455</v>
      </c>
      <c r="CTO101" t="s">
        <v>455</v>
      </c>
      <c r="CTP101" t="s">
        <v>455</v>
      </c>
      <c r="CTQ101" t="s">
        <v>455</v>
      </c>
      <c r="CTR101" t="s">
        <v>455</v>
      </c>
      <c r="CTS101" t="s">
        <v>455</v>
      </c>
      <c r="CTT101" t="s">
        <v>455</v>
      </c>
      <c r="CTU101" t="s">
        <v>455</v>
      </c>
      <c r="CTV101" t="s">
        <v>455</v>
      </c>
      <c r="CTW101" t="s">
        <v>455</v>
      </c>
      <c r="CTX101" t="s">
        <v>455</v>
      </c>
      <c r="CTY101" t="s">
        <v>455</v>
      </c>
      <c r="CTZ101" t="s">
        <v>455</v>
      </c>
      <c r="CUA101" t="s">
        <v>455</v>
      </c>
      <c r="CUB101" t="s">
        <v>455</v>
      </c>
      <c r="CUC101" t="s">
        <v>455</v>
      </c>
      <c r="CUD101" t="s">
        <v>455</v>
      </c>
      <c r="CUE101" t="s">
        <v>455</v>
      </c>
      <c r="CUF101" t="s">
        <v>455</v>
      </c>
      <c r="CUG101" t="s">
        <v>455</v>
      </c>
      <c r="CUH101" t="s">
        <v>455</v>
      </c>
      <c r="CUI101" t="s">
        <v>455</v>
      </c>
      <c r="CUJ101" t="s">
        <v>455</v>
      </c>
      <c r="CUK101" t="s">
        <v>455</v>
      </c>
      <c r="CUL101" t="s">
        <v>455</v>
      </c>
      <c r="CUM101" t="s">
        <v>455</v>
      </c>
      <c r="CUN101" t="s">
        <v>455</v>
      </c>
      <c r="CUO101" t="s">
        <v>455</v>
      </c>
      <c r="CUP101" t="s">
        <v>455</v>
      </c>
      <c r="CUQ101" t="s">
        <v>455</v>
      </c>
      <c r="CUR101" t="s">
        <v>455</v>
      </c>
      <c r="CUS101" t="s">
        <v>455</v>
      </c>
      <c r="CUT101" t="s">
        <v>455</v>
      </c>
      <c r="CUU101" t="s">
        <v>455</v>
      </c>
      <c r="CUV101" t="s">
        <v>455</v>
      </c>
      <c r="CUW101" t="s">
        <v>455</v>
      </c>
      <c r="CUX101" t="s">
        <v>455</v>
      </c>
      <c r="CUY101" t="s">
        <v>455</v>
      </c>
      <c r="CUZ101" t="s">
        <v>455</v>
      </c>
      <c r="CVA101" t="s">
        <v>455</v>
      </c>
      <c r="CVB101" t="s">
        <v>455</v>
      </c>
      <c r="CVC101" t="s">
        <v>455</v>
      </c>
      <c r="CVD101" t="s">
        <v>455</v>
      </c>
      <c r="CVE101" t="s">
        <v>455</v>
      </c>
      <c r="CVF101" t="s">
        <v>455</v>
      </c>
      <c r="CVG101" t="s">
        <v>455</v>
      </c>
      <c r="CVH101" t="s">
        <v>455</v>
      </c>
      <c r="CVI101" t="s">
        <v>455</v>
      </c>
      <c r="CVJ101" t="s">
        <v>455</v>
      </c>
      <c r="CVK101" t="s">
        <v>455</v>
      </c>
      <c r="CVL101" t="s">
        <v>455</v>
      </c>
      <c r="CVM101" t="s">
        <v>455</v>
      </c>
      <c r="CVN101" t="s">
        <v>455</v>
      </c>
      <c r="CVO101" t="s">
        <v>455</v>
      </c>
      <c r="CVP101" t="s">
        <v>455</v>
      </c>
      <c r="CVQ101" t="s">
        <v>455</v>
      </c>
      <c r="CVR101" t="s">
        <v>455</v>
      </c>
      <c r="CVS101" t="s">
        <v>455</v>
      </c>
      <c r="CVT101" t="s">
        <v>455</v>
      </c>
      <c r="CVU101" t="s">
        <v>455</v>
      </c>
      <c r="CVV101" t="s">
        <v>455</v>
      </c>
      <c r="CVW101" t="s">
        <v>455</v>
      </c>
      <c r="CVX101" t="s">
        <v>455</v>
      </c>
      <c r="CVY101" t="s">
        <v>455</v>
      </c>
      <c r="CVZ101" t="s">
        <v>455</v>
      </c>
      <c r="CWA101" t="s">
        <v>455</v>
      </c>
      <c r="CWB101" t="s">
        <v>455</v>
      </c>
      <c r="CWC101" t="s">
        <v>455</v>
      </c>
      <c r="CWD101" t="s">
        <v>455</v>
      </c>
      <c r="CWE101" t="s">
        <v>455</v>
      </c>
      <c r="CWF101" t="s">
        <v>455</v>
      </c>
      <c r="CWG101" t="s">
        <v>455</v>
      </c>
      <c r="CWH101" t="s">
        <v>455</v>
      </c>
      <c r="CWI101" t="s">
        <v>455</v>
      </c>
      <c r="CWJ101" t="s">
        <v>455</v>
      </c>
      <c r="CWK101" t="s">
        <v>455</v>
      </c>
      <c r="CWL101" t="s">
        <v>455</v>
      </c>
      <c r="CWM101" t="s">
        <v>455</v>
      </c>
      <c r="CWN101" t="s">
        <v>455</v>
      </c>
      <c r="CWO101" t="s">
        <v>455</v>
      </c>
      <c r="CWP101" t="s">
        <v>455</v>
      </c>
      <c r="CWQ101" t="s">
        <v>455</v>
      </c>
      <c r="CWR101" t="s">
        <v>455</v>
      </c>
      <c r="CWS101" t="s">
        <v>455</v>
      </c>
      <c r="CWT101" t="s">
        <v>455</v>
      </c>
      <c r="CWU101" t="s">
        <v>455</v>
      </c>
      <c r="CWV101" t="s">
        <v>455</v>
      </c>
      <c r="CWW101" t="s">
        <v>455</v>
      </c>
      <c r="CWX101" t="s">
        <v>455</v>
      </c>
      <c r="CWY101" t="s">
        <v>455</v>
      </c>
      <c r="CWZ101" t="s">
        <v>455</v>
      </c>
      <c r="CXA101" t="s">
        <v>455</v>
      </c>
      <c r="CXB101" t="s">
        <v>455</v>
      </c>
      <c r="CXC101" t="s">
        <v>455</v>
      </c>
      <c r="CXD101" t="s">
        <v>455</v>
      </c>
      <c r="CXE101" t="s">
        <v>455</v>
      </c>
      <c r="CXF101" t="s">
        <v>455</v>
      </c>
      <c r="CXG101" t="s">
        <v>455</v>
      </c>
      <c r="CXH101" t="s">
        <v>455</v>
      </c>
      <c r="CXI101" t="s">
        <v>455</v>
      </c>
      <c r="CXJ101" t="s">
        <v>455</v>
      </c>
      <c r="CXK101" t="s">
        <v>455</v>
      </c>
      <c r="CXL101" t="s">
        <v>455</v>
      </c>
      <c r="CXM101" t="s">
        <v>455</v>
      </c>
      <c r="CXN101" t="s">
        <v>455</v>
      </c>
      <c r="CXO101" t="s">
        <v>455</v>
      </c>
      <c r="CXP101" t="s">
        <v>455</v>
      </c>
      <c r="CXQ101" t="s">
        <v>455</v>
      </c>
      <c r="CXR101" t="s">
        <v>455</v>
      </c>
      <c r="CXS101" t="s">
        <v>455</v>
      </c>
      <c r="CXT101" t="s">
        <v>455</v>
      </c>
      <c r="CXU101" t="s">
        <v>455</v>
      </c>
      <c r="CXV101" t="s">
        <v>455</v>
      </c>
      <c r="CXW101" t="s">
        <v>455</v>
      </c>
      <c r="CXX101" t="s">
        <v>455</v>
      </c>
      <c r="CXY101" t="s">
        <v>455</v>
      </c>
      <c r="CXZ101" t="s">
        <v>455</v>
      </c>
      <c r="CYA101" t="s">
        <v>455</v>
      </c>
      <c r="CYB101" t="s">
        <v>455</v>
      </c>
      <c r="CYC101" t="s">
        <v>455</v>
      </c>
      <c r="CYD101" t="s">
        <v>455</v>
      </c>
      <c r="CYE101" t="s">
        <v>455</v>
      </c>
      <c r="CYF101" t="s">
        <v>455</v>
      </c>
      <c r="CYG101" t="s">
        <v>455</v>
      </c>
      <c r="CYH101" t="s">
        <v>455</v>
      </c>
      <c r="CYI101" t="s">
        <v>455</v>
      </c>
      <c r="CYJ101" t="s">
        <v>455</v>
      </c>
      <c r="CYK101" t="s">
        <v>455</v>
      </c>
      <c r="CYL101" t="s">
        <v>455</v>
      </c>
      <c r="CYM101" t="s">
        <v>455</v>
      </c>
      <c r="CYN101" t="s">
        <v>455</v>
      </c>
      <c r="CYO101" t="s">
        <v>455</v>
      </c>
      <c r="CYP101" t="s">
        <v>455</v>
      </c>
      <c r="CYQ101" t="s">
        <v>455</v>
      </c>
      <c r="CYR101" t="s">
        <v>455</v>
      </c>
      <c r="CYS101" t="s">
        <v>455</v>
      </c>
      <c r="CYT101" t="s">
        <v>455</v>
      </c>
      <c r="CYU101" t="s">
        <v>455</v>
      </c>
      <c r="CYV101" t="s">
        <v>455</v>
      </c>
      <c r="CYW101" t="s">
        <v>455</v>
      </c>
      <c r="CYX101" t="s">
        <v>455</v>
      </c>
      <c r="CYY101" t="s">
        <v>455</v>
      </c>
      <c r="CYZ101" t="s">
        <v>455</v>
      </c>
      <c r="CZA101" t="s">
        <v>455</v>
      </c>
      <c r="CZB101" t="s">
        <v>455</v>
      </c>
      <c r="CZC101" t="s">
        <v>455</v>
      </c>
      <c r="CZD101" t="s">
        <v>455</v>
      </c>
      <c r="CZE101" t="s">
        <v>455</v>
      </c>
      <c r="CZF101" t="s">
        <v>455</v>
      </c>
      <c r="CZG101" t="s">
        <v>455</v>
      </c>
      <c r="CZH101" t="s">
        <v>455</v>
      </c>
      <c r="CZI101" t="s">
        <v>455</v>
      </c>
      <c r="CZJ101" t="s">
        <v>455</v>
      </c>
      <c r="CZK101" t="s">
        <v>455</v>
      </c>
      <c r="CZL101" t="s">
        <v>455</v>
      </c>
      <c r="CZM101" t="s">
        <v>455</v>
      </c>
      <c r="CZN101" t="s">
        <v>455</v>
      </c>
      <c r="CZO101" t="s">
        <v>455</v>
      </c>
      <c r="CZP101" t="s">
        <v>455</v>
      </c>
      <c r="CZQ101" t="s">
        <v>455</v>
      </c>
      <c r="CZR101" t="s">
        <v>455</v>
      </c>
      <c r="CZS101" t="s">
        <v>455</v>
      </c>
      <c r="CZT101" t="s">
        <v>455</v>
      </c>
      <c r="CZU101" t="s">
        <v>455</v>
      </c>
      <c r="CZV101" t="s">
        <v>455</v>
      </c>
      <c r="CZW101" t="s">
        <v>455</v>
      </c>
      <c r="CZX101" t="s">
        <v>455</v>
      </c>
      <c r="CZY101" t="s">
        <v>455</v>
      </c>
      <c r="CZZ101" t="s">
        <v>455</v>
      </c>
      <c r="DAA101" t="s">
        <v>455</v>
      </c>
      <c r="DAB101" t="s">
        <v>455</v>
      </c>
      <c r="DAC101" t="s">
        <v>455</v>
      </c>
      <c r="DAD101" t="s">
        <v>455</v>
      </c>
      <c r="DAE101" t="s">
        <v>455</v>
      </c>
      <c r="DAF101" t="s">
        <v>455</v>
      </c>
      <c r="DAG101" t="s">
        <v>455</v>
      </c>
      <c r="DAH101" t="s">
        <v>455</v>
      </c>
      <c r="DAI101" t="s">
        <v>455</v>
      </c>
      <c r="DAJ101" t="s">
        <v>455</v>
      </c>
      <c r="DAK101" t="s">
        <v>455</v>
      </c>
      <c r="DAL101" t="s">
        <v>455</v>
      </c>
      <c r="DAM101" t="s">
        <v>455</v>
      </c>
      <c r="DAN101" t="s">
        <v>455</v>
      </c>
      <c r="DAO101" t="s">
        <v>455</v>
      </c>
      <c r="DAP101" t="s">
        <v>455</v>
      </c>
      <c r="DAQ101" t="s">
        <v>455</v>
      </c>
      <c r="DAR101" t="s">
        <v>455</v>
      </c>
      <c r="DAS101" t="s">
        <v>455</v>
      </c>
      <c r="DAT101" t="s">
        <v>455</v>
      </c>
      <c r="DAU101" t="s">
        <v>455</v>
      </c>
      <c r="DAV101" t="s">
        <v>455</v>
      </c>
      <c r="DAW101" t="s">
        <v>455</v>
      </c>
      <c r="DAX101" t="s">
        <v>455</v>
      </c>
      <c r="DAY101" t="s">
        <v>455</v>
      </c>
      <c r="DAZ101" t="s">
        <v>455</v>
      </c>
      <c r="DBA101" t="s">
        <v>455</v>
      </c>
      <c r="DBB101" t="s">
        <v>455</v>
      </c>
      <c r="DBC101" t="s">
        <v>455</v>
      </c>
      <c r="DBD101" t="s">
        <v>455</v>
      </c>
      <c r="DBE101" t="s">
        <v>455</v>
      </c>
      <c r="DBF101" t="s">
        <v>455</v>
      </c>
      <c r="DBG101" t="s">
        <v>455</v>
      </c>
      <c r="DBH101" t="s">
        <v>455</v>
      </c>
      <c r="DBI101" t="s">
        <v>455</v>
      </c>
      <c r="DBJ101" t="s">
        <v>455</v>
      </c>
      <c r="DBK101" t="s">
        <v>455</v>
      </c>
      <c r="DBL101" t="s">
        <v>455</v>
      </c>
      <c r="DBM101" t="s">
        <v>455</v>
      </c>
      <c r="DBN101" t="s">
        <v>455</v>
      </c>
      <c r="DBO101" t="s">
        <v>455</v>
      </c>
      <c r="DBP101" t="s">
        <v>455</v>
      </c>
      <c r="DBQ101" t="s">
        <v>455</v>
      </c>
      <c r="DBR101" t="s">
        <v>455</v>
      </c>
      <c r="DBS101" t="s">
        <v>455</v>
      </c>
      <c r="DBT101" t="s">
        <v>455</v>
      </c>
      <c r="DBU101" t="s">
        <v>455</v>
      </c>
      <c r="DBV101" t="s">
        <v>455</v>
      </c>
      <c r="DBW101" t="s">
        <v>455</v>
      </c>
      <c r="DBX101" t="s">
        <v>455</v>
      </c>
      <c r="DBY101" t="s">
        <v>455</v>
      </c>
      <c r="DBZ101" t="s">
        <v>455</v>
      </c>
      <c r="DCA101" t="s">
        <v>455</v>
      </c>
      <c r="DCB101" t="s">
        <v>455</v>
      </c>
      <c r="DCC101" t="s">
        <v>455</v>
      </c>
      <c r="DCD101" t="s">
        <v>455</v>
      </c>
      <c r="DCE101" t="s">
        <v>455</v>
      </c>
      <c r="DCF101" t="s">
        <v>455</v>
      </c>
      <c r="DCG101" t="s">
        <v>455</v>
      </c>
      <c r="DCH101" t="s">
        <v>455</v>
      </c>
      <c r="DCI101" t="s">
        <v>455</v>
      </c>
      <c r="DCJ101" t="s">
        <v>455</v>
      </c>
      <c r="DCK101" t="s">
        <v>455</v>
      </c>
      <c r="DCL101" t="s">
        <v>455</v>
      </c>
      <c r="DCM101" t="s">
        <v>455</v>
      </c>
      <c r="DCN101" t="s">
        <v>455</v>
      </c>
      <c r="DCO101" t="s">
        <v>455</v>
      </c>
      <c r="DCP101" t="s">
        <v>455</v>
      </c>
      <c r="DCQ101" t="s">
        <v>455</v>
      </c>
      <c r="DCR101" t="s">
        <v>455</v>
      </c>
      <c r="DCS101" t="s">
        <v>455</v>
      </c>
      <c r="DCT101" t="s">
        <v>455</v>
      </c>
      <c r="DCU101" t="s">
        <v>455</v>
      </c>
      <c r="DCV101" t="s">
        <v>455</v>
      </c>
      <c r="DCW101" t="s">
        <v>455</v>
      </c>
      <c r="DCX101" t="s">
        <v>455</v>
      </c>
      <c r="DCY101" t="s">
        <v>455</v>
      </c>
      <c r="DCZ101" t="s">
        <v>455</v>
      </c>
      <c r="DDA101" t="s">
        <v>455</v>
      </c>
      <c r="DDB101" t="s">
        <v>455</v>
      </c>
      <c r="DDC101" t="s">
        <v>455</v>
      </c>
      <c r="DDD101" t="s">
        <v>455</v>
      </c>
      <c r="DDE101" t="s">
        <v>455</v>
      </c>
      <c r="DDF101" t="s">
        <v>455</v>
      </c>
      <c r="DDG101" t="s">
        <v>455</v>
      </c>
      <c r="DDH101" t="s">
        <v>455</v>
      </c>
      <c r="DDI101" t="s">
        <v>455</v>
      </c>
      <c r="DDJ101" t="s">
        <v>455</v>
      </c>
      <c r="DDK101" t="s">
        <v>455</v>
      </c>
      <c r="DDL101" t="s">
        <v>455</v>
      </c>
      <c r="DDM101" t="s">
        <v>455</v>
      </c>
      <c r="DDN101" t="s">
        <v>455</v>
      </c>
      <c r="DDO101" t="s">
        <v>455</v>
      </c>
      <c r="DDP101" t="s">
        <v>455</v>
      </c>
      <c r="DDQ101" t="s">
        <v>455</v>
      </c>
      <c r="DDR101" t="s">
        <v>455</v>
      </c>
      <c r="DDS101" t="s">
        <v>455</v>
      </c>
      <c r="DDT101" t="s">
        <v>455</v>
      </c>
      <c r="DDU101" t="s">
        <v>455</v>
      </c>
      <c r="DDV101" t="s">
        <v>455</v>
      </c>
      <c r="DDW101" t="s">
        <v>455</v>
      </c>
      <c r="DDX101" t="s">
        <v>455</v>
      </c>
      <c r="DDY101" t="s">
        <v>455</v>
      </c>
      <c r="DDZ101" t="s">
        <v>455</v>
      </c>
      <c r="DEA101" t="s">
        <v>455</v>
      </c>
      <c r="DEB101" t="s">
        <v>455</v>
      </c>
      <c r="DEC101" t="s">
        <v>455</v>
      </c>
      <c r="DED101" t="s">
        <v>455</v>
      </c>
      <c r="DEE101" t="s">
        <v>455</v>
      </c>
      <c r="DEF101" t="s">
        <v>455</v>
      </c>
      <c r="DEG101" t="s">
        <v>455</v>
      </c>
      <c r="DEH101" t="s">
        <v>455</v>
      </c>
      <c r="DEI101" t="s">
        <v>455</v>
      </c>
      <c r="DEJ101" t="s">
        <v>455</v>
      </c>
      <c r="DEK101" t="s">
        <v>455</v>
      </c>
      <c r="DEL101" t="s">
        <v>455</v>
      </c>
      <c r="DEM101" t="s">
        <v>455</v>
      </c>
      <c r="DEN101" t="s">
        <v>455</v>
      </c>
      <c r="DEO101" t="s">
        <v>455</v>
      </c>
      <c r="DEP101" t="s">
        <v>455</v>
      </c>
      <c r="DEQ101" t="s">
        <v>455</v>
      </c>
      <c r="DER101" t="s">
        <v>455</v>
      </c>
      <c r="DES101" t="s">
        <v>455</v>
      </c>
      <c r="DET101" t="s">
        <v>455</v>
      </c>
      <c r="DEU101" t="s">
        <v>455</v>
      </c>
      <c r="DEV101" t="s">
        <v>455</v>
      </c>
      <c r="DEW101" t="s">
        <v>455</v>
      </c>
      <c r="DEX101" t="s">
        <v>455</v>
      </c>
      <c r="DEY101" t="s">
        <v>455</v>
      </c>
      <c r="DEZ101" t="s">
        <v>455</v>
      </c>
      <c r="DFA101" t="s">
        <v>455</v>
      </c>
      <c r="DFB101" t="s">
        <v>455</v>
      </c>
      <c r="DFC101" t="s">
        <v>455</v>
      </c>
      <c r="DFD101" t="s">
        <v>455</v>
      </c>
      <c r="DFE101" t="s">
        <v>455</v>
      </c>
      <c r="DFF101" t="s">
        <v>455</v>
      </c>
      <c r="DFG101" t="s">
        <v>455</v>
      </c>
      <c r="DFH101" t="s">
        <v>455</v>
      </c>
      <c r="DFI101" t="s">
        <v>455</v>
      </c>
      <c r="DFJ101" t="s">
        <v>455</v>
      </c>
      <c r="DFK101" t="s">
        <v>455</v>
      </c>
      <c r="DFL101" t="s">
        <v>455</v>
      </c>
      <c r="DFM101" t="s">
        <v>455</v>
      </c>
      <c r="DFN101" t="s">
        <v>455</v>
      </c>
      <c r="DFO101" t="s">
        <v>455</v>
      </c>
      <c r="DFP101" t="s">
        <v>455</v>
      </c>
      <c r="DFQ101" t="s">
        <v>455</v>
      </c>
      <c r="DFR101" t="s">
        <v>455</v>
      </c>
      <c r="DFS101" t="s">
        <v>455</v>
      </c>
      <c r="DFT101" t="s">
        <v>455</v>
      </c>
      <c r="DFU101" t="s">
        <v>455</v>
      </c>
      <c r="DFV101" t="s">
        <v>455</v>
      </c>
      <c r="DFW101" t="s">
        <v>455</v>
      </c>
      <c r="DFX101" t="s">
        <v>455</v>
      </c>
      <c r="DFY101" t="s">
        <v>455</v>
      </c>
      <c r="DFZ101" t="s">
        <v>455</v>
      </c>
      <c r="DGA101" t="s">
        <v>455</v>
      </c>
      <c r="DGB101" t="s">
        <v>455</v>
      </c>
      <c r="DGC101" t="s">
        <v>455</v>
      </c>
      <c r="DGD101" t="s">
        <v>455</v>
      </c>
      <c r="DGE101" t="s">
        <v>455</v>
      </c>
      <c r="DGF101" t="s">
        <v>455</v>
      </c>
      <c r="DGG101" t="s">
        <v>455</v>
      </c>
      <c r="DGH101" t="s">
        <v>455</v>
      </c>
      <c r="DGI101" t="s">
        <v>455</v>
      </c>
      <c r="DGJ101" t="s">
        <v>455</v>
      </c>
      <c r="DGK101" t="s">
        <v>455</v>
      </c>
      <c r="DGL101" t="s">
        <v>455</v>
      </c>
      <c r="DGM101" t="s">
        <v>455</v>
      </c>
      <c r="DGN101" t="s">
        <v>455</v>
      </c>
      <c r="DGO101" t="s">
        <v>455</v>
      </c>
      <c r="DGP101" t="s">
        <v>455</v>
      </c>
      <c r="DGQ101" t="s">
        <v>455</v>
      </c>
      <c r="DGR101" t="s">
        <v>455</v>
      </c>
      <c r="DGS101" t="s">
        <v>455</v>
      </c>
      <c r="DGT101" t="s">
        <v>455</v>
      </c>
      <c r="DGU101" t="s">
        <v>455</v>
      </c>
      <c r="DGV101" t="s">
        <v>455</v>
      </c>
      <c r="DGW101" t="s">
        <v>455</v>
      </c>
      <c r="DGX101" t="s">
        <v>455</v>
      </c>
      <c r="DGY101" t="s">
        <v>455</v>
      </c>
      <c r="DGZ101" t="s">
        <v>455</v>
      </c>
      <c r="DHA101" t="s">
        <v>455</v>
      </c>
      <c r="DHB101" t="s">
        <v>455</v>
      </c>
      <c r="DHC101" t="s">
        <v>455</v>
      </c>
      <c r="DHD101" t="s">
        <v>455</v>
      </c>
      <c r="DHE101" t="s">
        <v>455</v>
      </c>
      <c r="DHF101" t="s">
        <v>455</v>
      </c>
      <c r="DHG101" t="s">
        <v>455</v>
      </c>
      <c r="DHH101" t="s">
        <v>455</v>
      </c>
      <c r="DHI101" t="s">
        <v>455</v>
      </c>
      <c r="DHJ101" t="s">
        <v>455</v>
      </c>
      <c r="DHK101" t="s">
        <v>455</v>
      </c>
      <c r="DHL101" t="s">
        <v>455</v>
      </c>
      <c r="DHM101" t="s">
        <v>455</v>
      </c>
      <c r="DHN101" t="s">
        <v>455</v>
      </c>
      <c r="DHO101" t="s">
        <v>455</v>
      </c>
      <c r="DHP101" t="s">
        <v>455</v>
      </c>
      <c r="DHQ101" t="s">
        <v>455</v>
      </c>
      <c r="DHR101" t="s">
        <v>455</v>
      </c>
      <c r="DHS101" t="s">
        <v>455</v>
      </c>
      <c r="DHT101" t="s">
        <v>455</v>
      </c>
      <c r="DHU101" t="s">
        <v>455</v>
      </c>
      <c r="DHV101" t="s">
        <v>455</v>
      </c>
      <c r="DHW101" t="s">
        <v>455</v>
      </c>
      <c r="DHX101" t="s">
        <v>455</v>
      </c>
      <c r="DHY101" t="s">
        <v>455</v>
      </c>
      <c r="DHZ101" t="s">
        <v>455</v>
      </c>
      <c r="DIA101" t="s">
        <v>455</v>
      </c>
      <c r="DIB101" t="s">
        <v>455</v>
      </c>
      <c r="DIC101" t="s">
        <v>455</v>
      </c>
      <c r="DID101" t="s">
        <v>455</v>
      </c>
      <c r="DIE101" t="s">
        <v>455</v>
      </c>
      <c r="DIF101" t="s">
        <v>455</v>
      </c>
      <c r="DIG101" t="s">
        <v>455</v>
      </c>
      <c r="DIH101" t="s">
        <v>455</v>
      </c>
      <c r="DII101" t="s">
        <v>455</v>
      </c>
      <c r="DIJ101" t="s">
        <v>455</v>
      </c>
      <c r="DIK101" t="s">
        <v>455</v>
      </c>
      <c r="DIL101" t="s">
        <v>455</v>
      </c>
      <c r="DIM101" t="s">
        <v>455</v>
      </c>
      <c r="DIN101" t="s">
        <v>455</v>
      </c>
      <c r="DIO101" t="s">
        <v>455</v>
      </c>
      <c r="DIP101" t="s">
        <v>455</v>
      </c>
      <c r="DIQ101" t="s">
        <v>455</v>
      </c>
      <c r="DIR101" t="s">
        <v>455</v>
      </c>
      <c r="DIS101" t="s">
        <v>455</v>
      </c>
      <c r="DIT101" t="s">
        <v>455</v>
      </c>
      <c r="DIU101" t="s">
        <v>455</v>
      </c>
      <c r="DIV101" t="s">
        <v>455</v>
      </c>
      <c r="DIW101" t="s">
        <v>455</v>
      </c>
      <c r="DIX101" t="s">
        <v>455</v>
      </c>
      <c r="DIY101" t="s">
        <v>455</v>
      </c>
      <c r="DIZ101" t="s">
        <v>455</v>
      </c>
      <c r="DJA101" t="s">
        <v>455</v>
      </c>
      <c r="DJB101" t="s">
        <v>455</v>
      </c>
      <c r="DJC101" t="s">
        <v>455</v>
      </c>
      <c r="DJD101" t="s">
        <v>455</v>
      </c>
      <c r="DJE101" t="s">
        <v>455</v>
      </c>
      <c r="DJF101" t="s">
        <v>455</v>
      </c>
      <c r="DJG101" t="s">
        <v>455</v>
      </c>
      <c r="DJH101" t="s">
        <v>455</v>
      </c>
      <c r="DJI101" t="s">
        <v>455</v>
      </c>
      <c r="DJJ101" t="s">
        <v>455</v>
      </c>
      <c r="DJK101" t="s">
        <v>455</v>
      </c>
      <c r="DJL101" t="s">
        <v>455</v>
      </c>
      <c r="DJM101" t="s">
        <v>455</v>
      </c>
      <c r="DJN101" t="s">
        <v>455</v>
      </c>
      <c r="DJO101" t="s">
        <v>455</v>
      </c>
      <c r="DJP101" t="s">
        <v>455</v>
      </c>
      <c r="DJQ101" t="s">
        <v>455</v>
      </c>
      <c r="DJR101" t="s">
        <v>455</v>
      </c>
      <c r="DJS101" t="s">
        <v>455</v>
      </c>
      <c r="DJT101" t="s">
        <v>455</v>
      </c>
      <c r="DJU101" t="s">
        <v>455</v>
      </c>
      <c r="DJV101" t="s">
        <v>455</v>
      </c>
      <c r="DJW101" t="s">
        <v>455</v>
      </c>
      <c r="DJX101" t="s">
        <v>455</v>
      </c>
      <c r="DJY101" t="s">
        <v>455</v>
      </c>
      <c r="DJZ101" t="s">
        <v>455</v>
      </c>
      <c r="DKA101" t="s">
        <v>455</v>
      </c>
      <c r="DKB101" t="s">
        <v>455</v>
      </c>
      <c r="DKC101" t="s">
        <v>455</v>
      </c>
      <c r="DKD101" t="s">
        <v>455</v>
      </c>
      <c r="DKE101" t="s">
        <v>455</v>
      </c>
      <c r="DKF101" t="s">
        <v>455</v>
      </c>
      <c r="DKG101" t="s">
        <v>455</v>
      </c>
      <c r="DKH101" t="s">
        <v>455</v>
      </c>
      <c r="DKI101" t="s">
        <v>455</v>
      </c>
      <c r="DKJ101" t="s">
        <v>455</v>
      </c>
      <c r="DKK101" t="s">
        <v>455</v>
      </c>
      <c r="DKL101" t="s">
        <v>455</v>
      </c>
      <c r="DKM101" t="s">
        <v>455</v>
      </c>
      <c r="DKN101" t="s">
        <v>455</v>
      </c>
      <c r="DKO101" t="s">
        <v>455</v>
      </c>
      <c r="DKP101" t="s">
        <v>455</v>
      </c>
      <c r="DKQ101" t="s">
        <v>455</v>
      </c>
      <c r="DKR101" t="s">
        <v>455</v>
      </c>
      <c r="DKS101" t="s">
        <v>455</v>
      </c>
      <c r="DKT101" t="s">
        <v>455</v>
      </c>
      <c r="DKU101" t="s">
        <v>455</v>
      </c>
      <c r="DKV101" t="s">
        <v>455</v>
      </c>
      <c r="DKW101" t="s">
        <v>455</v>
      </c>
      <c r="DKX101" t="s">
        <v>455</v>
      </c>
      <c r="DKY101" t="s">
        <v>455</v>
      </c>
      <c r="DKZ101" t="s">
        <v>455</v>
      </c>
      <c r="DLA101" t="s">
        <v>455</v>
      </c>
      <c r="DLB101" t="s">
        <v>455</v>
      </c>
      <c r="DLC101" t="s">
        <v>455</v>
      </c>
      <c r="DLD101" t="s">
        <v>455</v>
      </c>
      <c r="DLE101" t="s">
        <v>455</v>
      </c>
      <c r="DLF101" t="s">
        <v>455</v>
      </c>
      <c r="DLG101" t="s">
        <v>455</v>
      </c>
      <c r="DLH101" t="s">
        <v>455</v>
      </c>
      <c r="DLI101" t="s">
        <v>455</v>
      </c>
      <c r="DLJ101" t="s">
        <v>455</v>
      </c>
      <c r="DLK101" t="s">
        <v>455</v>
      </c>
      <c r="DLL101" t="s">
        <v>455</v>
      </c>
      <c r="DLM101" t="s">
        <v>455</v>
      </c>
      <c r="DLN101" t="s">
        <v>455</v>
      </c>
      <c r="DLO101" t="s">
        <v>455</v>
      </c>
      <c r="DLP101" t="s">
        <v>455</v>
      </c>
      <c r="DLQ101" t="s">
        <v>455</v>
      </c>
      <c r="DLR101" t="s">
        <v>455</v>
      </c>
      <c r="DLS101" t="s">
        <v>455</v>
      </c>
      <c r="DLT101" t="s">
        <v>455</v>
      </c>
      <c r="DLU101" t="s">
        <v>455</v>
      </c>
      <c r="DLV101" t="s">
        <v>455</v>
      </c>
      <c r="DLW101" t="s">
        <v>455</v>
      </c>
      <c r="DLX101" t="s">
        <v>455</v>
      </c>
      <c r="DLY101" t="s">
        <v>455</v>
      </c>
      <c r="DLZ101" t="s">
        <v>455</v>
      </c>
      <c r="DMA101" t="s">
        <v>455</v>
      </c>
      <c r="DMB101" t="s">
        <v>455</v>
      </c>
      <c r="DMC101" t="s">
        <v>455</v>
      </c>
      <c r="DMD101" t="s">
        <v>455</v>
      </c>
      <c r="DME101" t="s">
        <v>455</v>
      </c>
      <c r="DMF101" t="s">
        <v>455</v>
      </c>
      <c r="DMG101" t="s">
        <v>455</v>
      </c>
      <c r="DMH101" t="s">
        <v>455</v>
      </c>
      <c r="DMI101" t="s">
        <v>455</v>
      </c>
      <c r="DMJ101" t="s">
        <v>455</v>
      </c>
      <c r="DMK101" t="s">
        <v>455</v>
      </c>
      <c r="DML101" t="s">
        <v>455</v>
      </c>
      <c r="DMM101" t="s">
        <v>455</v>
      </c>
      <c r="DMN101" t="s">
        <v>455</v>
      </c>
      <c r="DMO101" t="s">
        <v>455</v>
      </c>
      <c r="DMP101" t="s">
        <v>455</v>
      </c>
      <c r="DMQ101" t="s">
        <v>455</v>
      </c>
      <c r="DMR101" t="s">
        <v>455</v>
      </c>
      <c r="DMS101" t="s">
        <v>455</v>
      </c>
      <c r="DMT101" t="s">
        <v>455</v>
      </c>
      <c r="DMU101" t="s">
        <v>455</v>
      </c>
      <c r="DMV101" t="s">
        <v>455</v>
      </c>
      <c r="DMW101" t="s">
        <v>455</v>
      </c>
      <c r="DMX101" t="s">
        <v>455</v>
      </c>
      <c r="DMY101" t="s">
        <v>455</v>
      </c>
      <c r="DMZ101" t="s">
        <v>455</v>
      </c>
      <c r="DNA101" t="s">
        <v>455</v>
      </c>
      <c r="DNB101" t="s">
        <v>455</v>
      </c>
      <c r="DNC101" t="s">
        <v>455</v>
      </c>
      <c r="DND101" t="s">
        <v>455</v>
      </c>
      <c r="DNE101" t="s">
        <v>455</v>
      </c>
      <c r="DNF101" t="s">
        <v>455</v>
      </c>
      <c r="DNG101" t="s">
        <v>455</v>
      </c>
      <c r="DNH101" t="s">
        <v>455</v>
      </c>
      <c r="DNI101" t="s">
        <v>455</v>
      </c>
      <c r="DNJ101" t="s">
        <v>455</v>
      </c>
      <c r="DNK101" t="s">
        <v>455</v>
      </c>
      <c r="DNL101" t="s">
        <v>455</v>
      </c>
      <c r="DNM101" t="s">
        <v>455</v>
      </c>
      <c r="DNN101" t="s">
        <v>455</v>
      </c>
      <c r="DNO101" t="s">
        <v>455</v>
      </c>
      <c r="DNP101" t="s">
        <v>455</v>
      </c>
      <c r="DNQ101" t="s">
        <v>455</v>
      </c>
      <c r="DNR101" t="s">
        <v>455</v>
      </c>
      <c r="DNS101" t="s">
        <v>455</v>
      </c>
      <c r="DNT101" t="s">
        <v>455</v>
      </c>
      <c r="DNU101" t="s">
        <v>455</v>
      </c>
      <c r="DNV101" t="s">
        <v>455</v>
      </c>
      <c r="DNW101" t="s">
        <v>455</v>
      </c>
      <c r="DNX101" t="s">
        <v>455</v>
      </c>
      <c r="DNY101" t="s">
        <v>455</v>
      </c>
      <c r="DNZ101" t="s">
        <v>455</v>
      </c>
      <c r="DOA101" t="s">
        <v>455</v>
      </c>
      <c r="DOB101" t="s">
        <v>455</v>
      </c>
      <c r="DOC101" t="s">
        <v>455</v>
      </c>
      <c r="DOD101" t="s">
        <v>455</v>
      </c>
      <c r="DOE101" t="s">
        <v>455</v>
      </c>
      <c r="DOF101" t="s">
        <v>455</v>
      </c>
      <c r="DOG101" t="s">
        <v>455</v>
      </c>
      <c r="DOH101" t="s">
        <v>455</v>
      </c>
      <c r="DOI101" t="s">
        <v>455</v>
      </c>
      <c r="DOJ101" t="s">
        <v>455</v>
      </c>
      <c r="DOK101" t="s">
        <v>455</v>
      </c>
      <c r="DOL101" t="s">
        <v>455</v>
      </c>
      <c r="DOM101" t="s">
        <v>455</v>
      </c>
      <c r="DON101" t="s">
        <v>455</v>
      </c>
      <c r="DOO101" t="s">
        <v>455</v>
      </c>
      <c r="DOP101" t="s">
        <v>455</v>
      </c>
      <c r="DOQ101" t="s">
        <v>455</v>
      </c>
      <c r="DOR101" t="s">
        <v>455</v>
      </c>
      <c r="DOS101" t="s">
        <v>455</v>
      </c>
      <c r="DOT101" t="s">
        <v>455</v>
      </c>
      <c r="DOU101" t="s">
        <v>455</v>
      </c>
      <c r="DOV101" t="s">
        <v>455</v>
      </c>
      <c r="DOW101" t="s">
        <v>455</v>
      </c>
      <c r="DOX101" t="s">
        <v>455</v>
      </c>
      <c r="DOY101" t="s">
        <v>455</v>
      </c>
      <c r="DOZ101" t="s">
        <v>455</v>
      </c>
      <c r="DPA101" t="s">
        <v>455</v>
      </c>
      <c r="DPB101" t="s">
        <v>455</v>
      </c>
      <c r="DPC101" t="s">
        <v>455</v>
      </c>
      <c r="DPD101" t="s">
        <v>455</v>
      </c>
      <c r="DPE101" t="s">
        <v>455</v>
      </c>
      <c r="DPF101" t="s">
        <v>455</v>
      </c>
      <c r="DPG101" t="s">
        <v>455</v>
      </c>
      <c r="DPH101" t="s">
        <v>455</v>
      </c>
      <c r="DPI101" t="s">
        <v>455</v>
      </c>
      <c r="DPJ101" t="s">
        <v>455</v>
      </c>
      <c r="DPK101" t="s">
        <v>455</v>
      </c>
      <c r="DPL101" t="s">
        <v>455</v>
      </c>
      <c r="DPM101" t="s">
        <v>455</v>
      </c>
      <c r="DPN101" t="s">
        <v>455</v>
      </c>
      <c r="DPO101" t="s">
        <v>455</v>
      </c>
      <c r="DPP101" t="s">
        <v>455</v>
      </c>
      <c r="DPQ101" t="s">
        <v>455</v>
      </c>
      <c r="DPR101" t="s">
        <v>455</v>
      </c>
      <c r="DPS101" t="s">
        <v>455</v>
      </c>
      <c r="DPT101" t="s">
        <v>455</v>
      </c>
      <c r="DPU101" t="s">
        <v>455</v>
      </c>
      <c r="DPV101" t="s">
        <v>455</v>
      </c>
      <c r="DPW101" t="s">
        <v>455</v>
      </c>
      <c r="DPX101" t="s">
        <v>455</v>
      </c>
      <c r="DPY101" t="s">
        <v>455</v>
      </c>
      <c r="DPZ101" t="s">
        <v>455</v>
      </c>
      <c r="DQA101" t="s">
        <v>455</v>
      </c>
      <c r="DQB101" t="s">
        <v>455</v>
      </c>
      <c r="DQC101" t="s">
        <v>455</v>
      </c>
      <c r="DQD101" t="s">
        <v>455</v>
      </c>
      <c r="DQE101" t="s">
        <v>455</v>
      </c>
      <c r="DQF101" t="s">
        <v>455</v>
      </c>
      <c r="DQG101" t="s">
        <v>455</v>
      </c>
      <c r="DQH101" t="s">
        <v>455</v>
      </c>
      <c r="DQI101" t="s">
        <v>455</v>
      </c>
      <c r="DQJ101" t="s">
        <v>455</v>
      </c>
      <c r="DQK101" t="s">
        <v>455</v>
      </c>
      <c r="DQL101" t="s">
        <v>455</v>
      </c>
      <c r="DQM101" t="s">
        <v>455</v>
      </c>
      <c r="DQN101" t="s">
        <v>455</v>
      </c>
      <c r="DQO101" t="s">
        <v>455</v>
      </c>
      <c r="DQP101" t="s">
        <v>455</v>
      </c>
      <c r="DQQ101" t="s">
        <v>455</v>
      </c>
      <c r="DQR101" t="s">
        <v>455</v>
      </c>
      <c r="DQS101" t="s">
        <v>455</v>
      </c>
      <c r="DQT101" t="s">
        <v>455</v>
      </c>
      <c r="DQU101" t="s">
        <v>455</v>
      </c>
      <c r="DQV101" t="s">
        <v>455</v>
      </c>
      <c r="DQW101" t="s">
        <v>455</v>
      </c>
      <c r="DQX101" t="s">
        <v>455</v>
      </c>
      <c r="DQY101" t="s">
        <v>455</v>
      </c>
      <c r="DQZ101" t="s">
        <v>455</v>
      </c>
      <c r="DRA101" t="s">
        <v>455</v>
      </c>
      <c r="DRB101" t="s">
        <v>455</v>
      </c>
      <c r="DRC101" t="s">
        <v>455</v>
      </c>
      <c r="DRD101" t="s">
        <v>455</v>
      </c>
      <c r="DRE101" t="s">
        <v>455</v>
      </c>
      <c r="DRF101" t="s">
        <v>455</v>
      </c>
      <c r="DRG101" t="s">
        <v>455</v>
      </c>
      <c r="DRH101" t="s">
        <v>455</v>
      </c>
      <c r="DRI101" t="s">
        <v>455</v>
      </c>
      <c r="DRJ101" t="s">
        <v>455</v>
      </c>
      <c r="DRK101" t="s">
        <v>455</v>
      </c>
      <c r="DRL101" t="s">
        <v>455</v>
      </c>
      <c r="DRM101" t="s">
        <v>455</v>
      </c>
      <c r="DRN101" t="s">
        <v>455</v>
      </c>
      <c r="DRO101" t="s">
        <v>455</v>
      </c>
      <c r="DRP101" t="s">
        <v>455</v>
      </c>
      <c r="DRQ101" t="s">
        <v>455</v>
      </c>
      <c r="DRR101" t="s">
        <v>455</v>
      </c>
      <c r="DRS101" t="s">
        <v>455</v>
      </c>
      <c r="DRT101" t="s">
        <v>455</v>
      </c>
      <c r="DRU101" t="s">
        <v>455</v>
      </c>
      <c r="DRV101" t="s">
        <v>455</v>
      </c>
      <c r="DRW101" t="s">
        <v>455</v>
      </c>
      <c r="DRX101" t="s">
        <v>455</v>
      </c>
      <c r="DRY101" t="s">
        <v>455</v>
      </c>
      <c r="DRZ101" t="s">
        <v>455</v>
      </c>
      <c r="DSA101" t="s">
        <v>455</v>
      </c>
      <c r="DSB101" t="s">
        <v>455</v>
      </c>
      <c r="DSC101" t="s">
        <v>455</v>
      </c>
      <c r="DSD101" t="s">
        <v>455</v>
      </c>
      <c r="DSE101" t="s">
        <v>455</v>
      </c>
      <c r="DSF101" t="s">
        <v>455</v>
      </c>
      <c r="DSG101" t="s">
        <v>455</v>
      </c>
      <c r="DSH101" t="s">
        <v>455</v>
      </c>
      <c r="DSI101" t="s">
        <v>455</v>
      </c>
      <c r="DSJ101" t="s">
        <v>455</v>
      </c>
      <c r="DSK101" t="s">
        <v>455</v>
      </c>
      <c r="DSL101" t="s">
        <v>455</v>
      </c>
      <c r="DSM101" t="s">
        <v>455</v>
      </c>
      <c r="DSN101" t="s">
        <v>455</v>
      </c>
      <c r="DSO101" t="s">
        <v>455</v>
      </c>
      <c r="DSP101" t="s">
        <v>455</v>
      </c>
      <c r="DSQ101" t="s">
        <v>455</v>
      </c>
      <c r="DSR101" t="s">
        <v>455</v>
      </c>
      <c r="DSS101" t="s">
        <v>455</v>
      </c>
      <c r="DST101" t="s">
        <v>455</v>
      </c>
      <c r="DSU101" t="s">
        <v>455</v>
      </c>
      <c r="DSV101" t="s">
        <v>455</v>
      </c>
      <c r="DSW101" t="s">
        <v>455</v>
      </c>
      <c r="DSX101" t="s">
        <v>455</v>
      </c>
      <c r="DSY101" t="s">
        <v>455</v>
      </c>
      <c r="DSZ101" t="s">
        <v>455</v>
      </c>
      <c r="DTA101" t="s">
        <v>455</v>
      </c>
      <c r="DTB101" t="s">
        <v>455</v>
      </c>
      <c r="DTC101" t="s">
        <v>455</v>
      </c>
      <c r="DTD101" t="s">
        <v>455</v>
      </c>
      <c r="DTE101" t="s">
        <v>455</v>
      </c>
      <c r="DTF101" t="s">
        <v>455</v>
      </c>
      <c r="DTG101" t="s">
        <v>455</v>
      </c>
      <c r="DTH101" t="s">
        <v>455</v>
      </c>
      <c r="DTI101" t="s">
        <v>455</v>
      </c>
      <c r="DTJ101" t="s">
        <v>455</v>
      </c>
      <c r="DTK101" t="s">
        <v>455</v>
      </c>
      <c r="DTL101" t="s">
        <v>455</v>
      </c>
      <c r="DTM101" t="s">
        <v>455</v>
      </c>
      <c r="DTN101" t="s">
        <v>455</v>
      </c>
      <c r="DTO101" t="s">
        <v>455</v>
      </c>
      <c r="DTP101" t="s">
        <v>455</v>
      </c>
      <c r="DTQ101" t="s">
        <v>455</v>
      </c>
      <c r="DTR101" t="s">
        <v>455</v>
      </c>
      <c r="DTS101" t="s">
        <v>455</v>
      </c>
      <c r="DTT101" t="s">
        <v>455</v>
      </c>
      <c r="DTU101" t="s">
        <v>455</v>
      </c>
      <c r="DTV101" t="s">
        <v>455</v>
      </c>
      <c r="DTW101" t="s">
        <v>455</v>
      </c>
      <c r="DTX101" t="s">
        <v>455</v>
      </c>
      <c r="DTY101" t="s">
        <v>455</v>
      </c>
      <c r="DTZ101" t="s">
        <v>455</v>
      </c>
      <c r="DUA101" t="s">
        <v>455</v>
      </c>
      <c r="DUB101" t="s">
        <v>455</v>
      </c>
      <c r="DUC101" t="s">
        <v>455</v>
      </c>
      <c r="DUD101" t="s">
        <v>455</v>
      </c>
      <c r="DUE101" t="s">
        <v>455</v>
      </c>
      <c r="DUF101" t="s">
        <v>455</v>
      </c>
      <c r="DUG101" t="s">
        <v>455</v>
      </c>
      <c r="DUH101" t="s">
        <v>455</v>
      </c>
      <c r="DUI101" t="s">
        <v>455</v>
      </c>
      <c r="DUJ101" t="s">
        <v>455</v>
      </c>
      <c r="DUK101" t="s">
        <v>455</v>
      </c>
      <c r="DUL101" t="s">
        <v>455</v>
      </c>
      <c r="DUM101" t="s">
        <v>455</v>
      </c>
      <c r="DUN101" t="s">
        <v>455</v>
      </c>
      <c r="DUO101" t="s">
        <v>455</v>
      </c>
      <c r="DUP101" t="s">
        <v>455</v>
      </c>
      <c r="DUQ101" t="s">
        <v>455</v>
      </c>
      <c r="DUR101" t="s">
        <v>455</v>
      </c>
      <c r="DUS101" t="s">
        <v>455</v>
      </c>
      <c r="DUT101" t="s">
        <v>455</v>
      </c>
      <c r="DUU101" t="s">
        <v>455</v>
      </c>
      <c r="DUV101" t="s">
        <v>455</v>
      </c>
      <c r="DUW101" t="s">
        <v>455</v>
      </c>
      <c r="DUX101" t="s">
        <v>455</v>
      </c>
      <c r="DUY101" t="s">
        <v>455</v>
      </c>
      <c r="DUZ101" t="s">
        <v>455</v>
      </c>
      <c r="DVA101" t="s">
        <v>455</v>
      </c>
      <c r="DVB101" t="s">
        <v>455</v>
      </c>
      <c r="DVC101" t="s">
        <v>455</v>
      </c>
      <c r="DVD101" t="s">
        <v>455</v>
      </c>
      <c r="DVE101" t="s">
        <v>455</v>
      </c>
      <c r="DVF101" t="s">
        <v>455</v>
      </c>
      <c r="DVG101" t="s">
        <v>455</v>
      </c>
      <c r="DVH101" t="s">
        <v>455</v>
      </c>
      <c r="DVI101" t="s">
        <v>455</v>
      </c>
      <c r="DVJ101" t="s">
        <v>455</v>
      </c>
      <c r="DVK101" t="s">
        <v>455</v>
      </c>
      <c r="DVL101" t="s">
        <v>455</v>
      </c>
      <c r="DVM101" t="s">
        <v>455</v>
      </c>
      <c r="DVN101" t="s">
        <v>455</v>
      </c>
      <c r="DVO101" t="s">
        <v>455</v>
      </c>
      <c r="DVP101" t="s">
        <v>455</v>
      </c>
      <c r="DVQ101" t="s">
        <v>455</v>
      </c>
      <c r="DVR101" t="s">
        <v>455</v>
      </c>
      <c r="DVS101" t="s">
        <v>455</v>
      </c>
      <c r="DVT101" t="s">
        <v>455</v>
      </c>
      <c r="DVU101" t="s">
        <v>455</v>
      </c>
      <c r="DVV101" t="s">
        <v>455</v>
      </c>
      <c r="DVW101" t="s">
        <v>455</v>
      </c>
      <c r="DVX101" t="s">
        <v>455</v>
      </c>
      <c r="DVY101" t="s">
        <v>455</v>
      </c>
      <c r="DVZ101" t="s">
        <v>455</v>
      </c>
      <c r="DWA101" t="s">
        <v>455</v>
      </c>
      <c r="DWB101" t="s">
        <v>455</v>
      </c>
      <c r="DWC101" t="s">
        <v>455</v>
      </c>
      <c r="DWD101" t="s">
        <v>455</v>
      </c>
      <c r="DWE101" t="s">
        <v>455</v>
      </c>
      <c r="DWF101" t="s">
        <v>455</v>
      </c>
      <c r="DWG101" t="s">
        <v>455</v>
      </c>
      <c r="DWH101" t="s">
        <v>455</v>
      </c>
      <c r="DWI101" t="s">
        <v>455</v>
      </c>
      <c r="DWJ101" t="s">
        <v>455</v>
      </c>
      <c r="DWK101" t="s">
        <v>455</v>
      </c>
      <c r="DWL101" t="s">
        <v>455</v>
      </c>
      <c r="DWM101" t="s">
        <v>455</v>
      </c>
      <c r="DWN101" t="s">
        <v>455</v>
      </c>
      <c r="DWO101" t="s">
        <v>455</v>
      </c>
      <c r="DWP101" t="s">
        <v>455</v>
      </c>
      <c r="DWQ101" t="s">
        <v>455</v>
      </c>
      <c r="DWR101" t="s">
        <v>455</v>
      </c>
      <c r="DWS101" t="s">
        <v>455</v>
      </c>
      <c r="DWT101" t="s">
        <v>455</v>
      </c>
      <c r="DWU101" t="s">
        <v>455</v>
      </c>
      <c r="DWV101" t="s">
        <v>455</v>
      </c>
      <c r="DWW101" t="s">
        <v>455</v>
      </c>
      <c r="DWX101" t="s">
        <v>455</v>
      </c>
      <c r="DWY101" t="s">
        <v>455</v>
      </c>
      <c r="DWZ101" t="s">
        <v>455</v>
      </c>
      <c r="DXA101" t="s">
        <v>455</v>
      </c>
      <c r="DXB101" t="s">
        <v>455</v>
      </c>
      <c r="DXC101" t="s">
        <v>455</v>
      </c>
      <c r="DXD101" t="s">
        <v>455</v>
      </c>
      <c r="DXE101" t="s">
        <v>455</v>
      </c>
      <c r="DXF101" t="s">
        <v>455</v>
      </c>
      <c r="DXG101" t="s">
        <v>455</v>
      </c>
      <c r="DXH101" t="s">
        <v>455</v>
      </c>
      <c r="DXI101" t="s">
        <v>455</v>
      </c>
      <c r="DXJ101" t="s">
        <v>455</v>
      </c>
      <c r="DXK101" t="s">
        <v>455</v>
      </c>
      <c r="DXL101" t="s">
        <v>455</v>
      </c>
      <c r="DXM101" t="s">
        <v>455</v>
      </c>
      <c r="DXN101" t="s">
        <v>455</v>
      </c>
      <c r="DXO101" t="s">
        <v>455</v>
      </c>
      <c r="DXP101" t="s">
        <v>455</v>
      </c>
      <c r="DXQ101" t="s">
        <v>455</v>
      </c>
      <c r="DXR101" t="s">
        <v>455</v>
      </c>
      <c r="DXS101" t="s">
        <v>455</v>
      </c>
      <c r="DXT101" t="s">
        <v>455</v>
      </c>
      <c r="DXU101" t="s">
        <v>455</v>
      </c>
      <c r="DXV101" t="s">
        <v>455</v>
      </c>
      <c r="DXW101" t="s">
        <v>455</v>
      </c>
      <c r="DXX101" t="s">
        <v>455</v>
      </c>
      <c r="DXY101" t="s">
        <v>455</v>
      </c>
      <c r="DXZ101" t="s">
        <v>455</v>
      </c>
      <c r="DYA101" t="s">
        <v>455</v>
      </c>
      <c r="DYB101" t="s">
        <v>455</v>
      </c>
      <c r="DYC101" t="s">
        <v>455</v>
      </c>
      <c r="DYD101" t="s">
        <v>455</v>
      </c>
      <c r="DYE101" t="s">
        <v>455</v>
      </c>
      <c r="DYF101" t="s">
        <v>455</v>
      </c>
      <c r="DYG101" t="s">
        <v>455</v>
      </c>
      <c r="DYH101" t="s">
        <v>455</v>
      </c>
      <c r="DYI101" t="s">
        <v>455</v>
      </c>
      <c r="DYJ101" t="s">
        <v>455</v>
      </c>
      <c r="DYK101" t="s">
        <v>455</v>
      </c>
      <c r="DYL101" t="s">
        <v>455</v>
      </c>
      <c r="DYM101" t="s">
        <v>455</v>
      </c>
      <c r="DYN101" t="s">
        <v>455</v>
      </c>
      <c r="DYO101" t="s">
        <v>455</v>
      </c>
      <c r="DYP101" t="s">
        <v>455</v>
      </c>
      <c r="DYQ101" t="s">
        <v>455</v>
      </c>
      <c r="DYR101" t="s">
        <v>455</v>
      </c>
      <c r="DYS101" t="s">
        <v>455</v>
      </c>
      <c r="DYT101" t="s">
        <v>455</v>
      </c>
      <c r="DYU101" t="s">
        <v>455</v>
      </c>
      <c r="DYV101" t="s">
        <v>455</v>
      </c>
      <c r="DYW101" t="s">
        <v>455</v>
      </c>
      <c r="DYX101" t="s">
        <v>455</v>
      </c>
      <c r="DYY101" t="s">
        <v>455</v>
      </c>
      <c r="DYZ101" t="s">
        <v>455</v>
      </c>
      <c r="DZA101" t="s">
        <v>455</v>
      </c>
      <c r="DZB101" t="s">
        <v>455</v>
      </c>
      <c r="DZC101" t="s">
        <v>455</v>
      </c>
      <c r="DZD101" t="s">
        <v>455</v>
      </c>
      <c r="DZE101" t="s">
        <v>455</v>
      </c>
      <c r="DZF101" t="s">
        <v>455</v>
      </c>
      <c r="DZG101" t="s">
        <v>455</v>
      </c>
      <c r="DZH101" t="s">
        <v>455</v>
      </c>
      <c r="DZI101" t="s">
        <v>455</v>
      </c>
      <c r="DZJ101" t="s">
        <v>455</v>
      </c>
      <c r="DZK101" t="s">
        <v>455</v>
      </c>
      <c r="DZL101" t="s">
        <v>455</v>
      </c>
      <c r="DZM101" t="s">
        <v>455</v>
      </c>
      <c r="DZN101" t="s">
        <v>455</v>
      </c>
      <c r="DZO101" t="s">
        <v>455</v>
      </c>
      <c r="DZP101" t="s">
        <v>455</v>
      </c>
      <c r="DZQ101" t="s">
        <v>455</v>
      </c>
      <c r="DZR101" t="s">
        <v>455</v>
      </c>
      <c r="DZS101" t="s">
        <v>455</v>
      </c>
      <c r="DZT101" t="s">
        <v>455</v>
      </c>
      <c r="DZU101" t="s">
        <v>455</v>
      </c>
      <c r="DZV101" t="s">
        <v>455</v>
      </c>
      <c r="DZW101" t="s">
        <v>455</v>
      </c>
      <c r="DZX101" t="s">
        <v>455</v>
      </c>
      <c r="DZY101" t="s">
        <v>455</v>
      </c>
      <c r="DZZ101" t="s">
        <v>455</v>
      </c>
      <c r="EAA101" t="s">
        <v>455</v>
      </c>
      <c r="EAB101" t="s">
        <v>455</v>
      </c>
      <c r="EAC101" t="s">
        <v>455</v>
      </c>
      <c r="EAD101" t="s">
        <v>455</v>
      </c>
      <c r="EAE101" t="s">
        <v>455</v>
      </c>
      <c r="EAF101" t="s">
        <v>455</v>
      </c>
      <c r="EAG101" t="s">
        <v>455</v>
      </c>
      <c r="EAH101" t="s">
        <v>455</v>
      </c>
      <c r="EAI101" t="s">
        <v>455</v>
      </c>
      <c r="EAJ101" t="s">
        <v>455</v>
      </c>
      <c r="EAK101" t="s">
        <v>455</v>
      </c>
      <c r="EAL101" t="s">
        <v>455</v>
      </c>
      <c r="EAM101" t="s">
        <v>455</v>
      </c>
      <c r="EAN101" t="s">
        <v>455</v>
      </c>
      <c r="EAO101" t="s">
        <v>455</v>
      </c>
      <c r="EAP101" t="s">
        <v>455</v>
      </c>
      <c r="EAQ101" t="s">
        <v>455</v>
      </c>
      <c r="EAR101" t="s">
        <v>455</v>
      </c>
      <c r="EAS101" t="s">
        <v>455</v>
      </c>
      <c r="EAT101" t="s">
        <v>455</v>
      </c>
      <c r="EAU101" t="s">
        <v>455</v>
      </c>
      <c r="EAV101" t="s">
        <v>455</v>
      </c>
      <c r="EAW101" t="s">
        <v>455</v>
      </c>
      <c r="EAX101" t="s">
        <v>455</v>
      </c>
      <c r="EAY101" t="s">
        <v>455</v>
      </c>
      <c r="EAZ101" t="s">
        <v>455</v>
      </c>
      <c r="EBA101" t="s">
        <v>455</v>
      </c>
      <c r="EBB101" t="s">
        <v>455</v>
      </c>
      <c r="EBC101" t="s">
        <v>455</v>
      </c>
      <c r="EBD101" t="s">
        <v>455</v>
      </c>
      <c r="EBE101" t="s">
        <v>455</v>
      </c>
      <c r="EBF101" t="s">
        <v>455</v>
      </c>
      <c r="EBG101" t="s">
        <v>455</v>
      </c>
      <c r="EBH101" t="s">
        <v>455</v>
      </c>
      <c r="EBI101" t="s">
        <v>455</v>
      </c>
      <c r="EBJ101" t="s">
        <v>455</v>
      </c>
      <c r="EBK101" t="s">
        <v>455</v>
      </c>
      <c r="EBL101" t="s">
        <v>455</v>
      </c>
      <c r="EBM101" t="s">
        <v>455</v>
      </c>
      <c r="EBN101" t="s">
        <v>455</v>
      </c>
      <c r="EBO101" t="s">
        <v>455</v>
      </c>
      <c r="EBP101" t="s">
        <v>455</v>
      </c>
      <c r="EBQ101" t="s">
        <v>455</v>
      </c>
      <c r="EBR101" t="s">
        <v>455</v>
      </c>
      <c r="EBS101" t="s">
        <v>455</v>
      </c>
      <c r="EBT101" t="s">
        <v>455</v>
      </c>
      <c r="EBU101" t="s">
        <v>455</v>
      </c>
      <c r="EBV101" t="s">
        <v>455</v>
      </c>
      <c r="EBW101" t="s">
        <v>455</v>
      </c>
      <c r="EBX101" t="s">
        <v>455</v>
      </c>
      <c r="EBY101" t="s">
        <v>455</v>
      </c>
      <c r="EBZ101" t="s">
        <v>455</v>
      </c>
      <c r="ECA101" t="s">
        <v>455</v>
      </c>
      <c r="ECB101" t="s">
        <v>455</v>
      </c>
      <c r="ECC101" t="s">
        <v>455</v>
      </c>
      <c r="ECD101" t="s">
        <v>455</v>
      </c>
      <c r="ECE101" t="s">
        <v>455</v>
      </c>
      <c r="ECF101" t="s">
        <v>455</v>
      </c>
      <c r="ECG101" t="s">
        <v>455</v>
      </c>
      <c r="ECH101" t="s">
        <v>455</v>
      </c>
      <c r="ECI101" t="s">
        <v>455</v>
      </c>
      <c r="ECJ101" t="s">
        <v>455</v>
      </c>
      <c r="ECK101" t="s">
        <v>455</v>
      </c>
      <c r="ECL101" t="s">
        <v>455</v>
      </c>
      <c r="ECM101" t="s">
        <v>455</v>
      </c>
      <c r="ECN101" t="s">
        <v>455</v>
      </c>
      <c r="ECO101" t="s">
        <v>455</v>
      </c>
      <c r="ECP101" t="s">
        <v>455</v>
      </c>
      <c r="ECQ101" t="s">
        <v>455</v>
      </c>
      <c r="ECR101" t="s">
        <v>455</v>
      </c>
      <c r="ECS101" t="s">
        <v>455</v>
      </c>
      <c r="ECT101" t="s">
        <v>455</v>
      </c>
      <c r="ECU101" t="s">
        <v>455</v>
      </c>
      <c r="ECV101" t="s">
        <v>455</v>
      </c>
      <c r="ECW101" t="s">
        <v>455</v>
      </c>
      <c r="ECX101" t="s">
        <v>455</v>
      </c>
      <c r="ECY101" t="s">
        <v>455</v>
      </c>
      <c r="ECZ101" t="s">
        <v>455</v>
      </c>
      <c r="EDA101" t="s">
        <v>455</v>
      </c>
      <c r="EDB101" t="s">
        <v>455</v>
      </c>
      <c r="EDC101" t="s">
        <v>455</v>
      </c>
      <c r="EDD101" t="s">
        <v>455</v>
      </c>
      <c r="EDE101" t="s">
        <v>455</v>
      </c>
      <c r="EDF101" t="s">
        <v>455</v>
      </c>
      <c r="EDG101" t="s">
        <v>455</v>
      </c>
      <c r="EDH101" t="s">
        <v>455</v>
      </c>
      <c r="EDI101" t="s">
        <v>455</v>
      </c>
      <c r="EDJ101" t="s">
        <v>455</v>
      </c>
      <c r="EDK101" t="s">
        <v>455</v>
      </c>
      <c r="EDL101" t="s">
        <v>455</v>
      </c>
      <c r="EDM101" t="s">
        <v>455</v>
      </c>
      <c r="EDN101" t="s">
        <v>455</v>
      </c>
      <c r="EDO101" t="s">
        <v>455</v>
      </c>
      <c r="EDP101" t="s">
        <v>455</v>
      </c>
      <c r="EDQ101" t="s">
        <v>455</v>
      </c>
      <c r="EDR101" t="s">
        <v>455</v>
      </c>
      <c r="EDS101" t="s">
        <v>455</v>
      </c>
      <c r="EDT101" t="s">
        <v>455</v>
      </c>
      <c r="EDU101" t="s">
        <v>455</v>
      </c>
      <c r="EDV101" t="s">
        <v>455</v>
      </c>
      <c r="EDW101" t="s">
        <v>455</v>
      </c>
      <c r="EDX101" t="s">
        <v>455</v>
      </c>
      <c r="EDY101" t="s">
        <v>455</v>
      </c>
      <c r="EDZ101" t="s">
        <v>455</v>
      </c>
      <c r="EEA101" t="s">
        <v>455</v>
      </c>
      <c r="EEB101" t="s">
        <v>455</v>
      </c>
      <c r="EEC101" t="s">
        <v>455</v>
      </c>
      <c r="EED101" t="s">
        <v>455</v>
      </c>
      <c r="EEE101" t="s">
        <v>455</v>
      </c>
      <c r="EEF101" t="s">
        <v>455</v>
      </c>
      <c r="EEG101" t="s">
        <v>455</v>
      </c>
      <c r="EEH101" t="s">
        <v>455</v>
      </c>
      <c r="EEI101" t="s">
        <v>455</v>
      </c>
      <c r="EEJ101" t="s">
        <v>455</v>
      </c>
      <c r="EEK101" t="s">
        <v>455</v>
      </c>
      <c r="EEL101" t="s">
        <v>455</v>
      </c>
      <c r="EEM101" t="s">
        <v>455</v>
      </c>
      <c r="EEN101" t="s">
        <v>455</v>
      </c>
      <c r="EEO101" t="s">
        <v>455</v>
      </c>
      <c r="EEP101" t="s">
        <v>455</v>
      </c>
      <c r="EEQ101" t="s">
        <v>455</v>
      </c>
      <c r="EER101" t="s">
        <v>455</v>
      </c>
      <c r="EES101" t="s">
        <v>455</v>
      </c>
      <c r="EET101" t="s">
        <v>455</v>
      </c>
      <c r="EEU101" t="s">
        <v>455</v>
      </c>
      <c r="EEV101" t="s">
        <v>455</v>
      </c>
      <c r="EEW101" t="s">
        <v>455</v>
      </c>
      <c r="EEX101" t="s">
        <v>455</v>
      </c>
      <c r="EEY101" t="s">
        <v>455</v>
      </c>
      <c r="EEZ101" t="s">
        <v>455</v>
      </c>
      <c r="EFA101" t="s">
        <v>455</v>
      </c>
      <c r="EFB101" t="s">
        <v>455</v>
      </c>
      <c r="EFC101" t="s">
        <v>455</v>
      </c>
      <c r="EFD101" t="s">
        <v>455</v>
      </c>
      <c r="EFE101" t="s">
        <v>455</v>
      </c>
      <c r="EFF101" t="s">
        <v>455</v>
      </c>
      <c r="EFG101" t="s">
        <v>455</v>
      </c>
      <c r="EFH101" t="s">
        <v>455</v>
      </c>
      <c r="EFI101" t="s">
        <v>455</v>
      </c>
      <c r="EFJ101" t="s">
        <v>455</v>
      </c>
      <c r="EFK101" t="s">
        <v>455</v>
      </c>
      <c r="EFL101" t="s">
        <v>455</v>
      </c>
      <c r="EFM101" t="s">
        <v>455</v>
      </c>
      <c r="EFN101" t="s">
        <v>455</v>
      </c>
      <c r="EFO101" t="s">
        <v>455</v>
      </c>
      <c r="EFP101" t="s">
        <v>455</v>
      </c>
      <c r="EFQ101" t="s">
        <v>455</v>
      </c>
      <c r="EFR101" t="s">
        <v>455</v>
      </c>
      <c r="EFS101" t="s">
        <v>455</v>
      </c>
      <c r="EFT101" t="s">
        <v>455</v>
      </c>
      <c r="EFU101" t="s">
        <v>455</v>
      </c>
      <c r="EFV101" t="s">
        <v>455</v>
      </c>
      <c r="EFW101" t="s">
        <v>455</v>
      </c>
      <c r="EFX101" t="s">
        <v>455</v>
      </c>
      <c r="EFY101" t="s">
        <v>455</v>
      </c>
      <c r="EFZ101" t="s">
        <v>455</v>
      </c>
      <c r="EGA101" t="s">
        <v>455</v>
      </c>
      <c r="EGB101" t="s">
        <v>455</v>
      </c>
      <c r="EGC101" t="s">
        <v>455</v>
      </c>
      <c r="EGD101" t="s">
        <v>455</v>
      </c>
      <c r="EGE101" t="s">
        <v>455</v>
      </c>
      <c r="EGF101" t="s">
        <v>455</v>
      </c>
      <c r="EGG101" t="s">
        <v>455</v>
      </c>
      <c r="EGH101" t="s">
        <v>455</v>
      </c>
      <c r="EGI101" t="s">
        <v>455</v>
      </c>
      <c r="EGJ101" t="s">
        <v>455</v>
      </c>
      <c r="EGK101" t="s">
        <v>455</v>
      </c>
      <c r="EGL101" t="s">
        <v>455</v>
      </c>
      <c r="EGM101" t="s">
        <v>455</v>
      </c>
      <c r="EGN101" t="s">
        <v>455</v>
      </c>
      <c r="EGO101" t="s">
        <v>455</v>
      </c>
      <c r="EGP101" t="s">
        <v>455</v>
      </c>
      <c r="EGQ101" t="s">
        <v>455</v>
      </c>
      <c r="EGR101" t="s">
        <v>455</v>
      </c>
      <c r="EGS101" t="s">
        <v>455</v>
      </c>
      <c r="EGT101" t="s">
        <v>455</v>
      </c>
      <c r="EGU101" t="s">
        <v>455</v>
      </c>
      <c r="EGV101" t="s">
        <v>455</v>
      </c>
      <c r="EGW101" t="s">
        <v>455</v>
      </c>
      <c r="EGX101" t="s">
        <v>455</v>
      </c>
      <c r="EGY101" t="s">
        <v>455</v>
      </c>
      <c r="EGZ101" t="s">
        <v>455</v>
      </c>
      <c r="EHA101" t="s">
        <v>455</v>
      </c>
      <c r="EHB101" t="s">
        <v>455</v>
      </c>
      <c r="EHC101" t="s">
        <v>455</v>
      </c>
      <c r="EHD101" t="s">
        <v>455</v>
      </c>
      <c r="EHE101" t="s">
        <v>455</v>
      </c>
      <c r="EHF101" t="s">
        <v>455</v>
      </c>
      <c r="EHG101" t="s">
        <v>455</v>
      </c>
      <c r="EHH101" t="s">
        <v>455</v>
      </c>
      <c r="EHI101" t="s">
        <v>455</v>
      </c>
      <c r="EHJ101" t="s">
        <v>455</v>
      </c>
      <c r="EHK101" t="s">
        <v>455</v>
      </c>
      <c r="EHL101" t="s">
        <v>455</v>
      </c>
      <c r="EHM101" t="s">
        <v>455</v>
      </c>
      <c r="EHN101" t="s">
        <v>455</v>
      </c>
      <c r="EHO101" t="s">
        <v>455</v>
      </c>
      <c r="EHP101" t="s">
        <v>455</v>
      </c>
      <c r="EHQ101" t="s">
        <v>455</v>
      </c>
      <c r="EHR101" t="s">
        <v>455</v>
      </c>
      <c r="EHS101" t="s">
        <v>455</v>
      </c>
      <c r="EHT101" t="s">
        <v>455</v>
      </c>
      <c r="EHU101" t="s">
        <v>455</v>
      </c>
      <c r="EHV101" t="s">
        <v>455</v>
      </c>
      <c r="EHW101" t="s">
        <v>455</v>
      </c>
      <c r="EHX101" t="s">
        <v>455</v>
      </c>
      <c r="EHY101" t="s">
        <v>455</v>
      </c>
      <c r="EHZ101" t="s">
        <v>455</v>
      </c>
      <c r="EIA101" t="s">
        <v>455</v>
      </c>
      <c r="EIB101" t="s">
        <v>455</v>
      </c>
      <c r="EIC101" t="s">
        <v>455</v>
      </c>
      <c r="EID101" t="s">
        <v>455</v>
      </c>
      <c r="EIE101" t="s">
        <v>455</v>
      </c>
      <c r="EIF101" t="s">
        <v>455</v>
      </c>
      <c r="EIG101" t="s">
        <v>455</v>
      </c>
      <c r="EIH101" t="s">
        <v>455</v>
      </c>
      <c r="EII101" t="s">
        <v>455</v>
      </c>
      <c r="EIJ101" t="s">
        <v>455</v>
      </c>
      <c r="EIK101" t="s">
        <v>455</v>
      </c>
      <c r="EIL101" t="s">
        <v>455</v>
      </c>
      <c r="EIM101" t="s">
        <v>455</v>
      </c>
      <c r="EIN101" t="s">
        <v>455</v>
      </c>
      <c r="EIO101" t="s">
        <v>455</v>
      </c>
      <c r="EIP101" t="s">
        <v>455</v>
      </c>
      <c r="EIQ101" t="s">
        <v>455</v>
      </c>
      <c r="EIR101" t="s">
        <v>455</v>
      </c>
      <c r="EIS101" t="s">
        <v>455</v>
      </c>
      <c r="EIT101" t="s">
        <v>455</v>
      </c>
      <c r="EIU101" t="s">
        <v>455</v>
      </c>
      <c r="EIV101" t="s">
        <v>455</v>
      </c>
      <c r="EIW101" t="s">
        <v>455</v>
      </c>
      <c r="EIX101" t="s">
        <v>455</v>
      </c>
      <c r="EIY101" t="s">
        <v>455</v>
      </c>
      <c r="EIZ101" t="s">
        <v>455</v>
      </c>
      <c r="EJA101" t="s">
        <v>455</v>
      </c>
      <c r="EJB101" t="s">
        <v>455</v>
      </c>
      <c r="EJC101" t="s">
        <v>455</v>
      </c>
      <c r="EJD101" t="s">
        <v>455</v>
      </c>
      <c r="EJE101" t="s">
        <v>455</v>
      </c>
      <c r="EJF101" t="s">
        <v>455</v>
      </c>
      <c r="EJG101" t="s">
        <v>455</v>
      </c>
      <c r="EJH101" t="s">
        <v>455</v>
      </c>
      <c r="EJI101" t="s">
        <v>455</v>
      </c>
      <c r="EJJ101" t="s">
        <v>455</v>
      </c>
      <c r="EJK101" t="s">
        <v>455</v>
      </c>
      <c r="EJL101" t="s">
        <v>455</v>
      </c>
      <c r="EJM101" t="s">
        <v>455</v>
      </c>
      <c r="EJN101" t="s">
        <v>455</v>
      </c>
      <c r="EJO101" t="s">
        <v>455</v>
      </c>
      <c r="EJP101" t="s">
        <v>455</v>
      </c>
      <c r="EJQ101" t="s">
        <v>455</v>
      </c>
      <c r="EJR101" t="s">
        <v>455</v>
      </c>
      <c r="EJS101" t="s">
        <v>455</v>
      </c>
      <c r="EJT101" t="s">
        <v>455</v>
      </c>
      <c r="EJU101" t="s">
        <v>455</v>
      </c>
      <c r="EJV101" t="s">
        <v>455</v>
      </c>
      <c r="EJW101" t="s">
        <v>455</v>
      </c>
      <c r="EJX101" t="s">
        <v>455</v>
      </c>
      <c r="EJY101" t="s">
        <v>455</v>
      </c>
      <c r="EJZ101" t="s">
        <v>455</v>
      </c>
      <c r="EKA101" t="s">
        <v>455</v>
      </c>
      <c r="EKB101" t="s">
        <v>455</v>
      </c>
      <c r="EKC101" t="s">
        <v>455</v>
      </c>
      <c r="EKD101" t="s">
        <v>455</v>
      </c>
      <c r="EKE101" t="s">
        <v>455</v>
      </c>
      <c r="EKF101" t="s">
        <v>455</v>
      </c>
      <c r="EKG101" t="s">
        <v>455</v>
      </c>
      <c r="EKH101" t="s">
        <v>455</v>
      </c>
      <c r="EKI101" t="s">
        <v>455</v>
      </c>
      <c r="EKJ101" t="s">
        <v>455</v>
      </c>
      <c r="EKK101" t="s">
        <v>455</v>
      </c>
      <c r="EKL101" t="s">
        <v>455</v>
      </c>
      <c r="EKM101" t="s">
        <v>455</v>
      </c>
      <c r="EKN101" t="s">
        <v>455</v>
      </c>
      <c r="EKO101" t="s">
        <v>455</v>
      </c>
      <c r="EKP101" t="s">
        <v>455</v>
      </c>
      <c r="EKQ101" t="s">
        <v>455</v>
      </c>
      <c r="EKR101" t="s">
        <v>455</v>
      </c>
      <c r="EKS101" t="s">
        <v>455</v>
      </c>
      <c r="EKT101" t="s">
        <v>455</v>
      </c>
      <c r="EKU101" t="s">
        <v>455</v>
      </c>
      <c r="EKV101" t="s">
        <v>455</v>
      </c>
      <c r="EKW101" t="s">
        <v>455</v>
      </c>
      <c r="EKX101" t="s">
        <v>455</v>
      </c>
      <c r="EKY101" t="s">
        <v>455</v>
      </c>
      <c r="EKZ101" t="s">
        <v>455</v>
      </c>
      <c r="ELA101" t="s">
        <v>455</v>
      </c>
      <c r="ELB101" t="s">
        <v>455</v>
      </c>
      <c r="ELC101" t="s">
        <v>455</v>
      </c>
      <c r="ELD101" t="s">
        <v>455</v>
      </c>
      <c r="ELE101" t="s">
        <v>455</v>
      </c>
      <c r="ELF101" t="s">
        <v>455</v>
      </c>
      <c r="ELG101" t="s">
        <v>455</v>
      </c>
      <c r="ELH101" t="s">
        <v>455</v>
      </c>
      <c r="ELI101" t="s">
        <v>455</v>
      </c>
      <c r="ELJ101" t="s">
        <v>455</v>
      </c>
      <c r="ELK101" t="s">
        <v>455</v>
      </c>
      <c r="ELL101" t="s">
        <v>455</v>
      </c>
      <c r="ELM101" t="s">
        <v>455</v>
      </c>
      <c r="ELN101" t="s">
        <v>455</v>
      </c>
      <c r="ELO101" t="s">
        <v>455</v>
      </c>
      <c r="ELP101" t="s">
        <v>455</v>
      </c>
      <c r="ELQ101" t="s">
        <v>455</v>
      </c>
      <c r="ELR101" t="s">
        <v>455</v>
      </c>
      <c r="ELS101" t="s">
        <v>455</v>
      </c>
      <c r="ELT101" t="s">
        <v>455</v>
      </c>
      <c r="ELU101" t="s">
        <v>455</v>
      </c>
      <c r="ELV101" t="s">
        <v>455</v>
      </c>
      <c r="ELW101" t="s">
        <v>455</v>
      </c>
      <c r="ELX101" t="s">
        <v>455</v>
      </c>
      <c r="ELY101" t="s">
        <v>455</v>
      </c>
      <c r="ELZ101" t="s">
        <v>455</v>
      </c>
      <c r="EMA101" t="s">
        <v>455</v>
      </c>
      <c r="EMB101" t="s">
        <v>455</v>
      </c>
      <c r="EMC101" t="s">
        <v>455</v>
      </c>
      <c r="EMD101" t="s">
        <v>455</v>
      </c>
      <c r="EME101" t="s">
        <v>455</v>
      </c>
      <c r="EMF101" t="s">
        <v>455</v>
      </c>
      <c r="EMG101" t="s">
        <v>455</v>
      </c>
      <c r="EMH101" t="s">
        <v>455</v>
      </c>
      <c r="EMI101" t="s">
        <v>455</v>
      </c>
      <c r="EMJ101" t="s">
        <v>455</v>
      </c>
      <c r="EMK101" t="s">
        <v>455</v>
      </c>
      <c r="EML101" t="s">
        <v>455</v>
      </c>
      <c r="EMM101" t="s">
        <v>455</v>
      </c>
      <c r="EMN101" t="s">
        <v>455</v>
      </c>
      <c r="EMO101" t="s">
        <v>455</v>
      </c>
      <c r="EMP101" t="s">
        <v>455</v>
      </c>
      <c r="EMQ101" t="s">
        <v>455</v>
      </c>
      <c r="EMR101" t="s">
        <v>455</v>
      </c>
      <c r="EMS101" t="s">
        <v>455</v>
      </c>
      <c r="EMT101" t="s">
        <v>455</v>
      </c>
      <c r="EMU101" t="s">
        <v>455</v>
      </c>
      <c r="EMV101" t="s">
        <v>455</v>
      </c>
      <c r="EMW101" t="s">
        <v>455</v>
      </c>
      <c r="EMX101" t="s">
        <v>455</v>
      </c>
      <c r="EMY101" t="s">
        <v>455</v>
      </c>
      <c r="EMZ101" t="s">
        <v>455</v>
      </c>
      <c r="ENA101" t="s">
        <v>455</v>
      </c>
      <c r="ENB101" t="s">
        <v>455</v>
      </c>
      <c r="ENC101" t="s">
        <v>455</v>
      </c>
      <c r="END101" t="s">
        <v>455</v>
      </c>
      <c r="ENE101" t="s">
        <v>455</v>
      </c>
      <c r="ENF101" t="s">
        <v>455</v>
      </c>
      <c r="ENG101" t="s">
        <v>455</v>
      </c>
      <c r="ENH101" t="s">
        <v>455</v>
      </c>
      <c r="ENI101" t="s">
        <v>455</v>
      </c>
      <c r="ENJ101" t="s">
        <v>455</v>
      </c>
      <c r="ENK101" t="s">
        <v>455</v>
      </c>
      <c r="ENL101" t="s">
        <v>455</v>
      </c>
      <c r="ENM101" t="s">
        <v>455</v>
      </c>
      <c r="ENN101" t="s">
        <v>455</v>
      </c>
      <c r="ENO101" t="s">
        <v>455</v>
      </c>
      <c r="ENP101" t="s">
        <v>455</v>
      </c>
      <c r="ENQ101" t="s">
        <v>455</v>
      </c>
      <c r="ENR101" t="s">
        <v>455</v>
      </c>
      <c r="ENS101" t="s">
        <v>455</v>
      </c>
      <c r="ENT101" t="s">
        <v>455</v>
      </c>
      <c r="ENU101" t="s">
        <v>455</v>
      </c>
      <c r="ENV101" t="s">
        <v>455</v>
      </c>
      <c r="ENW101" t="s">
        <v>455</v>
      </c>
      <c r="ENX101" t="s">
        <v>455</v>
      </c>
      <c r="ENY101" t="s">
        <v>455</v>
      </c>
      <c r="ENZ101" t="s">
        <v>455</v>
      </c>
      <c r="EOA101" t="s">
        <v>455</v>
      </c>
      <c r="EOB101" t="s">
        <v>455</v>
      </c>
      <c r="EOC101" t="s">
        <v>455</v>
      </c>
      <c r="EOD101" t="s">
        <v>455</v>
      </c>
      <c r="EOE101" t="s">
        <v>455</v>
      </c>
      <c r="EOF101" t="s">
        <v>455</v>
      </c>
      <c r="EOG101" t="s">
        <v>455</v>
      </c>
      <c r="EOH101" t="s">
        <v>455</v>
      </c>
      <c r="EOI101" t="s">
        <v>455</v>
      </c>
      <c r="EOJ101" t="s">
        <v>455</v>
      </c>
      <c r="EOK101" t="s">
        <v>455</v>
      </c>
      <c r="EOL101" t="s">
        <v>455</v>
      </c>
      <c r="EOM101" t="s">
        <v>455</v>
      </c>
      <c r="EON101" t="s">
        <v>455</v>
      </c>
      <c r="EOO101" t="s">
        <v>455</v>
      </c>
      <c r="EOP101" t="s">
        <v>455</v>
      </c>
      <c r="EOQ101" t="s">
        <v>455</v>
      </c>
      <c r="EOR101" t="s">
        <v>455</v>
      </c>
      <c r="EOS101" t="s">
        <v>455</v>
      </c>
      <c r="EOT101" t="s">
        <v>455</v>
      </c>
      <c r="EOU101" t="s">
        <v>455</v>
      </c>
      <c r="EOV101" t="s">
        <v>455</v>
      </c>
      <c r="EOW101" t="s">
        <v>455</v>
      </c>
      <c r="EOX101" t="s">
        <v>455</v>
      </c>
      <c r="EOY101" t="s">
        <v>455</v>
      </c>
      <c r="EOZ101" t="s">
        <v>455</v>
      </c>
      <c r="EPA101" t="s">
        <v>455</v>
      </c>
      <c r="EPB101" t="s">
        <v>455</v>
      </c>
      <c r="EPC101" t="s">
        <v>455</v>
      </c>
      <c r="EPD101" t="s">
        <v>455</v>
      </c>
      <c r="EPE101" t="s">
        <v>455</v>
      </c>
      <c r="EPF101" t="s">
        <v>455</v>
      </c>
      <c r="EPG101" t="s">
        <v>455</v>
      </c>
      <c r="EPH101" t="s">
        <v>455</v>
      </c>
      <c r="EPI101" t="s">
        <v>455</v>
      </c>
      <c r="EPJ101" t="s">
        <v>455</v>
      </c>
      <c r="EPK101" t="s">
        <v>455</v>
      </c>
      <c r="EPL101" t="s">
        <v>455</v>
      </c>
      <c r="EPM101" t="s">
        <v>455</v>
      </c>
      <c r="EPN101" t="s">
        <v>455</v>
      </c>
      <c r="EPO101" t="s">
        <v>455</v>
      </c>
      <c r="EPP101" t="s">
        <v>455</v>
      </c>
      <c r="EPQ101" t="s">
        <v>455</v>
      </c>
      <c r="EPR101" t="s">
        <v>455</v>
      </c>
      <c r="EPS101" t="s">
        <v>455</v>
      </c>
      <c r="EPT101" t="s">
        <v>455</v>
      </c>
      <c r="EPU101" t="s">
        <v>455</v>
      </c>
      <c r="EPV101" t="s">
        <v>455</v>
      </c>
      <c r="EPW101" t="s">
        <v>455</v>
      </c>
      <c r="EPX101" t="s">
        <v>455</v>
      </c>
      <c r="EPY101" t="s">
        <v>455</v>
      </c>
      <c r="EPZ101" t="s">
        <v>455</v>
      </c>
      <c r="EQA101" t="s">
        <v>455</v>
      </c>
      <c r="EQB101" t="s">
        <v>455</v>
      </c>
      <c r="EQC101" t="s">
        <v>455</v>
      </c>
      <c r="EQD101" t="s">
        <v>455</v>
      </c>
      <c r="EQE101" t="s">
        <v>455</v>
      </c>
      <c r="EQF101" t="s">
        <v>455</v>
      </c>
      <c r="EQG101" t="s">
        <v>455</v>
      </c>
      <c r="EQH101" t="s">
        <v>455</v>
      </c>
      <c r="EQI101" t="s">
        <v>455</v>
      </c>
      <c r="EQJ101" t="s">
        <v>455</v>
      </c>
      <c r="EQK101" t="s">
        <v>455</v>
      </c>
      <c r="EQL101" t="s">
        <v>455</v>
      </c>
      <c r="EQM101" t="s">
        <v>455</v>
      </c>
      <c r="EQN101" t="s">
        <v>455</v>
      </c>
      <c r="EQO101" t="s">
        <v>455</v>
      </c>
      <c r="EQP101" t="s">
        <v>455</v>
      </c>
      <c r="EQQ101" t="s">
        <v>455</v>
      </c>
      <c r="EQR101" t="s">
        <v>455</v>
      </c>
      <c r="EQS101" t="s">
        <v>455</v>
      </c>
      <c r="EQT101" t="s">
        <v>455</v>
      </c>
      <c r="EQU101" t="s">
        <v>455</v>
      </c>
      <c r="EQV101" t="s">
        <v>455</v>
      </c>
      <c r="EQW101" t="s">
        <v>455</v>
      </c>
      <c r="EQX101" t="s">
        <v>455</v>
      </c>
      <c r="EQY101" t="s">
        <v>455</v>
      </c>
      <c r="EQZ101" t="s">
        <v>455</v>
      </c>
      <c r="ERA101" t="s">
        <v>455</v>
      </c>
      <c r="ERB101" t="s">
        <v>455</v>
      </c>
      <c r="ERC101" t="s">
        <v>455</v>
      </c>
      <c r="ERD101" t="s">
        <v>455</v>
      </c>
      <c r="ERE101" t="s">
        <v>455</v>
      </c>
      <c r="ERF101" t="s">
        <v>455</v>
      </c>
      <c r="ERG101" t="s">
        <v>455</v>
      </c>
      <c r="ERH101" t="s">
        <v>455</v>
      </c>
      <c r="ERI101" t="s">
        <v>455</v>
      </c>
      <c r="ERJ101" t="s">
        <v>455</v>
      </c>
      <c r="ERK101" t="s">
        <v>455</v>
      </c>
      <c r="ERL101" t="s">
        <v>455</v>
      </c>
      <c r="ERM101" t="s">
        <v>455</v>
      </c>
      <c r="ERN101" t="s">
        <v>455</v>
      </c>
      <c r="ERO101" t="s">
        <v>455</v>
      </c>
      <c r="ERP101" t="s">
        <v>455</v>
      </c>
      <c r="ERQ101" t="s">
        <v>455</v>
      </c>
      <c r="ERR101" t="s">
        <v>455</v>
      </c>
      <c r="ERS101" t="s">
        <v>455</v>
      </c>
      <c r="ERT101" t="s">
        <v>455</v>
      </c>
      <c r="ERU101" t="s">
        <v>455</v>
      </c>
      <c r="ERV101" t="s">
        <v>455</v>
      </c>
      <c r="ERW101" t="s">
        <v>455</v>
      </c>
      <c r="ERX101" t="s">
        <v>455</v>
      </c>
      <c r="ERY101" t="s">
        <v>455</v>
      </c>
      <c r="ERZ101" t="s">
        <v>455</v>
      </c>
      <c r="ESA101" t="s">
        <v>455</v>
      </c>
      <c r="ESB101" t="s">
        <v>455</v>
      </c>
      <c r="ESC101" t="s">
        <v>455</v>
      </c>
      <c r="ESD101" t="s">
        <v>455</v>
      </c>
      <c r="ESE101" t="s">
        <v>455</v>
      </c>
      <c r="ESF101" t="s">
        <v>455</v>
      </c>
      <c r="ESG101" t="s">
        <v>455</v>
      </c>
      <c r="ESH101" t="s">
        <v>455</v>
      </c>
      <c r="ESI101" t="s">
        <v>455</v>
      </c>
      <c r="ESJ101" t="s">
        <v>455</v>
      </c>
      <c r="ESK101" t="s">
        <v>455</v>
      </c>
      <c r="ESL101" t="s">
        <v>455</v>
      </c>
      <c r="ESM101" t="s">
        <v>455</v>
      </c>
      <c r="ESN101" t="s">
        <v>455</v>
      </c>
      <c r="ESO101" t="s">
        <v>455</v>
      </c>
      <c r="ESP101" t="s">
        <v>455</v>
      </c>
      <c r="ESQ101" t="s">
        <v>455</v>
      </c>
      <c r="ESR101" t="s">
        <v>455</v>
      </c>
      <c r="ESS101" t="s">
        <v>455</v>
      </c>
      <c r="EST101" t="s">
        <v>455</v>
      </c>
      <c r="ESU101" t="s">
        <v>455</v>
      </c>
      <c r="ESV101" t="s">
        <v>455</v>
      </c>
      <c r="ESW101" t="s">
        <v>455</v>
      </c>
      <c r="ESX101" t="s">
        <v>455</v>
      </c>
      <c r="ESY101" t="s">
        <v>455</v>
      </c>
      <c r="ESZ101" t="s">
        <v>455</v>
      </c>
      <c r="ETA101" t="s">
        <v>455</v>
      </c>
      <c r="ETB101" t="s">
        <v>455</v>
      </c>
      <c r="ETC101" t="s">
        <v>455</v>
      </c>
      <c r="ETD101" t="s">
        <v>455</v>
      </c>
      <c r="ETE101" t="s">
        <v>455</v>
      </c>
      <c r="ETF101" t="s">
        <v>455</v>
      </c>
      <c r="ETG101" t="s">
        <v>455</v>
      </c>
      <c r="ETH101" t="s">
        <v>455</v>
      </c>
      <c r="ETI101" t="s">
        <v>455</v>
      </c>
      <c r="ETJ101" t="s">
        <v>455</v>
      </c>
      <c r="ETK101" t="s">
        <v>455</v>
      </c>
      <c r="ETL101" t="s">
        <v>455</v>
      </c>
      <c r="ETM101" t="s">
        <v>455</v>
      </c>
      <c r="ETN101" t="s">
        <v>455</v>
      </c>
      <c r="ETO101" t="s">
        <v>455</v>
      </c>
      <c r="ETP101" t="s">
        <v>455</v>
      </c>
      <c r="ETQ101" t="s">
        <v>455</v>
      </c>
      <c r="ETR101" t="s">
        <v>455</v>
      </c>
      <c r="ETS101" t="s">
        <v>455</v>
      </c>
      <c r="ETT101" t="s">
        <v>455</v>
      </c>
      <c r="ETU101" t="s">
        <v>455</v>
      </c>
      <c r="ETV101" t="s">
        <v>455</v>
      </c>
      <c r="ETW101" t="s">
        <v>455</v>
      </c>
      <c r="ETX101" t="s">
        <v>455</v>
      </c>
      <c r="ETY101" t="s">
        <v>455</v>
      </c>
      <c r="ETZ101" t="s">
        <v>455</v>
      </c>
      <c r="EUA101" t="s">
        <v>455</v>
      </c>
      <c r="EUB101" t="s">
        <v>455</v>
      </c>
      <c r="EUC101" t="s">
        <v>455</v>
      </c>
      <c r="EUD101" t="s">
        <v>455</v>
      </c>
      <c r="EUE101" t="s">
        <v>455</v>
      </c>
      <c r="EUF101" t="s">
        <v>455</v>
      </c>
      <c r="EUG101" t="s">
        <v>455</v>
      </c>
      <c r="EUH101" t="s">
        <v>455</v>
      </c>
      <c r="EUI101" t="s">
        <v>455</v>
      </c>
      <c r="EUJ101" t="s">
        <v>455</v>
      </c>
      <c r="EUK101" t="s">
        <v>455</v>
      </c>
      <c r="EUL101" t="s">
        <v>455</v>
      </c>
      <c r="EUM101" t="s">
        <v>455</v>
      </c>
      <c r="EUN101" t="s">
        <v>455</v>
      </c>
      <c r="EUO101" t="s">
        <v>455</v>
      </c>
      <c r="EUP101" t="s">
        <v>455</v>
      </c>
      <c r="EUQ101" t="s">
        <v>455</v>
      </c>
      <c r="EUR101" t="s">
        <v>455</v>
      </c>
      <c r="EUS101" t="s">
        <v>455</v>
      </c>
      <c r="EUT101" t="s">
        <v>455</v>
      </c>
      <c r="EUU101" t="s">
        <v>455</v>
      </c>
      <c r="EUV101" t="s">
        <v>455</v>
      </c>
      <c r="EUW101" t="s">
        <v>455</v>
      </c>
      <c r="EUX101" t="s">
        <v>455</v>
      </c>
      <c r="EUY101" t="s">
        <v>455</v>
      </c>
      <c r="EUZ101" t="s">
        <v>455</v>
      </c>
      <c r="EVA101" t="s">
        <v>455</v>
      </c>
      <c r="EVB101" t="s">
        <v>455</v>
      </c>
      <c r="EVC101" t="s">
        <v>455</v>
      </c>
      <c r="EVD101" t="s">
        <v>455</v>
      </c>
      <c r="EVE101" t="s">
        <v>455</v>
      </c>
      <c r="EVF101" t="s">
        <v>455</v>
      </c>
      <c r="EVG101" t="s">
        <v>455</v>
      </c>
      <c r="EVH101" t="s">
        <v>455</v>
      </c>
      <c r="EVI101" t="s">
        <v>455</v>
      </c>
      <c r="EVJ101" t="s">
        <v>455</v>
      </c>
      <c r="EVK101" t="s">
        <v>455</v>
      </c>
      <c r="EVL101" t="s">
        <v>455</v>
      </c>
      <c r="EVM101" t="s">
        <v>455</v>
      </c>
      <c r="EVN101" t="s">
        <v>455</v>
      </c>
      <c r="EVO101" t="s">
        <v>455</v>
      </c>
      <c r="EVP101" t="s">
        <v>455</v>
      </c>
      <c r="EVQ101" t="s">
        <v>455</v>
      </c>
      <c r="EVR101" t="s">
        <v>455</v>
      </c>
      <c r="EVS101" t="s">
        <v>455</v>
      </c>
      <c r="EVT101" t="s">
        <v>455</v>
      </c>
      <c r="EVU101" t="s">
        <v>455</v>
      </c>
      <c r="EVV101" t="s">
        <v>455</v>
      </c>
      <c r="EVW101" t="s">
        <v>455</v>
      </c>
      <c r="EVX101" t="s">
        <v>455</v>
      </c>
      <c r="EVY101" t="s">
        <v>455</v>
      </c>
      <c r="EVZ101" t="s">
        <v>455</v>
      </c>
      <c r="EWA101" t="s">
        <v>455</v>
      </c>
      <c r="EWB101" t="s">
        <v>455</v>
      </c>
      <c r="EWC101" t="s">
        <v>455</v>
      </c>
      <c r="EWD101" t="s">
        <v>455</v>
      </c>
      <c r="EWE101" t="s">
        <v>455</v>
      </c>
      <c r="EWF101" t="s">
        <v>455</v>
      </c>
      <c r="EWG101" t="s">
        <v>455</v>
      </c>
      <c r="EWH101" t="s">
        <v>455</v>
      </c>
      <c r="EWI101" t="s">
        <v>455</v>
      </c>
      <c r="EWJ101" t="s">
        <v>455</v>
      </c>
      <c r="EWK101" t="s">
        <v>455</v>
      </c>
      <c r="EWL101" t="s">
        <v>455</v>
      </c>
      <c r="EWM101" t="s">
        <v>455</v>
      </c>
      <c r="EWN101" t="s">
        <v>455</v>
      </c>
      <c r="EWO101" t="s">
        <v>455</v>
      </c>
      <c r="EWP101" t="s">
        <v>455</v>
      </c>
      <c r="EWQ101" t="s">
        <v>455</v>
      </c>
      <c r="EWR101" t="s">
        <v>455</v>
      </c>
      <c r="EWS101" t="s">
        <v>455</v>
      </c>
      <c r="EWT101" t="s">
        <v>455</v>
      </c>
      <c r="EWU101" t="s">
        <v>455</v>
      </c>
      <c r="EWV101" t="s">
        <v>455</v>
      </c>
      <c r="EWW101" t="s">
        <v>455</v>
      </c>
      <c r="EWX101" t="s">
        <v>455</v>
      </c>
      <c r="EWY101" t="s">
        <v>455</v>
      </c>
      <c r="EWZ101" t="s">
        <v>455</v>
      </c>
      <c r="EXA101" t="s">
        <v>455</v>
      </c>
      <c r="EXB101" t="s">
        <v>455</v>
      </c>
      <c r="EXC101" t="s">
        <v>455</v>
      </c>
      <c r="EXD101" t="s">
        <v>455</v>
      </c>
      <c r="EXE101" t="s">
        <v>455</v>
      </c>
      <c r="EXF101" t="s">
        <v>455</v>
      </c>
      <c r="EXG101" t="s">
        <v>455</v>
      </c>
      <c r="EXH101" t="s">
        <v>455</v>
      </c>
      <c r="EXI101" t="s">
        <v>455</v>
      </c>
      <c r="EXJ101" t="s">
        <v>455</v>
      </c>
      <c r="EXK101" t="s">
        <v>455</v>
      </c>
      <c r="EXL101" t="s">
        <v>455</v>
      </c>
      <c r="EXM101" t="s">
        <v>455</v>
      </c>
      <c r="EXN101" t="s">
        <v>455</v>
      </c>
      <c r="EXO101" t="s">
        <v>455</v>
      </c>
      <c r="EXP101" t="s">
        <v>455</v>
      </c>
      <c r="EXQ101" t="s">
        <v>455</v>
      </c>
      <c r="EXR101" t="s">
        <v>455</v>
      </c>
      <c r="EXS101" t="s">
        <v>455</v>
      </c>
      <c r="EXT101" t="s">
        <v>455</v>
      </c>
      <c r="EXU101" t="s">
        <v>455</v>
      </c>
      <c r="EXV101" t="s">
        <v>455</v>
      </c>
      <c r="EXW101" t="s">
        <v>455</v>
      </c>
      <c r="EXX101" t="s">
        <v>455</v>
      </c>
      <c r="EXY101" t="s">
        <v>455</v>
      </c>
      <c r="EXZ101" t="s">
        <v>455</v>
      </c>
      <c r="EYA101" t="s">
        <v>455</v>
      </c>
      <c r="EYB101" t="s">
        <v>455</v>
      </c>
      <c r="EYC101" t="s">
        <v>455</v>
      </c>
      <c r="EYD101" t="s">
        <v>455</v>
      </c>
      <c r="EYE101" t="s">
        <v>455</v>
      </c>
      <c r="EYF101" t="s">
        <v>455</v>
      </c>
      <c r="EYG101" t="s">
        <v>455</v>
      </c>
      <c r="EYH101" t="s">
        <v>455</v>
      </c>
      <c r="EYI101" t="s">
        <v>455</v>
      </c>
      <c r="EYJ101" t="s">
        <v>455</v>
      </c>
      <c r="EYK101" t="s">
        <v>455</v>
      </c>
      <c r="EYL101" t="s">
        <v>455</v>
      </c>
      <c r="EYM101" t="s">
        <v>455</v>
      </c>
      <c r="EYN101" t="s">
        <v>455</v>
      </c>
      <c r="EYO101" t="s">
        <v>455</v>
      </c>
      <c r="EYP101" t="s">
        <v>455</v>
      </c>
      <c r="EYQ101" t="s">
        <v>455</v>
      </c>
      <c r="EYR101" t="s">
        <v>455</v>
      </c>
      <c r="EYS101" t="s">
        <v>455</v>
      </c>
      <c r="EYT101" t="s">
        <v>455</v>
      </c>
      <c r="EYU101" t="s">
        <v>455</v>
      </c>
      <c r="EYV101" t="s">
        <v>455</v>
      </c>
      <c r="EYW101" t="s">
        <v>455</v>
      </c>
      <c r="EYX101" t="s">
        <v>455</v>
      </c>
      <c r="EYY101" t="s">
        <v>455</v>
      </c>
      <c r="EYZ101" t="s">
        <v>455</v>
      </c>
      <c r="EZA101" t="s">
        <v>455</v>
      </c>
      <c r="EZB101" t="s">
        <v>455</v>
      </c>
      <c r="EZC101" t="s">
        <v>455</v>
      </c>
      <c r="EZD101" t="s">
        <v>455</v>
      </c>
      <c r="EZE101" t="s">
        <v>455</v>
      </c>
      <c r="EZF101" t="s">
        <v>455</v>
      </c>
      <c r="EZG101" t="s">
        <v>455</v>
      </c>
      <c r="EZH101" t="s">
        <v>455</v>
      </c>
      <c r="EZI101" t="s">
        <v>455</v>
      </c>
      <c r="EZJ101" t="s">
        <v>455</v>
      </c>
      <c r="EZK101" t="s">
        <v>455</v>
      </c>
      <c r="EZL101" t="s">
        <v>455</v>
      </c>
      <c r="EZM101" t="s">
        <v>455</v>
      </c>
      <c r="EZN101" t="s">
        <v>455</v>
      </c>
      <c r="EZO101" t="s">
        <v>455</v>
      </c>
      <c r="EZP101" t="s">
        <v>455</v>
      </c>
      <c r="EZQ101" t="s">
        <v>455</v>
      </c>
      <c r="EZR101" t="s">
        <v>455</v>
      </c>
      <c r="EZS101" t="s">
        <v>455</v>
      </c>
      <c r="EZT101" t="s">
        <v>455</v>
      </c>
      <c r="EZU101" t="s">
        <v>455</v>
      </c>
      <c r="EZV101" t="s">
        <v>455</v>
      </c>
      <c r="EZW101" t="s">
        <v>455</v>
      </c>
      <c r="EZX101" t="s">
        <v>455</v>
      </c>
      <c r="EZY101" t="s">
        <v>455</v>
      </c>
      <c r="EZZ101" t="s">
        <v>455</v>
      </c>
      <c r="FAA101" t="s">
        <v>455</v>
      </c>
      <c r="FAB101" t="s">
        <v>455</v>
      </c>
      <c r="FAC101" t="s">
        <v>455</v>
      </c>
      <c r="FAD101" t="s">
        <v>455</v>
      </c>
      <c r="FAE101" t="s">
        <v>455</v>
      </c>
      <c r="FAF101" t="s">
        <v>455</v>
      </c>
      <c r="FAG101" t="s">
        <v>455</v>
      </c>
      <c r="FAH101" t="s">
        <v>455</v>
      </c>
      <c r="FAI101" t="s">
        <v>455</v>
      </c>
      <c r="FAJ101" t="s">
        <v>455</v>
      </c>
      <c r="FAK101" t="s">
        <v>455</v>
      </c>
      <c r="FAL101" t="s">
        <v>455</v>
      </c>
      <c r="FAM101" t="s">
        <v>455</v>
      </c>
      <c r="FAN101" t="s">
        <v>455</v>
      </c>
      <c r="FAO101" t="s">
        <v>455</v>
      </c>
      <c r="FAP101" t="s">
        <v>455</v>
      </c>
      <c r="FAQ101" t="s">
        <v>455</v>
      </c>
      <c r="FAR101" t="s">
        <v>455</v>
      </c>
      <c r="FAS101" t="s">
        <v>455</v>
      </c>
      <c r="FAT101" t="s">
        <v>455</v>
      </c>
      <c r="FAU101" t="s">
        <v>455</v>
      </c>
      <c r="FAV101" t="s">
        <v>455</v>
      </c>
      <c r="FAW101" t="s">
        <v>455</v>
      </c>
      <c r="FAX101" t="s">
        <v>455</v>
      </c>
      <c r="FAY101" t="s">
        <v>455</v>
      </c>
      <c r="FAZ101" t="s">
        <v>455</v>
      </c>
      <c r="FBA101" t="s">
        <v>455</v>
      </c>
      <c r="FBB101" t="s">
        <v>455</v>
      </c>
      <c r="FBC101" t="s">
        <v>455</v>
      </c>
      <c r="FBD101" t="s">
        <v>455</v>
      </c>
      <c r="FBE101" t="s">
        <v>455</v>
      </c>
      <c r="FBF101" t="s">
        <v>455</v>
      </c>
      <c r="FBG101" t="s">
        <v>455</v>
      </c>
      <c r="FBH101" t="s">
        <v>455</v>
      </c>
      <c r="FBI101" t="s">
        <v>455</v>
      </c>
      <c r="FBJ101" t="s">
        <v>455</v>
      </c>
      <c r="FBK101" t="s">
        <v>455</v>
      </c>
      <c r="FBL101" t="s">
        <v>455</v>
      </c>
      <c r="FBM101" t="s">
        <v>455</v>
      </c>
      <c r="FBN101" t="s">
        <v>455</v>
      </c>
      <c r="FBO101" t="s">
        <v>455</v>
      </c>
      <c r="FBP101" t="s">
        <v>455</v>
      </c>
      <c r="FBQ101" t="s">
        <v>455</v>
      </c>
      <c r="FBR101" t="s">
        <v>455</v>
      </c>
      <c r="FBS101" t="s">
        <v>455</v>
      </c>
      <c r="FBT101" t="s">
        <v>455</v>
      </c>
      <c r="FBU101" t="s">
        <v>455</v>
      </c>
      <c r="FBV101" t="s">
        <v>455</v>
      </c>
      <c r="FBW101" t="s">
        <v>455</v>
      </c>
      <c r="FBX101" t="s">
        <v>455</v>
      </c>
      <c r="FBY101" t="s">
        <v>455</v>
      </c>
      <c r="FBZ101" t="s">
        <v>455</v>
      </c>
      <c r="FCA101" t="s">
        <v>455</v>
      </c>
      <c r="FCB101" t="s">
        <v>455</v>
      </c>
      <c r="FCC101" t="s">
        <v>455</v>
      </c>
      <c r="FCD101" t="s">
        <v>455</v>
      </c>
      <c r="FCE101" t="s">
        <v>455</v>
      </c>
      <c r="FCF101" t="s">
        <v>455</v>
      </c>
      <c r="FCG101" t="s">
        <v>455</v>
      </c>
      <c r="FCH101" t="s">
        <v>455</v>
      </c>
      <c r="FCI101" t="s">
        <v>455</v>
      </c>
      <c r="FCJ101" t="s">
        <v>455</v>
      </c>
      <c r="FCK101" t="s">
        <v>455</v>
      </c>
      <c r="FCL101" t="s">
        <v>455</v>
      </c>
      <c r="FCM101" t="s">
        <v>455</v>
      </c>
      <c r="FCN101" t="s">
        <v>455</v>
      </c>
      <c r="FCO101" t="s">
        <v>455</v>
      </c>
      <c r="FCP101" t="s">
        <v>455</v>
      </c>
      <c r="FCQ101" t="s">
        <v>455</v>
      </c>
      <c r="FCR101" t="s">
        <v>455</v>
      </c>
      <c r="FCS101" t="s">
        <v>455</v>
      </c>
      <c r="FCT101" t="s">
        <v>455</v>
      </c>
      <c r="FCU101" t="s">
        <v>455</v>
      </c>
      <c r="FCV101" t="s">
        <v>455</v>
      </c>
      <c r="FCW101" t="s">
        <v>455</v>
      </c>
      <c r="FCX101" t="s">
        <v>455</v>
      </c>
      <c r="FCY101" t="s">
        <v>455</v>
      </c>
      <c r="FCZ101" t="s">
        <v>455</v>
      </c>
      <c r="FDA101" t="s">
        <v>455</v>
      </c>
      <c r="FDB101" t="s">
        <v>455</v>
      </c>
      <c r="FDC101" t="s">
        <v>455</v>
      </c>
      <c r="FDD101" t="s">
        <v>455</v>
      </c>
      <c r="FDE101" t="s">
        <v>455</v>
      </c>
      <c r="FDF101" t="s">
        <v>455</v>
      </c>
      <c r="FDG101" t="s">
        <v>455</v>
      </c>
      <c r="FDH101" t="s">
        <v>455</v>
      </c>
      <c r="FDI101" t="s">
        <v>455</v>
      </c>
      <c r="FDJ101" t="s">
        <v>455</v>
      </c>
      <c r="FDK101" t="s">
        <v>455</v>
      </c>
      <c r="FDL101" t="s">
        <v>455</v>
      </c>
      <c r="FDM101" t="s">
        <v>455</v>
      </c>
      <c r="FDN101" t="s">
        <v>455</v>
      </c>
      <c r="FDO101" t="s">
        <v>455</v>
      </c>
      <c r="FDP101" t="s">
        <v>455</v>
      </c>
      <c r="FDQ101" t="s">
        <v>455</v>
      </c>
      <c r="FDR101" t="s">
        <v>455</v>
      </c>
      <c r="FDS101" t="s">
        <v>455</v>
      </c>
      <c r="FDT101" t="s">
        <v>455</v>
      </c>
      <c r="FDU101" t="s">
        <v>455</v>
      </c>
      <c r="FDV101" t="s">
        <v>455</v>
      </c>
      <c r="FDW101" t="s">
        <v>455</v>
      </c>
      <c r="FDX101" t="s">
        <v>455</v>
      </c>
      <c r="FDY101" t="s">
        <v>455</v>
      </c>
      <c r="FDZ101" t="s">
        <v>455</v>
      </c>
      <c r="FEA101" t="s">
        <v>455</v>
      </c>
      <c r="FEB101" t="s">
        <v>455</v>
      </c>
      <c r="FEC101" t="s">
        <v>455</v>
      </c>
      <c r="FED101" t="s">
        <v>455</v>
      </c>
      <c r="FEE101" t="s">
        <v>455</v>
      </c>
      <c r="FEF101" t="s">
        <v>455</v>
      </c>
      <c r="FEG101" t="s">
        <v>455</v>
      </c>
      <c r="FEH101" t="s">
        <v>455</v>
      </c>
      <c r="FEI101" t="s">
        <v>455</v>
      </c>
      <c r="FEJ101" t="s">
        <v>455</v>
      </c>
      <c r="FEK101" t="s">
        <v>455</v>
      </c>
      <c r="FEL101" t="s">
        <v>455</v>
      </c>
      <c r="FEM101" t="s">
        <v>455</v>
      </c>
      <c r="FEN101" t="s">
        <v>455</v>
      </c>
      <c r="FEO101" t="s">
        <v>455</v>
      </c>
      <c r="FEP101" t="s">
        <v>455</v>
      </c>
      <c r="FEQ101" t="s">
        <v>455</v>
      </c>
      <c r="FER101" t="s">
        <v>455</v>
      </c>
      <c r="FES101" t="s">
        <v>455</v>
      </c>
      <c r="FET101" t="s">
        <v>455</v>
      </c>
      <c r="FEU101" t="s">
        <v>455</v>
      </c>
      <c r="FEV101" t="s">
        <v>455</v>
      </c>
      <c r="FEW101" t="s">
        <v>455</v>
      </c>
      <c r="FEX101" t="s">
        <v>455</v>
      </c>
      <c r="FEY101" t="s">
        <v>455</v>
      </c>
      <c r="FEZ101" t="s">
        <v>455</v>
      </c>
      <c r="FFA101" t="s">
        <v>455</v>
      </c>
      <c r="FFB101" t="s">
        <v>455</v>
      </c>
      <c r="FFC101" t="s">
        <v>455</v>
      </c>
      <c r="FFD101" t="s">
        <v>455</v>
      </c>
      <c r="FFE101" t="s">
        <v>455</v>
      </c>
      <c r="FFF101" t="s">
        <v>455</v>
      </c>
      <c r="FFG101" t="s">
        <v>455</v>
      </c>
      <c r="FFH101" t="s">
        <v>455</v>
      </c>
      <c r="FFI101" t="s">
        <v>455</v>
      </c>
      <c r="FFJ101" t="s">
        <v>455</v>
      </c>
      <c r="FFK101" t="s">
        <v>455</v>
      </c>
      <c r="FFL101" t="s">
        <v>455</v>
      </c>
      <c r="FFM101" t="s">
        <v>455</v>
      </c>
      <c r="FFN101" t="s">
        <v>455</v>
      </c>
      <c r="FFO101" t="s">
        <v>455</v>
      </c>
      <c r="FFP101" t="s">
        <v>455</v>
      </c>
      <c r="FFQ101" t="s">
        <v>455</v>
      </c>
      <c r="FFR101" t="s">
        <v>455</v>
      </c>
      <c r="FFS101" t="s">
        <v>455</v>
      </c>
      <c r="FFT101" t="s">
        <v>455</v>
      </c>
      <c r="FFU101" t="s">
        <v>455</v>
      </c>
      <c r="FFV101" t="s">
        <v>455</v>
      </c>
      <c r="FFW101" t="s">
        <v>455</v>
      </c>
      <c r="FFX101" t="s">
        <v>455</v>
      </c>
      <c r="FFY101" t="s">
        <v>455</v>
      </c>
      <c r="FFZ101" t="s">
        <v>455</v>
      </c>
      <c r="FGA101" t="s">
        <v>455</v>
      </c>
      <c r="FGB101" t="s">
        <v>455</v>
      </c>
      <c r="FGC101" t="s">
        <v>455</v>
      </c>
      <c r="FGD101" t="s">
        <v>455</v>
      </c>
      <c r="FGE101" t="s">
        <v>455</v>
      </c>
      <c r="FGF101" t="s">
        <v>455</v>
      </c>
      <c r="FGG101" t="s">
        <v>455</v>
      </c>
      <c r="FGH101" t="s">
        <v>455</v>
      </c>
      <c r="FGI101" t="s">
        <v>455</v>
      </c>
      <c r="FGJ101" t="s">
        <v>455</v>
      </c>
      <c r="FGK101" t="s">
        <v>455</v>
      </c>
      <c r="FGL101" t="s">
        <v>455</v>
      </c>
      <c r="FGM101" t="s">
        <v>455</v>
      </c>
      <c r="FGN101" t="s">
        <v>455</v>
      </c>
      <c r="FGO101" t="s">
        <v>455</v>
      </c>
      <c r="FGP101" t="s">
        <v>455</v>
      </c>
      <c r="FGQ101" t="s">
        <v>455</v>
      </c>
      <c r="FGR101" t="s">
        <v>455</v>
      </c>
      <c r="FGS101" t="s">
        <v>455</v>
      </c>
      <c r="FGT101" t="s">
        <v>455</v>
      </c>
      <c r="FGU101" t="s">
        <v>455</v>
      </c>
      <c r="FGV101" t="s">
        <v>455</v>
      </c>
      <c r="FGW101" t="s">
        <v>455</v>
      </c>
      <c r="FGX101" t="s">
        <v>455</v>
      </c>
      <c r="FGY101" t="s">
        <v>455</v>
      </c>
      <c r="FGZ101" t="s">
        <v>455</v>
      </c>
      <c r="FHA101" t="s">
        <v>455</v>
      </c>
      <c r="FHB101" t="s">
        <v>455</v>
      </c>
      <c r="FHC101" t="s">
        <v>455</v>
      </c>
      <c r="FHD101" t="s">
        <v>455</v>
      </c>
      <c r="FHE101" t="s">
        <v>455</v>
      </c>
      <c r="FHF101" t="s">
        <v>455</v>
      </c>
      <c r="FHG101" t="s">
        <v>455</v>
      </c>
      <c r="FHH101" t="s">
        <v>455</v>
      </c>
      <c r="FHI101" t="s">
        <v>455</v>
      </c>
      <c r="FHJ101" t="s">
        <v>455</v>
      </c>
      <c r="FHK101" t="s">
        <v>455</v>
      </c>
      <c r="FHL101" t="s">
        <v>455</v>
      </c>
      <c r="FHM101" t="s">
        <v>455</v>
      </c>
      <c r="FHN101" t="s">
        <v>455</v>
      </c>
      <c r="FHO101" t="s">
        <v>455</v>
      </c>
      <c r="FHP101" t="s">
        <v>455</v>
      </c>
      <c r="FHQ101" t="s">
        <v>455</v>
      </c>
      <c r="FHR101" t="s">
        <v>455</v>
      </c>
      <c r="FHS101" t="s">
        <v>455</v>
      </c>
      <c r="FHT101" t="s">
        <v>455</v>
      </c>
      <c r="FHU101" t="s">
        <v>455</v>
      </c>
      <c r="FHV101" t="s">
        <v>455</v>
      </c>
      <c r="FHW101" t="s">
        <v>455</v>
      </c>
      <c r="FHX101" t="s">
        <v>455</v>
      </c>
      <c r="FHY101" t="s">
        <v>455</v>
      </c>
      <c r="FHZ101" t="s">
        <v>455</v>
      </c>
      <c r="FIA101" t="s">
        <v>455</v>
      </c>
      <c r="FIB101" t="s">
        <v>455</v>
      </c>
      <c r="FIC101" t="s">
        <v>455</v>
      </c>
      <c r="FID101" t="s">
        <v>455</v>
      </c>
      <c r="FIE101" t="s">
        <v>455</v>
      </c>
      <c r="FIF101" t="s">
        <v>455</v>
      </c>
      <c r="FIG101" t="s">
        <v>455</v>
      </c>
      <c r="FIH101" t="s">
        <v>455</v>
      </c>
      <c r="FII101" t="s">
        <v>455</v>
      </c>
      <c r="FIJ101" t="s">
        <v>455</v>
      </c>
      <c r="FIK101" t="s">
        <v>455</v>
      </c>
      <c r="FIL101" t="s">
        <v>455</v>
      </c>
      <c r="FIM101" t="s">
        <v>455</v>
      </c>
      <c r="FIN101" t="s">
        <v>455</v>
      </c>
      <c r="FIO101" t="s">
        <v>455</v>
      </c>
      <c r="FIP101" t="s">
        <v>455</v>
      </c>
      <c r="FIQ101" t="s">
        <v>455</v>
      </c>
      <c r="FIR101" t="s">
        <v>455</v>
      </c>
      <c r="FIS101" t="s">
        <v>455</v>
      </c>
      <c r="FIT101" t="s">
        <v>455</v>
      </c>
      <c r="FIU101" t="s">
        <v>455</v>
      </c>
      <c r="FIV101" t="s">
        <v>455</v>
      </c>
      <c r="FIW101" t="s">
        <v>455</v>
      </c>
      <c r="FIX101" t="s">
        <v>455</v>
      </c>
      <c r="FIY101" t="s">
        <v>455</v>
      </c>
      <c r="FIZ101" t="s">
        <v>455</v>
      </c>
      <c r="FJA101" t="s">
        <v>455</v>
      </c>
      <c r="FJB101" t="s">
        <v>455</v>
      </c>
      <c r="FJC101" t="s">
        <v>455</v>
      </c>
      <c r="FJD101" t="s">
        <v>455</v>
      </c>
      <c r="FJE101" t="s">
        <v>455</v>
      </c>
      <c r="FJF101" t="s">
        <v>455</v>
      </c>
      <c r="FJG101" t="s">
        <v>455</v>
      </c>
      <c r="FJH101" t="s">
        <v>455</v>
      </c>
      <c r="FJI101" t="s">
        <v>455</v>
      </c>
      <c r="FJJ101" t="s">
        <v>455</v>
      </c>
      <c r="FJK101" t="s">
        <v>455</v>
      </c>
      <c r="FJL101" t="s">
        <v>455</v>
      </c>
      <c r="FJM101" t="s">
        <v>455</v>
      </c>
      <c r="FJN101" t="s">
        <v>455</v>
      </c>
      <c r="FJO101" t="s">
        <v>455</v>
      </c>
      <c r="FJP101" t="s">
        <v>455</v>
      </c>
      <c r="FJQ101" t="s">
        <v>455</v>
      </c>
      <c r="FJR101" t="s">
        <v>455</v>
      </c>
      <c r="FJS101" t="s">
        <v>455</v>
      </c>
      <c r="FJT101" t="s">
        <v>455</v>
      </c>
      <c r="FJU101" t="s">
        <v>455</v>
      </c>
      <c r="FJV101" t="s">
        <v>455</v>
      </c>
      <c r="FJW101" t="s">
        <v>455</v>
      </c>
      <c r="FJX101" t="s">
        <v>455</v>
      </c>
      <c r="FJY101" t="s">
        <v>455</v>
      </c>
      <c r="FJZ101" t="s">
        <v>455</v>
      </c>
      <c r="FKA101" t="s">
        <v>455</v>
      </c>
      <c r="FKB101" t="s">
        <v>455</v>
      </c>
      <c r="FKC101" t="s">
        <v>455</v>
      </c>
      <c r="FKD101" t="s">
        <v>455</v>
      </c>
      <c r="FKE101" t="s">
        <v>455</v>
      </c>
      <c r="FKF101" t="s">
        <v>455</v>
      </c>
      <c r="FKG101" t="s">
        <v>455</v>
      </c>
      <c r="FKH101" t="s">
        <v>455</v>
      </c>
      <c r="FKI101" t="s">
        <v>455</v>
      </c>
      <c r="FKJ101" t="s">
        <v>455</v>
      </c>
      <c r="FKK101" t="s">
        <v>455</v>
      </c>
      <c r="FKL101" t="s">
        <v>455</v>
      </c>
      <c r="FKM101" t="s">
        <v>455</v>
      </c>
      <c r="FKN101" t="s">
        <v>455</v>
      </c>
      <c r="FKO101" t="s">
        <v>455</v>
      </c>
      <c r="FKP101" t="s">
        <v>455</v>
      </c>
      <c r="FKQ101" t="s">
        <v>455</v>
      </c>
      <c r="FKR101" t="s">
        <v>455</v>
      </c>
      <c r="FKS101" t="s">
        <v>455</v>
      </c>
      <c r="FKT101" t="s">
        <v>455</v>
      </c>
      <c r="FKU101" t="s">
        <v>455</v>
      </c>
      <c r="FKV101" t="s">
        <v>455</v>
      </c>
      <c r="FKW101" t="s">
        <v>455</v>
      </c>
      <c r="FKX101" t="s">
        <v>455</v>
      </c>
      <c r="FKY101" t="s">
        <v>455</v>
      </c>
      <c r="FKZ101" t="s">
        <v>455</v>
      </c>
      <c r="FLA101" t="s">
        <v>455</v>
      </c>
      <c r="FLB101" t="s">
        <v>455</v>
      </c>
      <c r="FLC101" t="s">
        <v>455</v>
      </c>
      <c r="FLD101" t="s">
        <v>455</v>
      </c>
      <c r="FLE101" t="s">
        <v>455</v>
      </c>
      <c r="FLF101" t="s">
        <v>455</v>
      </c>
      <c r="FLG101" t="s">
        <v>455</v>
      </c>
      <c r="FLH101" t="s">
        <v>455</v>
      </c>
      <c r="FLI101" t="s">
        <v>455</v>
      </c>
      <c r="FLJ101" t="s">
        <v>455</v>
      </c>
      <c r="FLK101" t="s">
        <v>455</v>
      </c>
      <c r="FLL101" t="s">
        <v>455</v>
      </c>
      <c r="FLM101" t="s">
        <v>455</v>
      </c>
      <c r="FLN101" t="s">
        <v>455</v>
      </c>
      <c r="FLO101" t="s">
        <v>455</v>
      </c>
      <c r="FLP101" t="s">
        <v>455</v>
      </c>
      <c r="FLQ101" t="s">
        <v>455</v>
      </c>
      <c r="FLR101" t="s">
        <v>455</v>
      </c>
      <c r="FLS101" t="s">
        <v>455</v>
      </c>
      <c r="FLT101" t="s">
        <v>455</v>
      </c>
      <c r="FLU101" t="s">
        <v>455</v>
      </c>
      <c r="FLV101" t="s">
        <v>455</v>
      </c>
      <c r="FLW101" t="s">
        <v>455</v>
      </c>
      <c r="FLX101" t="s">
        <v>455</v>
      </c>
      <c r="FLY101" t="s">
        <v>455</v>
      </c>
      <c r="FLZ101" t="s">
        <v>455</v>
      </c>
      <c r="FMA101" t="s">
        <v>455</v>
      </c>
      <c r="FMB101" t="s">
        <v>455</v>
      </c>
      <c r="FMC101" t="s">
        <v>455</v>
      </c>
      <c r="FMD101" t="s">
        <v>455</v>
      </c>
      <c r="FME101" t="s">
        <v>455</v>
      </c>
      <c r="FMF101" t="s">
        <v>455</v>
      </c>
      <c r="FMG101" t="s">
        <v>455</v>
      </c>
      <c r="FMH101" t="s">
        <v>455</v>
      </c>
      <c r="FMI101" t="s">
        <v>455</v>
      </c>
      <c r="FMJ101" t="s">
        <v>455</v>
      </c>
      <c r="FMK101" t="s">
        <v>455</v>
      </c>
      <c r="FML101" t="s">
        <v>455</v>
      </c>
      <c r="FMM101" t="s">
        <v>455</v>
      </c>
      <c r="FMN101" t="s">
        <v>455</v>
      </c>
      <c r="FMO101" t="s">
        <v>455</v>
      </c>
      <c r="FMP101" t="s">
        <v>455</v>
      </c>
      <c r="FMQ101" t="s">
        <v>455</v>
      </c>
      <c r="FMR101" t="s">
        <v>455</v>
      </c>
      <c r="FMS101" t="s">
        <v>455</v>
      </c>
      <c r="FMT101" t="s">
        <v>455</v>
      </c>
      <c r="FMU101" t="s">
        <v>455</v>
      </c>
      <c r="FMV101" t="s">
        <v>455</v>
      </c>
      <c r="FMW101" t="s">
        <v>455</v>
      </c>
      <c r="FMX101" t="s">
        <v>455</v>
      </c>
      <c r="FMY101" t="s">
        <v>455</v>
      </c>
      <c r="FMZ101" t="s">
        <v>455</v>
      </c>
      <c r="FNA101" t="s">
        <v>455</v>
      </c>
      <c r="FNB101" t="s">
        <v>455</v>
      </c>
      <c r="FNC101" t="s">
        <v>455</v>
      </c>
      <c r="FND101" t="s">
        <v>455</v>
      </c>
      <c r="FNE101" t="s">
        <v>455</v>
      </c>
      <c r="FNF101" t="s">
        <v>455</v>
      </c>
      <c r="FNG101" t="s">
        <v>455</v>
      </c>
      <c r="FNH101" t="s">
        <v>455</v>
      </c>
      <c r="FNI101" t="s">
        <v>455</v>
      </c>
      <c r="FNJ101" t="s">
        <v>455</v>
      </c>
      <c r="FNK101" t="s">
        <v>455</v>
      </c>
      <c r="FNL101" t="s">
        <v>455</v>
      </c>
      <c r="FNM101" t="s">
        <v>455</v>
      </c>
      <c r="FNN101" t="s">
        <v>455</v>
      </c>
      <c r="FNO101" t="s">
        <v>455</v>
      </c>
      <c r="FNP101" t="s">
        <v>455</v>
      </c>
      <c r="FNQ101" t="s">
        <v>455</v>
      </c>
      <c r="FNR101" t="s">
        <v>455</v>
      </c>
      <c r="FNS101" t="s">
        <v>455</v>
      </c>
      <c r="FNT101" t="s">
        <v>455</v>
      </c>
      <c r="FNU101" t="s">
        <v>455</v>
      </c>
      <c r="FNV101" t="s">
        <v>455</v>
      </c>
      <c r="FNW101" t="s">
        <v>455</v>
      </c>
      <c r="FNX101" t="s">
        <v>455</v>
      </c>
      <c r="FNY101" t="s">
        <v>455</v>
      </c>
      <c r="FNZ101" t="s">
        <v>455</v>
      </c>
      <c r="FOA101" t="s">
        <v>455</v>
      </c>
      <c r="FOB101" t="s">
        <v>455</v>
      </c>
      <c r="FOC101" t="s">
        <v>455</v>
      </c>
      <c r="FOD101" t="s">
        <v>455</v>
      </c>
      <c r="FOE101" t="s">
        <v>455</v>
      </c>
      <c r="FOF101" t="s">
        <v>455</v>
      </c>
      <c r="FOG101" t="s">
        <v>455</v>
      </c>
      <c r="FOH101" t="s">
        <v>455</v>
      </c>
      <c r="FOI101" t="s">
        <v>455</v>
      </c>
      <c r="FOJ101" t="s">
        <v>455</v>
      </c>
      <c r="FOK101" t="s">
        <v>455</v>
      </c>
      <c r="FOL101" t="s">
        <v>455</v>
      </c>
      <c r="FOM101" t="s">
        <v>455</v>
      </c>
      <c r="FON101" t="s">
        <v>455</v>
      </c>
      <c r="FOO101" t="s">
        <v>455</v>
      </c>
      <c r="FOP101" t="s">
        <v>455</v>
      </c>
      <c r="FOQ101" t="s">
        <v>455</v>
      </c>
      <c r="FOR101" t="s">
        <v>455</v>
      </c>
      <c r="FOS101" t="s">
        <v>455</v>
      </c>
      <c r="FOT101" t="s">
        <v>455</v>
      </c>
      <c r="FOU101" t="s">
        <v>455</v>
      </c>
      <c r="FOV101" t="s">
        <v>455</v>
      </c>
      <c r="FOW101" t="s">
        <v>455</v>
      </c>
      <c r="FOX101" t="s">
        <v>455</v>
      </c>
      <c r="FOY101" t="s">
        <v>455</v>
      </c>
      <c r="FOZ101" t="s">
        <v>455</v>
      </c>
      <c r="FPA101" t="s">
        <v>455</v>
      </c>
      <c r="FPB101" t="s">
        <v>455</v>
      </c>
      <c r="FPC101" t="s">
        <v>455</v>
      </c>
      <c r="FPD101" t="s">
        <v>455</v>
      </c>
      <c r="FPE101" t="s">
        <v>455</v>
      </c>
      <c r="FPF101" t="s">
        <v>455</v>
      </c>
      <c r="FPG101" t="s">
        <v>455</v>
      </c>
      <c r="FPH101" t="s">
        <v>455</v>
      </c>
      <c r="FPI101" t="s">
        <v>455</v>
      </c>
      <c r="FPJ101" t="s">
        <v>455</v>
      </c>
      <c r="FPK101" t="s">
        <v>455</v>
      </c>
      <c r="FPL101" t="s">
        <v>455</v>
      </c>
      <c r="FPM101" t="s">
        <v>455</v>
      </c>
      <c r="FPN101" t="s">
        <v>455</v>
      </c>
      <c r="FPO101" t="s">
        <v>455</v>
      </c>
      <c r="FPP101" t="s">
        <v>455</v>
      </c>
      <c r="FPQ101" t="s">
        <v>455</v>
      </c>
      <c r="FPR101" t="s">
        <v>455</v>
      </c>
      <c r="FPS101" t="s">
        <v>455</v>
      </c>
      <c r="FPT101" t="s">
        <v>455</v>
      </c>
      <c r="FPU101" t="s">
        <v>455</v>
      </c>
      <c r="FPV101" t="s">
        <v>455</v>
      </c>
      <c r="FPW101" t="s">
        <v>455</v>
      </c>
      <c r="FPX101" t="s">
        <v>455</v>
      </c>
      <c r="FPY101" t="s">
        <v>455</v>
      </c>
      <c r="FPZ101" t="s">
        <v>455</v>
      </c>
      <c r="FQA101" t="s">
        <v>455</v>
      </c>
      <c r="FQB101" t="s">
        <v>455</v>
      </c>
      <c r="FQC101" t="s">
        <v>455</v>
      </c>
      <c r="FQD101" t="s">
        <v>455</v>
      </c>
      <c r="FQE101" t="s">
        <v>455</v>
      </c>
      <c r="FQF101" t="s">
        <v>455</v>
      </c>
      <c r="FQG101" t="s">
        <v>455</v>
      </c>
      <c r="FQH101" t="s">
        <v>455</v>
      </c>
      <c r="FQI101" t="s">
        <v>455</v>
      </c>
      <c r="FQJ101" t="s">
        <v>455</v>
      </c>
      <c r="FQK101" t="s">
        <v>455</v>
      </c>
      <c r="FQL101" t="s">
        <v>455</v>
      </c>
      <c r="FQM101" t="s">
        <v>455</v>
      </c>
      <c r="FQN101" t="s">
        <v>455</v>
      </c>
      <c r="FQO101" t="s">
        <v>455</v>
      </c>
      <c r="FQP101" t="s">
        <v>455</v>
      </c>
      <c r="FQQ101" t="s">
        <v>455</v>
      </c>
      <c r="FQR101" t="s">
        <v>455</v>
      </c>
      <c r="FQS101" t="s">
        <v>455</v>
      </c>
      <c r="FQT101" t="s">
        <v>455</v>
      </c>
      <c r="FQU101" t="s">
        <v>455</v>
      </c>
      <c r="FQV101" t="s">
        <v>455</v>
      </c>
      <c r="FQW101" t="s">
        <v>455</v>
      </c>
      <c r="FQX101" t="s">
        <v>455</v>
      </c>
      <c r="FQY101" t="s">
        <v>455</v>
      </c>
      <c r="FQZ101" t="s">
        <v>455</v>
      </c>
      <c r="FRA101" t="s">
        <v>455</v>
      </c>
      <c r="FRB101" t="s">
        <v>455</v>
      </c>
      <c r="FRC101" t="s">
        <v>455</v>
      </c>
      <c r="FRD101" t="s">
        <v>455</v>
      </c>
      <c r="FRE101" t="s">
        <v>455</v>
      </c>
      <c r="FRF101" t="s">
        <v>455</v>
      </c>
      <c r="FRG101" t="s">
        <v>455</v>
      </c>
      <c r="FRH101" t="s">
        <v>455</v>
      </c>
      <c r="FRI101" t="s">
        <v>455</v>
      </c>
      <c r="FRJ101" t="s">
        <v>455</v>
      </c>
      <c r="FRK101" t="s">
        <v>455</v>
      </c>
      <c r="FRL101" t="s">
        <v>455</v>
      </c>
      <c r="FRM101" t="s">
        <v>455</v>
      </c>
      <c r="FRN101" t="s">
        <v>455</v>
      </c>
      <c r="FRO101" t="s">
        <v>455</v>
      </c>
      <c r="FRP101" t="s">
        <v>455</v>
      </c>
      <c r="FRQ101" t="s">
        <v>455</v>
      </c>
      <c r="FRR101" t="s">
        <v>455</v>
      </c>
      <c r="FRS101" t="s">
        <v>455</v>
      </c>
      <c r="FRT101" t="s">
        <v>455</v>
      </c>
      <c r="FRU101" t="s">
        <v>455</v>
      </c>
      <c r="FRV101" t="s">
        <v>455</v>
      </c>
      <c r="FRW101" t="s">
        <v>455</v>
      </c>
      <c r="FRX101" t="s">
        <v>455</v>
      </c>
      <c r="FRY101" t="s">
        <v>455</v>
      </c>
      <c r="FRZ101" t="s">
        <v>455</v>
      </c>
      <c r="FSA101" t="s">
        <v>455</v>
      </c>
      <c r="FSB101" t="s">
        <v>455</v>
      </c>
      <c r="FSC101" t="s">
        <v>455</v>
      </c>
      <c r="FSD101" t="s">
        <v>455</v>
      </c>
      <c r="FSE101" t="s">
        <v>455</v>
      </c>
      <c r="FSF101" t="s">
        <v>455</v>
      </c>
      <c r="FSG101" t="s">
        <v>455</v>
      </c>
      <c r="FSH101" t="s">
        <v>455</v>
      </c>
      <c r="FSI101" t="s">
        <v>455</v>
      </c>
      <c r="FSJ101" t="s">
        <v>455</v>
      </c>
      <c r="FSK101" t="s">
        <v>455</v>
      </c>
      <c r="FSL101" t="s">
        <v>455</v>
      </c>
      <c r="FSM101" t="s">
        <v>455</v>
      </c>
      <c r="FSN101" t="s">
        <v>455</v>
      </c>
      <c r="FSO101" t="s">
        <v>455</v>
      </c>
      <c r="FSP101" t="s">
        <v>455</v>
      </c>
      <c r="FSQ101" t="s">
        <v>455</v>
      </c>
      <c r="FSR101" t="s">
        <v>455</v>
      </c>
      <c r="FSS101" t="s">
        <v>455</v>
      </c>
      <c r="FST101" t="s">
        <v>455</v>
      </c>
      <c r="FSU101" t="s">
        <v>455</v>
      </c>
      <c r="FSV101" t="s">
        <v>455</v>
      </c>
      <c r="FSW101" t="s">
        <v>455</v>
      </c>
      <c r="FSX101" t="s">
        <v>455</v>
      </c>
      <c r="FSY101" t="s">
        <v>455</v>
      </c>
      <c r="FSZ101" t="s">
        <v>455</v>
      </c>
      <c r="FTA101" t="s">
        <v>455</v>
      </c>
      <c r="FTB101" t="s">
        <v>455</v>
      </c>
      <c r="FTC101" t="s">
        <v>455</v>
      </c>
      <c r="FTD101" t="s">
        <v>455</v>
      </c>
      <c r="FTE101" t="s">
        <v>455</v>
      </c>
      <c r="FTF101" t="s">
        <v>455</v>
      </c>
      <c r="FTG101" t="s">
        <v>455</v>
      </c>
      <c r="FTH101" t="s">
        <v>455</v>
      </c>
      <c r="FTI101" t="s">
        <v>455</v>
      </c>
      <c r="FTJ101" t="s">
        <v>455</v>
      </c>
      <c r="FTK101" t="s">
        <v>455</v>
      </c>
      <c r="FTL101" t="s">
        <v>455</v>
      </c>
      <c r="FTM101" t="s">
        <v>455</v>
      </c>
      <c r="FTN101" t="s">
        <v>455</v>
      </c>
      <c r="FTO101" t="s">
        <v>455</v>
      </c>
      <c r="FTP101" t="s">
        <v>455</v>
      </c>
      <c r="FTQ101" t="s">
        <v>455</v>
      </c>
      <c r="FTR101" t="s">
        <v>455</v>
      </c>
      <c r="FTS101" t="s">
        <v>455</v>
      </c>
      <c r="FTT101" t="s">
        <v>455</v>
      </c>
      <c r="FTU101" t="s">
        <v>455</v>
      </c>
      <c r="FTV101" t="s">
        <v>455</v>
      </c>
      <c r="FTW101" t="s">
        <v>455</v>
      </c>
      <c r="FTX101" t="s">
        <v>455</v>
      </c>
      <c r="FTY101" t="s">
        <v>455</v>
      </c>
      <c r="FTZ101" t="s">
        <v>455</v>
      </c>
      <c r="FUA101" t="s">
        <v>455</v>
      </c>
      <c r="FUB101" t="s">
        <v>455</v>
      </c>
      <c r="FUC101" t="s">
        <v>455</v>
      </c>
      <c r="FUD101" t="s">
        <v>455</v>
      </c>
      <c r="FUE101" t="s">
        <v>455</v>
      </c>
      <c r="FUF101" t="s">
        <v>455</v>
      </c>
      <c r="FUG101" t="s">
        <v>455</v>
      </c>
      <c r="FUH101" t="s">
        <v>455</v>
      </c>
      <c r="FUI101" t="s">
        <v>455</v>
      </c>
      <c r="FUJ101" t="s">
        <v>455</v>
      </c>
      <c r="FUK101" t="s">
        <v>455</v>
      </c>
      <c r="FUL101" t="s">
        <v>455</v>
      </c>
      <c r="FUM101" t="s">
        <v>455</v>
      </c>
      <c r="FUN101" t="s">
        <v>455</v>
      </c>
      <c r="FUO101" t="s">
        <v>455</v>
      </c>
      <c r="FUP101" t="s">
        <v>455</v>
      </c>
      <c r="FUQ101" t="s">
        <v>455</v>
      </c>
      <c r="FUR101" t="s">
        <v>455</v>
      </c>
      <c r="FUS101" t="s">
        <v>455</v>
      </c>
      <c r="FUT101" t="s">
        <v>455</v>
      </c>
      <c r="FUU101" t="s">
        <v>455</v>
      </c>
      <c r="FUV101" t="s">
        <v>455</v>
      </c>
      <c r="FUW101" t="s">
        <v>455</v>
      </c>
      <c r="FUX101" t="s">
        <v>455</v>
      </c>
      <c r="FUY101" t="s">
        <v>455</v>
      </c>
      <c r="FUZ101" t="s">
        <v>455</v>
      </c>
      <c r="FVA101" t="s">
        <v>455</v>
      </c>
      <c r="FVB101" t="s">
        <v>455</v>
      </c>
      <c r="FVC101" t="s">
        <v>455</v>
      </c>
      <c r="FVD101" t="s">
        <v>455</v>
      </c>
      <c r="FVE101" t="s">
        <v>455</v>
      </c>
      <c r="FVF101" t="s">
        <v>455</v>
      </c>
      <c r="FVG101" t="s">
        <v>455</v>
      </c>
      <c r="FVH101" t="s">
        <v>455</v>
      </c>
      <c r="FVI101" t="s">
        <v>455</v>
      </c>
      <c r="FVJ101" t="s">
        <v>455</v>
      </c>
      <c r="FVK101" t="s">
        <v>455</v>
      </c>
      <c r="FVL101" t="s">
        <v>455</v>
      </c>
      <c r="FVM101" t="s">
        <v>455</v>
      </c>
      <c r="FVN101" t="s">
        <v>455</v>
      </c>
      <c r="FVO101" t="s">
        <v>455</v>
      </c>
      <c r="FVP101" t="s">
        <v>455</v>
      </c>
      <c r="FVQ101" t="s">
        <v>455</v>
      </c>
      <c r="FVR101" t="s">
        <v>455</v>
      </c>
      <c r="FVS101" t="s">
        <v>455</v>
      </c>
      <c r="FVT101" t="s">
        <v>455</v>
      </c>
      <c r="FVU101" t="s">
        <v>455</v>
      </c>
      <c r="FVV101" t="s">
        <v>455</v>
      </c>
      <c r="FVW101" t="s">
        <v>455</v>
      </c>
      <c r="FVX101" t="s">
        <v>455</v>
      </c>
      <c r="FVY101" t="s">
        <v>455</v>
      </c>
      <c r="FVZ101" t="s">
        <v>455</v>
      </c>
      <c r="FWA101" t="s">
        <v>455</v>
      </c>
      <c r="FWB101" t="s">
        <v>455</v>
      </c>
      <c r="FWC101" t="s">
        <v>455</v>
      </c>
      <c r="FWD101" t="s">
        <v>455</v>
      </c>
      <c r="FWE101" t="s">
        <v>455</v>
      </c>
      <c r="FWF101" t="s">
        <v>455</v>
      </c>
      <c r="FWG101" t="s">
        <v>455</v>
      </c>
      <c r="FWH101" t="s">
        <v>455</v>
      </c>
      <c r="FWI101" t="s">
        <v>455</v>
      </c>
      <c r="FWJ101" t="s">
        <v>455</v>
      </c>
      <c r="FWK101" t="s">
        <v>455</v>
      </c>
      <c r="FWL101" t="s">
        <v>455</v>
      </c>
      <c r="FWM101" t="s">
        <v>455</v>
      </c>
      <c r="FWN101" t="s">
        <v>455</v>
      </c>
      <c r="FWO101" t="s">
        <v>455</v>
      </c>
      <c r="FWP101" t="s">
        <v>455</v>
      </c>
      <c r="FWQ101" t="s">
        <v>455</v>
      </c>
      <c r="FWR101" t="s">
        <v>455</v>
      </c>
      <c r="FWS101" t="s">
        <v>455</v>
      </c>
      <c r="FWT101" t="s">
        <v>455</v>
      </c>
      <c r="FWU101" t="s">
        <v>455</v>
      </c>
      <c r="FWV101" t="s">
        <v>455</v>
      </c>
      <c r="FWW101" t="s">
        <v>455</v>
      </c>
      <c r="FWX101" t="s">
        <v>455</v>
      </c>
      <c r="FWY101" t="s">
        <v>455</v>
      </c>
      <c r="FWZ101" t="s">
        <v>455</v>
      </c>
      <c r="FXA101" t="s">
        <v>455</v>
      </c>
      <c r="FXB101" t="s">
        <v>455</v>
      </c>
      <c r="FXC101" t="s">
        <v>455</v>
      </c>
      <c r="FXD101" t="s">
        <v>455</v>
      </c>
      <c r="FXE101" t="s">
        <v>455</v>
      </c>
      <c r="FXF101" t="s">
        <v>455</v>
      </c>
      <c r="FXG101" t="s">
        <v>455</v>
      </c>
      <c r="FXH101" t="s">
        <v>455</v>
      </c>
      <c r="FXI101" t="s">
        <v>455</v>
      </c>
      <c r="FXJ101" t="s">
        <v>455</v>
      </c>
      <c r="FXK101" t="s">
        <v>455</v>
      </c>
      <c r="FXL101" t="s">
        <v>455</v>
      </c>
      <c r="FXM101" t="s">
        <v>455</v>
      </c>
      <c r="FXN101" t="s">
        <v>455</v>
      </c>
      <c r="FXO101" t="s">
        <v>455</v>
      </c>
      <c r="FXP101" t="s">
        <v>455</v>
      </c>
      <c r="FXQ101" t="s">
        <v>455</v>
      </c>
      <c r="FXR101" t="s">
        <v>455</v>
      </c>
      <c r="FXS101" t="s">
        <v>455</v>
      </c>
      <c r="FXT101" t="s">
        <v>455</v>
      </c>
      <c r="FXU101" t="s">
        <v>455</v>
      </c>
      <c r="FXV101" t="s">
        <v>455</v>
      </c>
      <c r="FXW101" t="s">
        <v>455</v>
      </c>
      <c r="FXX101" t="s">
        <v>455</v>
      </c>
      <c r="FXY101" t="s">
        <v>455</v>
      </c>
      <c r="FXZ101" t="s">
        <v>455</v>
      </c>
      <c r="FYA101" t="s">
        <v>455</v>
      </c>
      <c r="FYB101" t="s">
        <v>455</v>
      </c>
      <c r="FYC101" t="s">
        <v>455</v>
      </c>
      <c r="FYD101" t="s">
        <v>455</v>
      </c>
      <c r="FYE101" t="s">
        <v>455</v>
      </c>
      <c r="FYF101" t="s">
        <v>455</v>
      </c>
      <c r="FYG101" t="s">
        <v>455</v>
      </c>
      <c r="FYH101" t="s">
        <v>455</v>
      </c>
      <c r="FYI101" t="s">
        <v>455</v>
      </c>
      <c r="FYJ101" t="s">
        <v>455</v>
      </c>
      <c r="FYK101" t="s">
        <v>455</v>
      </c>
      <c r="FYL101" t="s">
        <v>455</v>
      </c>
      <c r="FYM101" t="s">
        <v>455</v>
      </c>
      <c r="FYN101" t="s">
        <v>455</v>
      </c>
      <c r="FYO101" t="s">
        <v>455</v>
      </c>
      <c r="FYP101" t="s">
        <v>455</v>
      </c>
      <c r="FYQ101" t="s">
        <v>455</v>
      </c>
      <c r="FYR101" t="s">
        <v>455</v>
      </c>
      <c r="FYS101" t="s">
        <v>455</v>
      </c>
      <c r="FYT101" t="s">
        <v>455</v>
      </c>
      <c r="FYU101" t="s">
        <v>455</v>
      </c>
      <c r="FYV101" t="s">
        <v>455</v>
      </c>
      <c r="FYW101" t="s">
        <v>455</v>
      </c>
      <c r="FYX101" t="s">
        <v>455</v>
      </c>
      <c r="FYY101" t="s">
        <v>455</v>
      </c>
      <c r="FYZ101" t="s">
        <v>455</v>
      </c>
      <c r="FZA101" t="s">
        <v>455</v>
      </c>
      <c r="FZB101" t="s">
        <v>455</v>
      </c>
      <c r="FZC101" t="s">
        <v>455</v>
      </c>
      <c r="FZD101" t="s">
        <v>455</v>
      </c>
      <c r="FZE101" t="s">
        <v>455</v>
      </c>
      <c r="FZF101" t="s">
        <v>455</v>
      </c>
      <c r="FZG101" t="s">
        <v>455</v>
      </c>
      <c r="FZH101" t="s">
        <v>455</v>
      </c>
      <c r="FZI101" t="s">
        <v>455</v>
      </c>
      <c r="FZJ101" t="s">
        <v>455</v>
      </c>
      <c r="FZK101" t="s">
        <v>455</v>
      </c>
      <c r="FZL101" t="s">
        <v>455</v>
      </c>
      <c r="FZM101" t="s">
        <v>455</v>
      </c>
      <c r="FZN101" t="s">
        <v>455</v>
      </c>
      <c r="FZO101" t="s">
        <v>455</v>
      </c>
      <c r="FZP101" t="s">
        <v>455</v>
      </c>
      <c r="FZQ101" t="s">
        <v>455</v>
      </c>
      <c r="FZR101" t="s">
        <v>455</v>
      </c>
      <c r="FZS101" t="s">
        <v>455</v>
      </c>
      <c r="FZT101" t="s">
        <v>455</v>
      </c>
      <c r="FZU101" t="s">
        <v>455</v>
      </c>
      <c r="FZV101" t="s">
        <v>455</v>
      </c>
      <c r="FZW101" t="s">
        <v>455</v>
      </c>
      <c r="FZX101" t="s">
        <v>455</v>
      </c>
      <c r="FZY101" t="s">
        <v>455</v>
      </c>
      <c r="FZZ101" t="s">
        <v>455</v>
      </c>
      <c r="GAA101" t="s">
        <v>455</v>
      </c>
      <c r="GAB101" t="s">
        <v>455</v>
      </c>
      <c r="GAC101" t="s">
        <v>455</v>
      </c>
      <c r="GAD101" t="s">
        <v>455</v>
      </c>
      <c r="GAE101" t="s">
        <v>455</v>
      </c>
      <c r="GAF101" t="s">
        <v>455</v>
      </c>
      <c r="GAG101" t="s">
        <v>455</v>
      </c>
      <c r="GAH101" t="s">
        <v>455</v>
      </c>
      <c r="GAI101" t="s">
        <v>455</v>
      </c>
      <c r="GAJ101" t="s">
        <v>455</v>
      </c>
      <c r="GAK101" t="s">
        <v>455</v>
      </c>
      <c r="GAL101" t="s">
        <v>455</v>
      </c>
      <c r="GAM101" t="s">
        <v>455</v>
      </c>
      <c r="GAN101" t="s">
        <v>455</v>
      </c>
      <c r="GAO101" t="s">
        <v>455</v>
      </c>
      <c r="GAP101" t="s">
        <v>455</v>
      </c>
      <c r="GAQ101" t="s">
        <v>455</v>
      </c>
      <c r="GAR101" t="s">
        <v>455</v>
      </c>
      <c r="GAS101" t="s">
        <v>455</v>
      </c>
      <c r="GAT101" t="s">
        <v>455</v>
      </c>
      <c r="GAU101" t="s">
        <v>455</v>
      </c>
      <c r="GAV101" t="s">
        <v>455</v>
      </c>
      <c r="GAW101" t="s">
        <v>455</v>
      </c>
      <c r="GAX101" t="s">
        <v>455</v>
      </c>
      <c r="GAY101" t="s">
        <v>455</v>
      </c>
      <c r="GAZ101" t="s">
        <v>455</v>
      </c>
      <c r="GBA101" t="s">
        <v>455</v>
      </c>
      <c r="GBB101" t="s">
        <v>455</v>
      </c>
      <c r="GBC101" t="s">
        <v>455</v>
      </c>
      <c r="GBD101" t="s">
        <v>455</v>
      </c>
      <c r="GBE101" t="s">
        <v>455</v>
      </c>
      <c r="GBF101" t="s">
        <v>455</v>
      </c>
      <c r="GBG101" t="s">
        <v>455</v>
      </c>
      <c r="GBH101" t="s">
        <v>455</v>
      </c>
      <c r="GBI101" t="s">
        <v>455</v>
      </c>
      <c r="GBJ101" t="s">
        <v>455</v>
      </c>
      <c r="GBK101" t="s">
        <v>455</v>
      </c>
      <c r="GBL101" t="s">
        <v>455</v>
      </c>
      <c r="GBM101" t="s">
        <v>455</v>
      </c>
      <c r="GBN101" t="s">
        <v>455</v>
      </c>
      <c r="GBO101" t="s">
        <v>455</v>
      </c>
      <c r="GBP101" t="s">
        <v>455</v>
      </c>
      <c r="GBQ101" t="s">
        <v>455</v>
      </c>
      <c r="GBR101" t="s">
        <v>455</v>
      </c>
      <c r="GBS101" t="s">
        <v>455</v>
      </c>
      <c r="GBT101" t="s">
        <v>455</v>
      </c>
      <c r="GBU101" t="s">
        <v>455</v>
      </c>
      <c r="GBV101" t="s">
        <v>455</v>
      </c>
      <c r="GBW101" t="s">
        <v>455</v>
      </c>
      <c r="GBX101" t="s">
        <v>455</v>
      </c>
      <c r="GBY101" t="s">
        <v>455</v>
      </c>
      <c r="GBZ101" t="s">
        <v>455</v>
      </c>
      <c r="GCA101" t="s">
        <v>455</v>
      </c>
      <c r="GCB101" t="s">
        <v>455</v>
      </c>
      <c r="GCC101" t="s">
        <v>455</v>
      </c>
      <c r="GCD101" t="s">
        <v>455</v>
      </c>
      <c r="GCE101" t="s">
        <v>455</v>
      </c>
      <c r="GCF101" t="s">
        <v>455</v>
      </c>
      <c r="GCG101" t="s">
        <v>455</v>
      </c>
      <c r="GCH101" t="s">
        <v>455</v>
      </c>
      <c r="GCI101" t="s">
        <v>455</v>
      </c>
      <c r="GCJ101" t="s">
        <v>455</v>
      </c>
      <c r="GCK101" t="s">
        <v>455</v>
      </c>
      <c r="GCL101" t="s">
        <v>455</v>
      </c>
      <c r="GCM101" t="s">
        <v>455</v>
      </c>
      <c r="GCN101" t="s">
        <v>455</v>
      </c>
      <c r="GCO101" t="s">
        <v>455</v>
      </c>
      <c r="GCP101" t="s">
        <v>455</v>
      </c>
      <c r="GCQ101" t="s">
        <v>455</v>
      </c>
      <c r="GCR101" t="s">
        <v>455</v>
      </c>
      <c r="GCS101" t="s">
        <v>455</v>
      </c>
      <c r="GCT101" t="s">
        <v>455</v>
      </c>
      <c r="GCU101" t="s">
        <v>455</v>
      </c>
      <c r="GCV101" t="s">
        <v>455</v>
      </c>
      <c r="GCW101" t="s">
        <v>455</v>
      </c>
      <c r="GCX101" t="s">
        <v>455</v>
      </c>
      <c r="GCY101" t="s">
        <v>455</v>
      </c>
      <c r="GCZ101" t="s">
        <v>455</v>
      </c>
      <c r="GDA101" t="s">
        <v>455</v>
      </c>
      <c r="GDB101" t="s">
        <v>455</v>
      </c>
      <c r="GDC101" t="s">
        <v>455</v>
      </c>
      <c r="GDD101" t="s">
        <v>455</v>
      </c>
      <c r="GDE101" t="s">
        <v>455</v>
      </c>
      <c r="GDF101" t="s">
        <v>455</v>
      </c>
      <c r="GDG101" t="s">
        <v>455</v>
      </c>
      <c r="GDH101" t="s">
        <v>455</v>
      </c>
      <c r="GDI101" t="s">
        <v>455</v>
      </c>
      <c r="GDJ101" t="s">
        <v>455</v>
      </c>
      <c r="GDK101" t="s">
        <v>455</v>
      </c>
      <c r="GDL101" t="s">
        <v>455</v>
      </c>
      <c r="GDM101" t="s">
        <v>455</v>
      </c>
      <c r="GDN101" t="s">
        <v>455</v>
      </c>
      <c r="GDO101" t="s">
        <v>455</v>
      </c>
      <c r="GDP101" t="s">
        <v>455</v>
      </c>
      <c r="GDQ101" t="s">
        <v>455</v>
      </c>
      <c r="GDR101" t="s">
        <v>455</v>
      </c>
      <c r="GDS101" t="s">
        <v>455</v>
      </c>
      <c r="GDT101" t="s">
        <v>455</v>
      </c>
      <c r="GDU101" t="s">
        <v>455</v>
      </c>
      <c r="GDV101" t="s">
        <v>455</v>
      </c>
      <c r="GDW101" t="s">
        <v>455</v>
      </c>
      <c r="GDX101" t="s">
        <v>455</v>
      </c>
      <c r="GDY101" t="s">
        <v>455</v>
      </c>
      <c r="GDZ101" t="s">
        <v>455</v>
      </c>
      <c r="GEA101" t="s">
        <v>455</v>
      </c>
      <c r="GEB101" t="s">
        <v>455</v>
      </c>
      <c r="GEC101" t="s">
        <v>455</v>
      </c>
      <c r="GED101" t="s">
        <v>455</v>
      </c>
      <c r="GEE101" t="s">
        <v>455</v>
      </c>
      <c r="GEF101" t="s">
        <v>455</v>
      </c>
      <c r="GEG101" t="s">
        <v>455</v>
      </c>
      <c r="GEH101" t="s">
        <v>455</v>
      </c>
      <c r="GEI101" t="s">
        <v>455</v>
      </c>
      <c r="GEJ101" t="s">
        <v>455</v>
      </c>
      <c r="GEK101" t="s">
        <v>455</v>
      </c>
      <c r="GEL101" t="s">
        <v>455</v>
      </c>
      <c r="GEM101" t="s">
        <v>455</v>
      </c>
      <c r="GEN101" t="s">
        <v>455</v>
      </c>
      <c r="GEO101" t="s">
        <v>455</v>
      </c>
      <c r="GEP101" t="s">
        <v>455</v>
      </c>
      <c r="GEQ101" t="s">
        <v>455</v>
      </c>
      <c r="GER101" t="s">
        <v>455</v>
      </c>
      <c r="GES101" t="s">
        <v>455</v>
      </c>
      <c r="GET101" t="s">
        <v>455</v>
      </c>
      <c r="GEU101" t="s">
        <v>455</v>
      </c>
      <c r="GEV101" t="s">
        <v>455</v>
      </c>
      <c r="GEW101" t="s">
        <v>455</v>
      </c>
      <c r="GEX101" t="s">
        <v>455</v>
      </c>
      <c r="GEY101" t="s">
        <v>455</v>
      </c>
      <c r="GEZ101" t="s">
        <v>455</v>
      </c>
      <c r="GFA101" t="s">
        <v>455</v>
      </c>
      <c r="GFB101" t="s">
        <v>455</v>
      </c>
      <c r="GFC101" t="s">
        <v>455</v>
      </c>
      <c r="GFD101" t="s">
        <v>455</v>
      </c>
      <c r="GFE101" t="s">
        <v>455</v>
      </c>
      <c r="GFF101" t="s">
        <v>455</v>
      </c>
      <c r="GFG101" t="s">
        <v>455</v>
      </c>
      <c r="GFH101" t="s">
        <v>455</v>
      </c>
      <c r="GFI101" t="s">
        <v>455</v>
      </c>
      <c r="GFJ101" t="s">
        <v>455</v>
      </c>
      <c r="GFK101" t="s">
        <v>455</v>
      </c>
      <c r="GFL101" t="s">
        <v>455</v>
      </c>
      <c r="GFM101" t="s">
        <v>455</v>
      </c>
      <c r="GFN101" t="s">
        <v>455</v>
      </c>
      <c r="GFO101" t="s">
        <v>455</v>
      </c>
      <c r="GFP101" t="s">
        <v>455</v>
      </c>
      <c r="GFQ101" t="s">
        <v>455</v>
      </c>
      <c r="GFR101" t="s">
        <v>455</v>
      </c>
      <c r="GFS101" t="s">
        <v>455</v>
      </c>
      <c r="GFT101" t="s">
        <v>455</v>
      </c>
      <c r="GFU101" t="s">
        <v>455</v>
      </c>
      <c r="GFV101" t="s">
        <v>455</v>
      </c>
      <c r="GFW101" t="s">
        <v>455</v>
      </c>
      <c r="GFX101" t="s">
        <v>455</v>
      </c>
      <c r="GFY101" t="s">
        <v>455</v>
      </c>
      <c r="GFZ101" t="s">
        <v>455</v>
      </c>
      <c r="GGA101" t="s">
        <v>455</v>
      </c>
      <c r="GGB101" t="s">
        <v>455</v>
      </c>
      <c r="GGC101" t="s">
        <v>455</v>
      </c>
      <c r="GGD101" t="s">
        <v>455</v>
      </c>
      <c r="GGE101" t="s">
        <v>455</v>
      </c>
      <c r="GGF101" t="s">
        <v>455</v>
      </c>
      <c r="GGG101" t="s">
        <v>455</v>
      </c>
      <c r="GGH101" t="s">
        <v>455</v>
      </c>
      <c r="GGI101" t="s">
        <v>455</v>
      </c>
      <c r="GGJ101" t="s">
        <v>455</v>
      </c>
      <c r="GGK101" t="s">
        <v>455</v>
      </c>
      <c r="GGL101" t="s">
        <v>455</v>
      </c>
      <c r="GGM101" t="s">
        <v>455</v>
      </c>
      <c r="GGN101" t="s">
        <v>455</v>
      </c>
      <c r="GGO101" t="s">
        <v>455</v>
      </c>
      <c r="GGP101" t="s">
        <v>455</v>
      </c>
      <c r="GGQ101" t="s">
        <v>455</v>
      </c>
      <c r="GGR101" t="s">
        <v>455</v>
      </c>
      <c r="GGS101" t="s">
        <v>455</v>
      </c>
      <c r="GGT101" t="s">
        <v>455</v>
      </c>
      <c r="GGU101" t="s">
        <v>455</v>
      </c>
      <c r="GGV101" t="s">
        <v>455</v>
      </c>
      <c r="GGW101" t="s">
        <v>455</v>
      </c>
      <c r="GGX101" t="s">
        <v>455</v>
      </c>
      <c r="GGY101" t="s">
        <v>455</v>
      </c>
      <c r="GGZ101" t="s">
        <v>455</v>
      </c>
      <c r="GHA101" t="s">
        <v>455</v>
      </c>
      <c r="GHB101" t="s">
        <v>455</v>
      </c>
      <c r="GHC101" t="s">
        <v>455</v>
      </c>
      <c r="GHD101" t="s">
        <v>455</v>
      </c>
      <c r="GHE101" t="s">
        <v>455</v>
      </c>
      <c r="GHF101" t="s">
        <v>455</v>
      </c>
      <c r="GHG101" t="s">
        <v>455</v>
      </c>
      <c r="GHH101" t="s">
        <v>455</v>
      </c>
      <c r="GHI101" t="s">
        <v>455</v>
      </c>
      <c r="GHJ101" t="s">
        <v>455</v>
      </c>
      <c r="GHK101" t="s">
        <v>455</v>
      </c>
      <c r="GHL101" t="s">
        <v>455</v>
      </c>
      <c r="GHM101" t="s">
        <v>455</v>
      </c>
      <c r="GHN101" t="s">
        <v>455</v>
      </c>
      <c r="GHO101" t="s">
        <v>455</v>
      </c>
      <c r="GHP101" t="s">
        <v>455</v>
      </c>
      <c r="GHQ101" t="s">
        <v>455</v>
      </c>
      <c r="GHR101" t="s">
        <v>455</v>
      </c>
      <c r="GHS101" t="s">
        <v>455</v>
      </c>
      <c r="GHT101" t="s">
        <v>455</v>
      </c>
      <c r="GHU101" t="s">
        <v>455</v>
      </c>
      <c r="GHV101" t="s">
        <v>455</v>
      </c>
      <c r="GHW101" t="s">
        <v>455</v>
      </c>
      <c r="GHX101" t="s">
        <v>455</v>
      </c>
      <c r="GHY101" t="s">
        <v>455</v>
      </c>
      <c r="GHZ101" t="s">
        <v>455</v>
      </c>
      <c r="GIA101" t="s">
        <v>455</v>
      </c>
      <c r="GIB101" t="s">
        <v>455</v>
      </c>
      <c r="GIC101" t="s">
        <v>455</v>
      </c>
      <c r="GID101" t="s">
        <v>455</v>
      </c>
      <c r="GIE101" t="s">
        <v>455</v>
      </c>
      <c r="GIF101" t="s">
        <v>455</v>
      </c>
      <c r="GIG101" t="s">
        <v>455</v>
      </c>
      <c r="GIH101" t="s">
        <v>455</v>
      </c>
      <c r="GII101" t="s">
        <v>455</v>
      </c>
      <c r="GIJ101" t="s">
        <v>455</v>
      </c>
      <c r="GIK101" t="s">
        <v>455</v>
      </c>
      <c r="GIL101" t="s">
        <v>455</v>
      </c>
      <c r="GIM101" t="s">
        <v>455</v>
      </c>
      <c r="GIN101" t="s">
        <v>455</v>
      </c>
      <c r="GIO101" t="s">
        <v>455</v>
      </c>
      <c r="GIP101" t="s">
        <v>455</v>
      </c>
      <c r="GIQ101" t="s">
        <v>455</v>
      </c>
      <c r="GIR101" t="s">
        <v>455</v>
      </c>
      <c r="GIS101" t="s">
        <v>455</v>
      </c>
      <c r="GIT101" t="s">
        <v>455</v>
      </c>
      <c r="GIU101" t="s">
        <v>455</v>
      </c>
      <c r="GIV101" t="s">
        <v>455</v>
      </c>
      <c r="GIW101" t="s">
        <v>455</v>
      </c>
      <c r="GIX101" t="s">
        <v>455</v>
      </c>
      <c r="GIY101" t="s">
        <v>455</v>
      </c>
      <c r="GIZ101" t="s">
        <v>455</v>
      </c>
      <c r="GJA101" t="s">
        <v>455</v>
      </c>
      <c r="GJB101" t="s">
        <v>455</v>
      </c>
      <c r="GJC101" t="s">
        <v>455</v>
      </c>
      <c r="GJD101" t="s">
        <v>455</v>
      </c>
      <c r="GJE101" t="s">
        <v>455</v>
      </c>
      <c r="GJF101" t="s">
        <v>455</v>
      </c>
      <c r="GJG101" t="s">
        <v>455</v>
      </c>
      <c r="GJH101" t="s">
        <v>455</v>
      </c>
      <c r="GJI101" t="s">
        <v>455</v>
      </c>
      <c r="GJJ101" t="s">
        <v>455</v>
      </c>
      <c r="GJK101" t="s">
        <v>455</v>
      </c>
      <c r="GJL101" t="s">
        <v>455</v>
      </c>
      <c r="GJM101" t="s">
        <v>455</v>
      </c>
      <c r="GJN101" t="s">
        <v>455</v>
      </c>
      <c r="GJO101" t="s">
        <v>455</v>
      </c>
      <c r="GJP101" t="s">
        <v>455</v>
      </c>
      <c r="GJQ101" t="s">
        <v>455</v>
      </c>
      <c r="GJR101" t="s">
        <v>455</v>
      </c>
      <c r="GJS101" t="s">
        <v>455</v>
      </c>
      <c r="GJT101" t="s">
        <v>455</v>
      </c>
      <c r="GJU101" t="s">
        <v>455</v>
      </c>
      <c r="GJV101" t="s">
        <v>455</v>
      </c>
      <c r="GJW101" t="s">
        <v>455</v>
      </c>
      <c r="GJX101" t="s">
        <v>455</v>
      </c>
      <c r="GJY101" t="s">
        <v>455</v>
      </c>
      <c r="GJZ101" t="s">
        <v>455</v>
      </c>
      <c r="GKA101" t="s">
        <v>455</v>
      </c>
      <c r="GKB101" t="s">
        <v>455</v>
      </c>
      <c r="GKC101" t="s">
        <v>455</v>
      </c>
      <c r="GKD101" t="s">
        <v>455</v>
      </c>
      <c r="GKE101" t="s">
        <v>455</v>
      </c>
      <c r="GKF101" t="s">
        <v>455</v>
      </c>
      <c r="GKG101" t="s">
        <v>455</v>
      </c>
      <c r="GKH101" t="s">
        <v>455</v>
      </c>
      <c r="GKI101" t="s">
        <v>455</v>
      </c>
      <c r="GKJ101" t="s">
        <v>455</v>
      </c>
      <c r="GKK101" t="s">
        <v>455</v>
      </c>
      <c r="GKL101" t="s">
        <v>455</v>
      </c>
      <c r="GKM101" t="s">
        <v>455</v>
      </c>
      <c r="GKN101" t="s">
        <v>455</v>
      </c>
      <c r="GKO101" t="s">
        <v>455</v>
      </c>
      <c r="GKP101" t="s">
        <v>455</v>
      </c>
      <c r="GKQ101" t="s">
        <v>455</v>
      </c>
      <c r="GKR101" t="s">
        <v>455</v>
      </c>
      <c r="GKS101" t="s">
        <v>455</v>
      </c>
      <c r="GKT101" t="s">
        <v>455</v>
      </c>
      <c r="GKU101" t="s">
        <v>455</v>
      </c>
      <c r="GKV101" t="s">
        <v>455</v>
      </c>
      <c r="GKW101" t="s">
        <v>455</v>
      </c>
      <c r="GKX101" t="s">
        <v>455</v>
      </c>
      <c r="GKY101" t="s">
        <v>455</v>
      </c>
      <c r="GKZ101" t="s">
        <v>455</v>
      </c>
      <c r="GLA101" t="s">
        <v>455</v>
      </c>
      <c r="GLB101" t="s">
        <v>455</v>
      </c>
      <c r="GLC101" t="s">
        <v>455</v>
      </c>
      <c r="GLD101" t="s">
        <v>455</v>
      </c>
      <c r="GLE101" t="s">
        <v>455</v>
      </c>
      <c r="GLF101" t="s">
        <v>455</v>
      </c>
      <c r="GLG101" t="s">
        <v>455</v>
      </c>
      <c r="GLH101" t="s">
        <v>455</v>
      </c>
      <c r="GLI101" t="s">
        <v>455</v>
      </c>
      <c r="GLJ101" t="s">
        <v>455</v>
      </c>
      <c r="GLK101" t="s">
        <v>455</v>
      </c>
      <c r="GLL101" t="s">
        <v>455</v>
      </c>
      <c r="GLM101" t="s">
        <v>455</v>
      </c>
      <c r="GLN101" t="s">
        <v>455</v>
      </c>
      <c r="GLO101" t="s">
        <v>455</v>
      </c>
      <c r="GLP101" t="s">
        <v>455</v>
      </c>
      <c r="GLQ101" t="s">
        <v>455</v>
      </c>
      <c r="GLR101" t="s">
        <v>455</v>
      </c>
      <c r="GLS101" t="s">
        <v>455</v>
      </c>
      <c r="GLT101" t="s">
        <v>455</v>
      </c>
      <c r="GLU101" t="s">
        <v>455</v>
      </c>
      <c r="GLV101" t="s">
        <v>455</v>
      </c>
      <c r="GLW101" t="s">
        <v>455</v>
      </c>
      <c r="GLX101" t="s">
        <v>455</v>
      </c>
      <c r="GLY101" t="s">
        <v>455</v>
      </c>
      <c r="GLZ101" t="s">
        <v>455</v>
      </c>
      <c r="GMA101" t="s">
        <v>455</v>
      </c>
      <c r="GMB101" t="s">
        <v>455</v>
      </c>
      <c r="GMC101" t="s">
        <v>455</v>
      </c>
      <c r="GMD101" t="s">
        <v>455</v>
      </c>
      <c r="GME101" t="s">
        <v>455</v>
      </c>
      <c r="GMF101" t="s">
        <v>455</v>
      </c>
      <c r="GMG101" t="s">
        <v>455</v>
      </c>
      <c r="GMH101" t="s">
        <v>455</v>
      </c>
      <c r="GMI101" t="s">
        <v>455</v>
      </c>
      <c r="GMJ101" t="s">
        <v>455</v>
      </c>
      <c r="GMK101" t="s">
        <v>455</v>
      </c>
      <c r="GML101" t="s">
        <v>455</v>
      </c>
      <c r="GMM101" t="s">
        <v>455</v>
      </c>
      <c r="GMN101" t="s">
        <v>455</v>
      </c>
      <c r="GMO101" t="s">
        <v>455</v>
      </c>
      <c r="GMP101" t="s">
        <v>455</v>
      </c>
      <c r="GMQ101" t="s">
        <v>455</v>
      </c>
      <c r="GMR101" t="s">
        <v>455</v>
      </c>
      <c r="GMS101" t="s">
        <v>455</v>
      </c>
      <c r="GMT101" t="s">
        <v>455</v>
      </c>
      <c r="GMU101" t="s">
        <v>455</v>
      </c>
      <c r="GMV101" t="s">
        <v>455</v>
      </c>
      <c r="GMW101" t="s">
        <v>455</v>
      </c>
      <c r="GMX101" t="s">
        <v>455</v>
      </c>
      <c r="GMY101" t="s">
        <v>455</v>
      </c>
      <c r="GMZ101" t="s">
        <v>455</v>
      </c>
      <c r="GNA101" t="s">
        <v>455</v>
      </c>
      <c r="GNB101" t="s">
        <v>455</v>
      </c>
      <c r="GNC101" t="s">
        <v>455</v>
      </c>
      <c r="GND101" t="s">
        <v>455</v>
      </c>
      <c r="GNE101" t="s">
        <v>455</v>
      </c>
      <c r="GNF101" t="s">
        <v>455</v>
      </c>
      <c r="GNG101" t="s">
        <v>455</v>
      </c>
      <c r="GNH101" t="s">
        <v>455</v>
      </c>
      <c r="GNI101" t="s">
        <v>455</v>
      </c>
      <c r="GNJ101" t="s">
        <v>455</v>
      </c>
      <c r="GNK101" t="s">
        <v>455</v>
      </c>
      <c r="GNL101" t="s">
        <v>455</v>
      </c>
      <c r="GNM101" t="s">
        <v>455</v>
      </c>
      <c r="GNN101" t="s">
        <v>455</v>
      </c>
      <c r="GNO101" t="s">
        <v>455</v>
      </c>
      <c r="GNP101" t="s">
        <v>455</v>
      </c>
      <c r="GNQ101" t="s">
        <v>455</v>
      </c>
      <c r="GNR101" t="s">
        <v>455</v>
      </c>
      <c r="GNS101" t="s">
        <v>455</v>
      </c>
      <c r="GNT101" t="s">
        <v>455</v>
      </c>
      <c r="GNU101" t="s">
        <v>455</v>
      </c>
      <c r="GNV101" t="s">
        <v>455</v>
      </c>
      <c r="GNW101" t="s">
        <v>455</v>
      </c>
      <c r="GNX101" t="s">
        <v>455</v>
      </c>
      <c r="GNY101" t="s">
        <v>455</v>
      </c>
      <c r="GNZ101" t="s">
        <v>455</v>
      </c>
      <c r="GOA101" t="s">
        <v>455</v>
      </c>
      <c r="GOB101" t="s">
        <v>455</v>
      </c>
      <c r="GOC101" t="s">
        <v>455</v>
      </c>
      <c r="GOD101" t="s">
        <v>455</v>
      </c>
      <c r="GOE101" t="s">
        <v>455</v>
      </c>
      <c r="GOF101" t="s">
        <v>455</v>
      </c>
      <c r="GOG101" t="s">
        <v>455</v>
      </c>
      <c r="GOH101" t="s">
        <v>455</v>
      </c>
      <c r="GOI101" t="s">
        <v>455</v>
      </c>
      <c r="GOJ101" t="s">
        <v>455</v>
      </c>
      <c r="GOK101" t="s">
        <v>455</v>
      </c>
      <c r="GOL101" t="s">
        <v>455</v>
      </c>
      <c r="GOM101" t="s">
        <v>455</v>
      </c>
      <c r="GON101" t="s">
        <v>455</v>
      </c>
      <c r="GOO101" t="s">
        <v>455</v>
      </c>
      <c r="GOP101" t="s">
        <v>455</v>
      </c>
      <c r="GOQ101" t="s">
        <v>455</v>
      </c>
      <c r="GOR101" t="s">
        <v>455</v>
      </c>
      <c r="GOS101" t="s">
        <v>455</v>
      </c>
      <c r="GOT101" t="s">
        <v>455</v>
      </c>
      <c r="GOU101" t="s">
        <v>455</v>
      </c>
      <c r="GOV101" t="s">
        <v>455</v>
      </c>
      <c r="GOW101" t="s">
        <v>455</v>
      </c>
      <c r="GOX101" t="s">
        <v>455</v>
      </c>
      <c r="GOY101" t="s">
        <v>455</v>
      </c>
      <c r="GOZ101" t="s">
        <v>455</v>
      </c>
      <c r="GPA101" t="s">
        <v>455</v>
      </c>
      <c r="GPB101" t="s">
        <v>455</v>
      </c>
      <c r="GPC101" t="s">
        <v>455</v>
      </c>
      <c r="GPD101" t="s">
        <v>455</v>
      </c>
      <c r="GPE101" t="s">
        <v>455</v>
      </c>
      <c r="GPF101" t="s">
        <v>455</v>
      </c>
      <c r="GPG101" t="s">
        <v>455</v>
      </c>
      <c r="GPH101" t="s">
        <v>455</v>
      </c>
      <c r="GPI101" t="s">
        <v>455</v>
      </c>
      <c r="GPJ101" t="s">
        <v>455</v>
      </c>
      <c r="GPK101" t="s">
        <v>455</v>
      </c>
      <c r="GPL101" t="s">
        <v>455</v>
      </c>
      <c r="GPM101" t="s">
        <v>455</v>
      </c>
      <c r="GPN101" t="s">
        <v>455</v>
      </c>
      <c r="GPO101" t="s">
        <v>455</v>
      </c>
      <c r="GPP101" t="s">
        <v>455</v>
      </c>
      <c r="GPQ101" t="s">
        <v>455</v>
      </c>
      <c r="GPR101" t="s">
        <v>455</v>
      </c>
      <c r="GPS101" t="s">
        <v>455</v>
      </c>
      <c r="GPT101" t="s">
        <v>455</v>
      </c>
      <c r="GPU101" t="s">
        <v>455</v>
      </c>
      <c r="GPV101" t="s">
        <v>455</v>
      </c>
      <c r="GPW101" t="s">
        <v>455</v>
      </c>
      <c r="GPX101" t="s">
        <v>455</v>
      </c>
      <c r="GPY101" t="s">
        <v>455</v>
      </c>
      <c r="GPZ101" t="s">
        <v>455</v>
      </c>
      <c r="GQA101" t="s">
        <v>455</v>
      </c>
      <c r="GQB101" t="s">
        <v>455</v>
      </c>
      <c r="GQC101" t="s">
        <v>455</v>
      </c>
      <c r="GQD101" t="s">
        <v>455</v>
      </c>
      <c r="GQE101" t="s">
        <v>455</v>
      </c>
      <c r="GQF101" t="s">
        <v>455</v>
      </c>
      <c r="GQG101" t="s">
        <v>455</v>
      </c>
      <c r="GQH101" t="s">
        <v>455</v>
      </c>
      <c r="GQI101" t="s">
        <v>455</v>
      </c>
      <c r="GQJ101" t="s">
        <v>455</v>
      </c>
      <c r="GQK101" t="s">
        <v>455</v>
      </c>
      <c r="GQL101" t="s">
        <v>455</v>
      </c>
      <c r="GQM101" t="s">
        <v>455</v>
      </c>
      <c r="GQN101" t="s">
        <v>455</v>
      </c>
      <c r="GQO101" t="s">
        <v>455</v>
      </c>
      <c r="GQP101" t="s">
        <v>455</v>
      </c>
      <c r="GQQ101" t="s">
        <v>455</v>
      </c>
      <c r="GQR101" t="s">
        <v>455</v>
      </c>
      <c r="GQS101" t="s">
        <v>455</v>
      </c>
      <c r="GQT101" t="s">
        <v>455</v>
      </c>
      <c r="GQU101" t="s">
        <v>455</v>
      </c>
      <c r="GQV101" t="s">
        <v>455</v>
      </c>
      <c r="GQW101" t="s">
        <v>455</v>
      </c>
      <c r="GQX101" t="s">
        <v>455</v>
      </c>
      <c r="GQY101" t="s">
        <v>455</v>
      </c>
      <c r="GQZ101" t="s">
        <v>455</v>
      </c>
      <c r="GRA101" t="s">
        <v>455</v>
      </c>
      <c r="GRB101" t="s">
        <v>455</v>
      </c>
      <c r="GRC101" t="s">
        <v>455</v>
      </c>
      <c r="GRD101" t="s">
        <v>455</v>
      </c>
      <c r="GRE101" t="s">
        <v>455</v>
      </c>
      <c r="GRF101" t="s">
        <v>455</v>
      </c>
      <c r="GRG101" t="s">
        <v>455</v>
      </c>
      <c r="GRH101" t="s">
        <v>455</v>
      </c>
      <c r="GRI101" t="s">
        <v>455</v>
      </c>
      <c r="GRJ101" t="s">
        <v>455</v>
      </c>
      <c r="GRK101" t="s">
        <v>455</v>
      </c>
      <c r="GRL101" t="s">
        <v>455</v>
      </c>
      <c r="GRM101" t="s">
        <v>455</v>
      </c>
      <c r="GRN101" t="s">
        <v>455</v>
      </c>
      <c r="GRO101" t="s">
        <v>455</v>
      </c>
      <c r="GRP101" t="s">
        <v>455</v>
      </c>
      <c r="GRQ101" t="s">
        <v>455</v>
      </c>
      <c r="GRR101" t="s">
        <v>455</v>
      </c>
      <c r="GRS101" t="s">
        <v>455</v>
      </c>
      <c r="GRT101" t="s">
        <v>455</v>
      </c>
      <c r="GRU101" t="s">
        <v>455</v>
      </c>
      <c r="GRV101" t="s">
        <v>455</v>
      </c>
      <c r="GRW101" t="s">
        <v>455</v>
      </c>
      <c r="GRX101" t="s">
        <v>455</v>
      </c>
      <c r="GRY101" t="s">
        <v>455</v>
      </c>
      <c r="GRZ101" t="s">
        <v>455</v>
      </c>
      <c r="GSA101" t="s">
        <v>455</v>
      </c>
      <c r="GSB101" t="s">
        <v>455</v>
      </c>
      <c r="GSC101" t="s">
        <v>455</v>
      </c>
      <c r="GSD101" t="s">
        <v>455</v>
      </c>
      <c r="GSE101" t="s">
        <v>455</v>
      </c>
      <c r="GSF101" t="s">
        <v>455</v>
      </c>
      <c r="GSG101" t="s">
        <v>455</v>
      </c>
      <c r="GSH101" t="s">
        <v>455</v>
      </c>
      <c r="GSI101" t="s">
        <v>455</v>
      </c>
      <c r="GSJ101" t="s">
        <v>455</v>
      </c>
      <c r="GSK101" t="s">
        <v>455</v>
      </c>
      <c r="GSL101" t="s">
        <v>455</v>
      </c>
      <c r="GSM101" t="s">
        <v>455</v>
      </c>
      <c r="GSN101" t="s">
        <v>455</v>
      </c>
      <c r="GSO101" t="s">
        <v>455</v>
      </c>
      <c r="GSP101" t="s">
        <v>455</v>
      </c>
      <c r="GSQ101" t="s">
        <v>455</v>
      </c>
      <c r="GSR101" t="s">
        <v>455</v>
      </c>
      <c r="GSS101" t="s">
        <v>455</v>
      </c>
      <c r="GST101" t="s">
        <v>455</v>
      </c>
      <c r="GSU101" t="s">
        <v>455</v>
      </c>
      <c r="GSV101" t="s">
        <v>455</v>
      </c>
      <c r="GSW101" t="s">
        <v>455</v>
      </c>
      <c r="GSX101" t="s">
        <v>455</v>
      </c>
      <c r="GSY101" t="s">
        <v>455</v>
      </c>
      <c r="GSZ101" t="s">
        <v>455</v>
      </c>
      <c r="GTA101" t="s">
        <v>455</v>
      </c>
      <c r="GTB101" t="s">
        <v>455</v>
      </c>
      <c r="GTC101" t="s">
        <v>455</v>
      </c>
      <c r="GTD101" t="s">
        <v>455</v>
      </c>
      <c r="GTE101" t="s">
        <v>455</v>
      </c>
      <c r="GTF101" t="s">
        <v>455</v>
      </c>
      <c r="GTG101" t="s">
        <v>455</v>
      </c>
      <c r="GTH101" t="s">
        <v>455</v>
      </c>
      <c r="GTI101" t="s">
        <v>455</v>
      </c>
      <c r="GTJ101" t="s">
        <v>455</v>
      </c>
      <c r="GTK101" t="s">
        <v>455</v>
      </c>
      <c r="GTL101" t="s">
        <v>455</v>
      </c>
      <c r="GTM101" t="s">
        <v>455</v>
      </c>
      <c r="GTN101" t="s">
        <v>455</v>
      </c>
      <c r="GTO101" t="s">
        <v>455</v>
      </c>
      <c r="GTP101" t="s">
        <v>455</v>
      </c>
      <c r="GTQ101" t="s">
        <v>455</v>
      </c>
      <c r="GTR101" t="s">
        <v>455</v>
      </c>
      <c r="GTS101" t="s">
        <v>455</v>
      </c>
      <c r="GTT101" t="s">
        <v>455</v>
      </c>
      <c r="GTU101" t="s">
        <v>455</v>
      </c>
      <c r="GTV101" t="s">
        <v>455</v>
      </c>
      <c r="GTW101" t="s">
        <v>455</v>
      </c>
      <c r="GTX101" t="s">
        <v>455</v>
      </c>
      <c r="GTY101" t="s">
        <v>455</v>
      </c>
      <c r="GTZ101" t="s">
        <v>455</v>
      </c>
      <c r="GUA101" t="s">
        <v>455</v>
      </c>
      <c r="GUB101" t="s">
        <v>455</v>
      </c>
      <c r="GUC101" t="s">
        <v>455</v>
      </c>
      <c r="GUD101" t="s">
        <v>455</v>
      </c>
      <c r="GUE101" t="s">
        <v>455</v>
      </c>
      <c r="GUF101" t="s">
        <v>455</v>
      </c>
      <c r="GUG101" t="s">
        <v>455</v>
      </c>
      <c r="GUH101" t="s">
        <v>455</v>
      </c>
      <c r="GUI101" t="s">
        <v>455</v>
      </c>
      <c r="GUJ101" t="s">
        <v>455</v>
      </c>
      <c r="GUK101" t="s">
        <v>455</v>
      </c>
      <c r="GUL101" t="s">
        <v>455</v>
      </c>
      <c r="GUM101" t="s">
        <v>455</v>
      </c>
      <c r="GUN101" t="s">
        <v>455</v>
      </c>
      <c r="GUO101" t="s">
        <v>455</v>
      </c>
      <c r="GUP101" t="s">
        <v>455</v>
      </c>
      <c r="GUQ101" t="s">
        <v>455</v>
      </c>
      <c r="GUR101" t="s">
        <v>455</v>
      </c>
      <c r="GUS101" t="s">
        <v>455</v>
      </c>
      <c r="GUT101" t="s">
        <v>455</v>
      </c>
      <c r="GUU101" t="s">
        <v>455</v>
      </c>
      <c r="GUV101" t="s">
        <v>455</v>
      </c>
      <c r="GUW101" t="s">
        <v>455</v>
      </c>
      <c r="GUX101" t="s">
        <v>455</v>
      </c>
      <c r="GUY101" t="s">
        <v>455</v>
      </c>
      <c r="GUZ101" t="s">
        <v>455</v>
      </c>
      <c r="GVA101" t="s">
        <v>455</v>
      </c>
      <c r="GVB101" t="s">
        <v>455</v>
      </c>
      <c r="GVC101" t="s">
        <v>455</v>
      </c>
      <c r="GVD101" t="s">
        <v>455</v>
      </c>
      <c r="GVE101" t="s">
        <v>455</v>
      </c>
      <c r="GVF101" t="s">
        <v>455</v>
      </c>
      <c r="GVG101" t="s">
        <v>455</v>
      </c>
      <c r="GVH101" t="s">
        <v>455</v>
      </c>
      <c r="GVI101" t="s">
        <v>455</v>
      </c>
      <c r="GVJ101" t="s">
        <v>455</v>
      </c>
      <c r="GVK101" t="s">
        <v>455</v>
      </c>
      <c r="GVL101" t="s">
        <v>455</v>
      </c>
      <c r="GVM101" t="s">
        <v>455</v>
      </c>
      <c r="GVN101" t="s">
        <v>455</v>
      </c>
      <c r="GVO101" t="s">
        <v>455</v>
      </c>
      <c r="GVP101" t="s">
        <v>455</v>
      </c>
      <c r="GVQ101" t="s">
        <v>455</v>
      </c>
      <c r="GVR101" t="s">
        <v>455</v>
      </c>
      <c r="GVS101" t="s">
        <v>455</v>
      </c>
      <c r="GVT101" t="s">
        <v>455</v>
      </c>
      <c r="GVU101" t="s">
        <v>455</v>
      </c>
      <c r="GVV101" t="s">
        <v>455</v>
      </c>
      <c r="GVW101" t="s">
        <v>455</v>
      </c>
      <c r="GVX101" t="s">
        <v>455</v>
      </c>
      <c r="GVY101" t="s">
        <v>455</v>
      </c>
      <c r="GVZ101" t="s">
        <v>455</v>
      </c>
      <c r="GWA101" t="s">
        <v>455</v>
      </c>
      <c r="GWB101" t="s">
        <v>455</v>
      </c>
      <c r="GWC101" t="s">
        <v>455</v>
      </c>
      <c r="GWD101" t="s">
        <v>455</v>
      </c>
      <c r="GWE101" t="s">
        <v>455</v>
      </c>
      <c r="GWF101" t="s">
        <v>455</v>
      </c>
      <c r="GWG101" t="s">
        <v>455</v>
      </c>
      <c r="GWH101" t="s">
        <v>455</v>
      </c>
      <c r="GWI101" t="s">
        <v>455</v>
      </c>
      <c r="GWJ101" t="s">
        <v>455</v>
      </c>
      <c r="GWK101" t="s">
        <v>455</v>
      </c>
      <c r="GWL101" t="s">
        <v>455</v>
      </c>
      <c r="GWM101" t="s">
        <v>455</v>
      </c>
      <c r="GWN101" t="s">
        <v>455</v>
      </c>
      <c r="GWO101" t="s">
        <v>455</v>
      </c>
      <c r="GWP101" t="s">
        <v>455</v>
      </c>
      <c r="GWQ101" t="s">
        <v>455</v>
      </c>
      <c r="GWR101" t="s">
        <v>455</v>
      </c>
      <c r="GWS101" t="s">
        <v>455</v>
      </c>
      <c r="GWT101" t="s">
        <v>455</v>
      </c>
      <c r="GWU101" t="s">
        <v>455</v>
      </c>
      <c r="GWV101" t="s">
        <v>455</v>
      </c>
      <c r="GWW101" t="s">
        <v>455</v>
      </c>
      <c r="GWX101" t="s">
        <v>455</v>
      </c>
      <c r="GWY101" t="s">
        <v>455</v>
      </c>
      <c r="GWZ101" t="s">
        <v>455</v>
      </c>
      <c r="GXA101" t="s">
        <v>455</v>
      </c>
      <c r="GXB101" t="s">
        <v>455</v>
      </c>
      <c r="GXC101" t="s">
        <v>455</v>
      </c>
      <c r="GXD101" t="s">
        <v>455</v>
      </c>
      <c r="GXE101" t="s">
        <v>455</v>
      </c>
      <c r="GXF101" t="s">
        <v>455</v>
      </c>
      <c r="GXG101" t="s">
        <v>455</v>
      </c>
      <c r="GXH101" t="s">
        <v>455</v>
      </c>
      <c r="GXI101" t="s">
        <v>455</v>
      </c>
      <c r="GXJ101" t="s">
        <v>455</v>
      </c>
      <c r="GXK101" t="s">
        <v>455</v>
      </c>
      <c r="GXL101" t="s">
        <v>455</v>
      </c>
      <c r="GXM101" t="s">
        <v>455</v>
      </c>
      <c r="GXN101" t="s">
        <v>455</v>
      </c>
      <c r="GXO101" t="s">
        <v>455</v>
      </c>
      <c r="GXP101" t="s">
        <v>455</v>
      </c>
      <c r="GXQ101" t="s">
        <v>455</v>
      </c>
      <c r="GXR101" t="s">
        <v>455</v>
      </c>
      <c r="GXS101" t="s">
        <v>455</v>
      </c>
      <c r="GXT101" t="s">
        <v>455</v>
      </c>
      <c r="GXU101" t="s">
        <v>455</v>
      </c>
      <c r="GXV101" t="s">
        <v>455</v>
      </c>
      <c r="GXW101" t="s">
        <v>455</v>
      </c>
      <c r="GXX101" t="s">
        <v>455</v>
      </c>
      <c r="GXY101" t="s">
        <v>455</v>
      </c>
      <c r="GXZ101" t="s">
        <v>455</v>
      </c>
      <c r="GYA101" t="s">
        <v>455</v>
      </c>
      <c r="GYB101" t="s">
        <v>455</v>
      </c>
      <c r="GYC101" t="s">
        <v>455</v>
      </c>
      <c r="GYD101" t="s">
        <v>455</v>
      </c>
      <c r="GYE101" t="s">
        <v>455</v>
      </c>
      <c r="GYF101" t="s">
        <v>455</v>
      </c>
      <c r="GYG101" t="s">
        <v>455</v>
      </c>
      <c r="GYH101" t="s">
        <v>455</v>
      </c>
      <c r="GYI101" t="s">
        <v>455</v>
      </c>
      <c r="GYJ101" t="s">
        <v>455</v>
      </c>
      <c r="GYK101" t="s">
        <v>455</v>
      </c>
      <c r="GYL101" t="s">
        <v>455</v>
      </c>
      <c r="GYM101" t="s">
        <v>455</v>
      </c>
      <c r="GYN101" t="s">
        <v>455</v>
      </c>
      <c r="GYO101" t="s">
        <v>455</v>
      </c>
      <c r="GYP101" t="s">
        <v>455</v>
      </c>
      <c r="GYQ101" t="s">
        <v>455</v>
      </c>
      <c r="GYR101" t="s">
        <v>455</v>
      </c>
      <c r="GYS101" t="s">
        <v>455</v>
      </c>
      <c r="GYT101" t="s">
        <v>455</v>
      </c>
      <c r="GYU101" t="s">
        <v>455</v>
      </c>
      <c r="GYV101" t="s">
        <v>455</v>
      </c>
      <c r="GYW101" t="s">
        <v>455</v>
      </c>
      <c r="GYX101" t="s">
        <v>455</v>
      </c>
      <c r="GYY101" t="s">
        <v>455</v>
      </c>
      <c r="GYZ101" t="s">
        <v>455</v>
      </c>
      <c r="GZA101" t="s">
        <v>455</v>
      </c>
      <c r="GZB101" t="s">
        <v>455</v>
      </c>
      <c r="GZC101" t="s">
        <v>455</v>
      </c>
      <c r="GZD101" t="s">
        <v>455</v>
      </c>
      <c r="GZE101" t="s">
        <v>455</v>
      </c>
      <c r="GZF101" t="s">
        <v>455</v>
      </c>
      <c r="GZG101" t="s">
        <v>455</v>
      </c>
      <c r="GZH101" t="s">
        <v>455</v>
      </c>
      <c r="GZI101" t="s">
        <v>455</v>
      </c>
      <c r="GZJ101" t="s">
        <v>455</v>
      </c>
      <c r="GZK101" t="s">
        <v>455</v>
      </c>
      <c r="GZL101" t="s">
        <v>455</v>
      </c>
      <c r="GZM101" t="s">
        <v>455</v>
      </c>
      <c r="GZN101" t="s">
        <v>455</v>
      </c>
      <c r="GZO101" t="s">
        <v>455</v>
      </c>
      <c r="GZP101" t="s">
        <v>455</v>
      </c>
      <c r="GZQ101" t="s">
        <v>455</v>
      </c>
      <c r="GZR101" t="s">
        <v>455</v>
      </c>
      <c r="GZS101" t="s">
        <v>455</v>
      </c>
      <c r="GZT101" t="s">
        <v>455</v>
      </c>
      <c r="GZU101" t="s">
        <v>455</v>
      </c>
      <c r="GZV101" t="s">
        <v>455</v>
      </c>
      <c r="GZW101" t="s">
        <v>455</v>
      </c>
      <c r="GZX101" t="s">
        <v>455</v>
      </c>
      <c r="GZY101" t="s">
        <v>455</v>
      </c>
      <c r="GZZ101" t="s">
        <v>455</v>
      </c>
      <c r="HAA101" t="s">
        <v>455</v>
      </c>
      <c r="HAB101" t="s">
        <v>455</v>
      </c>
      <c r="HAC101" t="s">
        <v>455</v>
      </c>
      <c r="HAD101" t="s">
        <v>455</v>
      </c>
      <c r="HAE101" t="s">
        <v>455</v>
      </c>
      <c r="HAF101" t="s">
        <v>455</v>
      </c>
      <c r="HAG101" t="s">
        <v>455</v>
      </c>
      <c r="HAH101" t="s">
        <v>455</v>
      </c>
      <c r="HAI101" t="s">
        <v>455</v>
      </c>
      <c r="HAJ101" t="s">
        <v>455</v>
      </c>
      <c r="HAK101" t="s">
        <v>455</v>
      </c>
      <c r="HAL101" t="s">
        <v>455</v>
      </c>
      <c r="HAM101" t="s">
        <v>455</v>
      </c>
      <c r="HAN101" t="s">
        <v>455</v>
      </c>
      <c r="HAO101" t="s">
        <v>455</v>
      </c>
      <c r="HAP101" t="s">
        <v>455</v>
      </c>
      <c r="HAQ101" t="s">
        <v>455</v>
      </c>
      <c r="HAR101" t="s">
        <v>455</v>
      </c>
      <c r="HAS101" t="s">
        <v>455</v>
      </c>
      <c r="HAT101" t="s">
        <v>455</v>
      </c>
      <c r="HAU101" t="s">
        <v>455</v>
      </c>
      <c r="HAV101" t="s">
        <v>455</v>
      </c>
      <c r="HAW101" t="s">
        <v>455</v>
      </c>
      <c r="HAX101" t="s">
        <v>455</v>
      </c>
      <c r="HAY101" t="s">
        <v>455</v>
      </c>
      <c r="HAZ101" t="s">
        <v>455</v>
      </c>
      <c r="HBA101" t="s">
        <v>455</v>
      </c>
      <c r="HBB101" t="s">
        <v>455</v>
      </c>
      <c r="HBC101" t="s">
        <v>455</v>
      </c>
      <c r="HBD101" t="s">
        <v>455</v>
      </c>
      <c r="HBE101" t="s">
        <v>455</v>
      </c>
      <c r="HBF101" t="s">
        <v>455</v>
      </c>
      <c r="HBG101" t="s">
        <v>455</v>
      </c>
      <c r="HBH101" t="s">
        <v>455</v>
      </c>
      <c r="HBI101" t="s">
        <v>455</v>
      </c>
      <c r="HBJ101" t="s">
        <v>455</v>
      </c>
      <c r="HBK101" t="s">
        <v>455</v>
      </c>
      <c r="HBL101" t="s">
        <v>455</v>
      </c>
      <c r="HBM101" t="s">
        <v>455</v>
      </c>
      <c r="HBN101" t="s">
        <v>455</v>
      </c>
      <c r="HBO101" t="s">
        <v>455</v>
      </c>
      <c r="HBP101" t="s">
        <v>455</v>
      </c>
      <c r="HBQ101" t="s">
        <v>455</v>
      </c>
      <c r="HBR101" t="s">
        <v>455</v>
      </c>
      <c r="HBS101" t="s">
        <v>455</v>
      </c>
      <c r="HBT101" t="s">
        <v>455</v>
      </c>
      <c r="HBU101" t="s">
        <v>455</v>
      </c>
      <c r="HBV101" t="s">
        <v>455</v>
      </c>
      <c r="HBW101" t="s">
        <v>455</v>
      </c>
      <c r="HBX101" t="s">
        <v>455</v>
      </c>
      <c r="HBY101" t="s">
        <v>455</v>
      </c>
      <c r="HBZ101" t="s">
        <v>455</v>
      </c>
      <c r="HCA101" t="s">
        <v>455</v>
      </c>
      <c r="HCB101" t="s">
        <v>455</v>
      </c>
      <c r="HCC101" t="s">
        <v>455</v>
      </c>
      <c r="HCD101" t="s">
        <v>455</v>
      </c>
      <c r="HCE101" t="s">
        <v>455</v>
      </c>
      <c r="HCF101" t="s">
        <v>455</v>
      </c>
      <c r="HCG101" t="s">
        <v>455</v>
      </c>
      <c r="HCH101" t="s">
        <v>455</v>
      </c>
      <c r="HCI101" t="s">
        <v>455</v>
      </c>
      <c r="HCJ101" t="s">
        <v>455</v>
      </c>
      <c r="HCK101" t="s">
        <v>455</v>
      </c>
      <c r="HCL101" t="s">
        <v>455</v>
      </c>
      <c r="HCM101" t="s">
        <v>455</v>
      </c>
      <c r="HCN101" t="s">
        <v>455</v>
      </c>
      <c r="HCO101" t="s">
        <v>455</v>
      </c>
      <c r="HCP101" t="s">
        <v>455</v>
      </c>
      <c r="HCQ101" t="s">
        <v>455</v>
      </c>
      <c r="HCR101" t="s">
        <v>455</v>
      </c>
      <c r="HCS101" t="s">
        <v>455</v>
      </c>
      <c r="HCT101" t="s">
        <v>455</v>
      </c>
      <c r="HCU101" t="s">
        <v>455</v>
      </c>
      <c r="HCV101" t="s">
        <v>455</v>
      </c>
      <c r="HCW101" t="s">
        <v>455</v>
      </c>
      <c r="HCX101" t="s">
        <v>455</v>
      </c>
      <c r="HCY101" t="s">
        <v>455</v>
      </c>
      <c r="HCZ101" t="s">
        <v>455</v>
      </c>
      <c r="HDA101" t="s">
        <v>455</v>
      </c>
      <c r="HDB101" t="s">
        <v>455</v>
      </c>
      <c r="HDC101" t="s">
        <v>455</v>
      </c>
      <c r="HDD101" t="s">
        <v>455</v>
      </c>
      <c r="HDE101" t="s">
        <v>455</v>
      </c>
      <c r="HDF101" t="s">
        <v>455</v>
      </c>
      <c r="HDG101" t="s">
        <v>455</v>
      </c>
      <c r="HDH101" t="s">
        <v>455</v>
      </c>
      <c r="HDI101" t="s">
        <v>455</v>
      </c>
      <c r="HDJ101" t="s">
        <v>455</v>
      </c>
      <c r="HDK101" t="s">
        <v>455</v>
      </c>
      <c r="HDL101" t="s">
        <v>455</v>
      </c>
      <c r="HDM101" t="s">
        <v>455</v>
      </c>
      <c r="HDN101" t="s">
        <v>455</v>
      </c>
      <c r="HDO101" t="s">
        <v>455</v>
      </c>
      <c r="HDP101" t="s">
        <v>455</v>
      </c>
      <c r="HDQ101" t="s">
        <v>455</v>
      </c>
      <c r="HDR101" t="s">
        <v>455</v>
      </c>
      <c r="HDS101" t="s">
        <v>455</v>
      </c>
      <c r="HDT101" t="s">
        <v>455</v>
      </c>
      <c r="HDU101" t="s">
        <v>455</v>
      </c>
      <c r="HDV101" t="s">
        <v>455</v>
      </c>
      <c r="HDW101" t="s">
        <v>455</v>
      </c>
      <c r="HDX101" t="s">
        <v>455</v>
      </c>
      <c r="HDY101" t="s">
        <v>455</v>
      </c>
      <c r="HDZ101" t="s">
        <v>455</v>
      </c>
      <c r="HEA101" t="s">
        <v>455</v>
      </c>
      <c r="HEB101" t="s">
        <v>455</v>
      </c>
      <c r="HEC101" t="s">
        <v>455</v>
      </c>
      <c r="HED101" t="s">
        <v>455</v>
      </c>
      <c r="HEE101" t="s">
        <v>455</v>
      </c>
      <c r="HEF101" t="s">
        <v>455</v>
      </c>
      <c r="HEG101" t="s">
        <v>455</v>
      </c>
      <c r="HEH101" t="s">
        <v>455</v>
      </c>
      <c r="HEI101" t="s">
        <v>455</v>
      </c>
      <c r="HEJ101" t="s">
        <v>455</v>
      </c>
      <c r="HEK101" t="s">
        <v>455</v>
      </c>
      <c r="HEL101" t="s">
        <v>455</v>
      </c>
      <c r="HEM101" t="s">
        <v>455</v>
      </c>
      <c r="HEN101" t="s">
        <v>455</v>
      </c>
      <c r="HEO101" t="s">
        <v>455</v>
      </c>
      <c r="HEP101" t="s">
        <v>455</v>
      </c>
      <c r="HEQ101" t="s">
        <v>455</v>
      </c>
      <c r="HER101" t="s">
        <v>455</v>
      </c>
      <c r="HES101" t="s">
        <v>455</v>
      </c>
      <c r="HET101" t="s">
        <v>455</v>
      </c>
      <c r="HEU101" t="s">
        <v>455</v>
      </c>
      <c r="HEV101" t="s">
        <v>455</v>
      </c>
      <c r="HEW101" t="s">
        <v>455</v>
      </c>
      <c r="HEX101" t="s">
        <v>455</v>
      </c>
      <c r="HEY101" t="s">
        <v>455</v>
      </c>
      <c r="HEZ101" t="s">
        <v>455</v>
      </c>
      <c r="HFA101" t="s">
        <v>455</v>
      </c>
      <c r="HFB101" t="s">
        <v>455</v>
      </c>
      <c r="HFC101" t="s">
        <v>455</v>
      </c>
      <c r="HFD101" t="s">
        <v>455</v>
      </c>
      <c r="HFE101" t="s">
        <v>455</v>
      </c>
      <c r="HFF101" t="s">
        <v>455</v>
      </c>
      <c r="HFG101" t="s">
        <v>455</v>
      </c>
      <c r="HFH101" t="s">
        <v>455</v>
      </c>
      <c r="HFI101" t="s">
        <v>455</v>
      </c>
      <c r="HFJ101" t="s">
        <v>455</v>
      </c>
      <c r="HFK101" t="s">
        <v>455</v>
      </c>
      <c r="HFL101" t="s">
        <v>455</v>
      </c>
      <c r="HFM101" t="s">
        <v>455</v>
      </c>
      <c r="HFN101" t="s">
        <v>455</v>
      </c>
      <c r="HFO101" t="s">
        <v>455</v>
      </c>
      <c r="HFP101" t="s">
        <v>455</v>
      </c>
      <c r="HFQ101" t="s">
        <v>455</v>
      </c>
      <c r="HFR101" t="s">
        <v>455</v>
      </c>
      <c r="HFS101" t="s">
        <v>455</v>
      </c>
      <c r="HFT101" t="s">
        <v>455</v>
      </c>
      <c r="HFU101" t="s">
        <v>455</v>
      </c>
      <c r="HFV101" t="s">
        <v>455</v>
      </c>
      <c r="HFW101" t="s">
        <v>455</v>
      </c>
      <c r="HFX101" t="s">
        <v>455</v>
      </c>
      <c r="HFY101" t="s">
        <v>455</v>
      </c>
      <c r="HFZ101" t="s">
        <v>455</v>
      </c>
      <c r="HGA101" t="s">
        <v>455</v>
      </c>
      <c r="HGB101" t="s">
        <v>455</v>
      </c>
      <c r="HGC101" t="s">
        <v>455</v>
      </c>
      <c r="HGD101" t="s">
        <v>455</v>
      </c>
      <c r="HGE101" t="s">
        <v>455</v>
      </c>
      <c r="HGF101" t="s">
        <v>455</v>
      </c>
      <c r="HGG101" t="s">
        <v>455</v>
      </c>
      <c r="HGH101" t="s">
        <v>455</v>
      </c>
      <c r="HGI101" t="s">
        <v>455</v>
      </c>
      <c r="HGJ101" t="s">
        <v>455</v>
      </c>
      <c r="HGK101" t="s">
        <v>455</v>
      </c>
      <c r="HGL101" t="s">
        <v>455</v>
      </c>
      <c r="HGM101" t="s">
        <v>455</v>
      </c>
      <c r="HGN101" t="s">
        <v>455</v>
      </c>
      <c r="HGO101" t="s">
        <v>455</v>
      </c>
      <c r="HGP101" t="s">
        <v>455</v>
      </c>
      <c r="HGQ101" t="s">
        <v>455</v>
      </c>
      <c r="HGR101" t="s">
        <v>455</v>
      </c>
      <c r="HGS101" t="s">
        <v>455</v>
      </c>
      <c r="HGT101" t="s">
        <v>455</v>
      </c>
      <c r="HGU101" t="s">
        <v>455</v>
      </c>
      <c r="HGV101" t="s">
        <v>455</v>
      </c>
      <c r="HGW101" t="s">
        <v>455</v>
      </c>
      <c r="HGX101" t="s">
        <v>455</v>
      </c>
      <c r="HGY101" t="s">
        <v>455</v>
      </c>
      <c r="HGZ101" t="s">
        <v>455</v>
      </c>
      <c r="HHA101" t="s">
        <v>455</v>
      </c>
      <c r="HHB101" t="s">
        <v>455</v>
      </c>
      <c r="HHC101" t="s">
        <v>455</v>
      </c>
      <c r="HHD101" t="s">
        <v>455</v>
      </c>
      <c r="HHE101" t="s">
        <v>455</v>
      </c>
      <c r="HHF101" t="s">
        <v>455</v>
      </c>
      <c r="HHG101" t="s">
        <v>455</v>
      </c>
      <c r="HHH101" t="s">
        <v>455</v>
      </c>
      <c r="HHI101" t="s">
        <v>455</v>
      </c>
      <c r="HHJ101" t="s">
        <v>455</v>
      </c>
      <c r="HHK101" t="s">
        <v>455</v>
      </c>
      <c r="HHL101" t="s">
        <v>455</v>
      </c>
      <c r="HHM101" t="s">
        <v>455</v>
      </c>
      <c r="HHN101" t="s">
        <v>455</v>
      </c>
      <c r="HHO101" t="s">
        <v>455</v>
      </c>
      <c r="HHP101" t="s">
        <v>455</v>
      </c>
      <c r="HHQ101" t="s">
        <v>455</v>
      </c>
      <c r="HHR101" t="s">
        <v>455</v>
      </c>
      <c r="HHS101" t="s">
        <v>455</v>
      </c>
      <c r="HHT101" t="s">
        <v>455</v>
      </c>
      <c r="HHU101" t="s">
        <v>455</v>
      </c>
      <c r="HHV101" t="s">
        <v>455</v>
      </c>
      <c r="HHW101" t="s">
        <v>455</v>
      </c>
      <c r="HHX101" t="s">
        <v>455</v>
      </c>
      <c r="HHY101" t="s">
        <v>455</v>
      </c>
      <c r="HHZ101" t="s">
        <v>455</v>
      </c>
      <c r="HIA101" t="s">
        <v>455</v>
      </c>
      <c r="HIB101" t="s">
        <v>455</v>
      </c>
      <c r="HIC101" t="s">
        <v>455</v>
      </c>
      <c r="HID101" t="s">
        <v>455</v>
      </c>
      <c r="HIE101" t="s">
        <v>455</v>
      </c>
      <c r="HIF101" t="s">
        <v>455</v>
      </c>
      <c r="HIG101" t="s">
        <v>455</v>
      </c>
      <c r="HIH101" t="s">
        <v>455</v>
      </c>
      <c r="HII101" t="s">
        <v>455</v>
      </c>
      <c r="HIJ101" t="s">
        <v>455</v>
      </c>
      <c r="HIK101" t="s">
        <v>455</v>
      </c>
      <c r="HIL101" t="s">
        <v>455</v>
      </c>
      <c r="HIM101" t="s">
        <v>455</v>
      </c>
      <c r="HIN101" t="s">
        <v>455</v>
      </c>
      <c r="HIO101" t="s">
        <v>455</v>
      </c>
      <c r="HIP101" t="s">
        <v>455</v>
      </c>
      <c r="HIQ101" t="s">
        <v>455</v>
      </c>
      <c r="HIR101" t="s">
        <v>455</v>
      </c>
      <c r="HIS101" t="s">
        <v>455</v>
      </c>
      <c r="HIT101" t="s">
        <v>455</v>
      </c>
      <c r="HIU101" t="s">
        <v>455</v>
      </c>
      <c r="HIV101" t="s">
        <v>455</v>
      </c>
      <c r="HIW101" t="s">
        <v>455</v>
      </c>
      <c r="HIX101" t="s">
        <v>455</v>
      </c>
      <c r="HIY101" t="s">
        <v>455</v>
      </c>
      <c r="HIZ101" t="s">
        <v>455</v>
      </c>
      <c r="HJA101" t="s">
        <v>455</v>
      </c>
      <c r="HJB101" t="s">
        <v>455</v>
      </c>
      <c r="HJC101" t="s">
        <v>455</v>
      </c>
      <c r="HJD101" t="s">
        <v>455</v>
      </c>
      <c r="HJE101" t="s">
        <v>455</v>
      </c>
      <c r="HJF101" t="s">
        <v>455</v>
      </c>
      <c r="HJG101" t="s">
        <v>455</v>
      </c>
      <c r="HJH101" t="s">
        <v>455</v>
      </c>
      <c r="HJI101" t="s">
        <v>455</v>
      </c>
      <c r="HJJ101" t="s">
        <v>455</v>
      </c>
      <c r="HJK101" t="s">
        <v>455</v>
      </c>
      <c r="HJL101" t="s">
        <v>455</v>
      </c>
      <c r="HJM101" t="s">
        <v>455</v>
      </c>
      <c r="HJN101" t="s">
        <v>455</v>
      </c>
      <c r="HJO101" t="s">
        <v>455</v>
      </c>
      <c r="HJP101" t="s">
        <v>455</v>
      </c>
      <c r="HJQ101" t="s">
        <v>455</v>
      </c>
      <c r="HJR101" t="s">
        <v>455</v>
      </c>
      <c r="HJS101" t="s">
        <v>455</v>
      </c>
      <c r="HJT101" t="s">
        <v>455</v>
      </c>
      <c r="HJU101" t="s">
        <v>455</v>
      </c>
      <c r="HJV101" t="s">
        <v>455</v>
      </c>
      <c r="HJW101" t="s">
        <v>455</v>
      </c>
      <c r="HJX101" t="s">
        <v>455</v>
      </c>
      <c r="HJY101" t="s">
        <v>455</v>
      </c>
      <c r="HJZ101" t="s">
        <v>455</v>
      </c>
      <c r="HKA101" t="s">
        <v>455</v>
      </c>
      <c r="HKB101" t="s">
        <v>455</v>
      </c>
      <c r="HKC101" t="s">
        <v>455</v>
      </c>
      <c r="HKD101" t="s">
        <v>455</v>
      </c>
      <c r="HKE101" t="s">
        <v>455</v>
      </c>
      <c r="HKF101" t="s">
        <v>455</v>
      </c>
      <c r="HKG101" t="s">
        <v>455</v>
      </c>
      <c r="HKH101" t="s">
        <v>455</v>
      </c>
      <c r="HKI101" t="s">
        <v>455</v>
      </c>
      <c r="HKJ101" t="s">
        <v>455</v>
      </c>
      <c r="HKK101" t="s">
        <v>455</v>
      </c>
      <c r="HKL101" t="s">
        <v>455</v>
      </c>
      <c r="HKM101" t="s">
        <v>455</v>
      </c>
      <c r="HKN101" t="s">
        <v>455</v>
      </c>
      <c r="HKO101" t="s">
        <v>455</v>
      </c>
      <c r="HKP101" t="s">
        <v>455</v>
      </c>
      <c r="HKQ101" t="s">
        <v>455</v>
      </c>
      <c r="HKR101" t="s">
        <v>455</v>
      </c>
      <c r="HKS101" t="s">
        <v>455</v>
      </c>
      <c r="HKT101" t="s">
        <v>455</v>
      </c>
      <c r="HKU101" t="s">
        <v>455</v>
      </c>
      <c r="HKV101" t="s">
        <v>455</v>
      </c>
      <c r="HKW101" t="s">
        <v>455</v>
      </c>
      <c r="HKX101" t="s">
        <v>455</v>
      </c>
      <c r="HKY101" t="s">
        <v>455</v>
      </c>
      <c r="HKZ101" t="s">
        <v>455</v>
      </c>
      <c r="HLA101" t="s">
        <v>455</v>
      </c>
      <c r="HLB101" t="s">
        <v>455</v>
      </c>
      <c r="HLC101" t="s">
        <v>455</v>
      </c>
      <c r="HLD101" t="s">
        <v>455</v>
      </c>
      <c r="HLE101" t="s">
        <v>455</v>
      </c>
      <c r="HLF101" t="s">
        <v>455</v>
      </c>
      <c r="HLG101" t="s">
        <v>455</v>
      </c>
      <c r="HLH101" t="s">
        <v>455</v>
      </c>
      <c r="HLI101" t="s">
        <v>455</v>
      </c>
      <c r="HLJ101" t="s">
        <v>455</v>
      </c>
      <c r="HLK101" t="s">
        <v>455</v>
      </c>
      <c r="HLL101" t="s">
        <v>455</v>
      </c>
      <c r="HLM101" t="s">
        <v>455</v>
      </c>
      <c r="HLN101" t="s">
        <v>455</v>
      </c>
      <c r="HLO101" t="s">
        <v>455</v>
      </c>
      <c r="HLP101" t="s">
        <v>455</v>
      </c>
      <c r="HLQ101" t="s">
        <v>455</v>
      </c>
      <c r="HLR101" t="s">
        <v>455</v>
      </c>
      <c r="HLS101" t="s">
        <v>455</v>
      </c>
      <c r="HLT101" t="s">
        <v>455</v>
      </c>
      <c r="HLU101" t="s">
        <v>455</v>
      </c>
      <c r="HLV101" t="s">
        <v>455</v>
      </c>
      <c r="HLW101" t="s">
        <v>455</v>
      </c>
      <c r="HLX101" t="s">
        <v>455</v>
      </c>
      <c r="HLY101" t="s">
        <v>455</v>
      </c>
      <c r="HLZ101" t="s">
        <v>455</v>
      </c>
      <c r="HMA101" t="s">
        <v>455</v>
      </c>
      <c r="HMB101" t="s">
        <v>455</v>
      </c>
      <c r="HMC101" t="s">
        <v>455</v>
      </c>
      <c r="HMD101" t="s">
        <v>455</v>
      </c>
      <c r="HME101" t="s">
        <v>455</v>
      </c>
      <c r="HMF101" t="s">
        <v>455</v>
      </c>
      <c r="HMG101" t="s">
        <v>455</v>
      </c>
      <c r="HMH101" t="s">
        <v>455</v>
      </c>
      <c r="HMI101" t="s">
        <v>455</v>
      </c>
      <c r="HMJ101" t="s">
        <v>455</v>
      </c>
      <c r="HMK101" t="s">
        <v>455</v>
      </c>
      <c r="HML101" t="s">
        <v>455</v>
      </c>
      <c r="HMM101" t="s">
        <v>455</v>
      </c>
      <c r="HMN101" t="s">
        <v>455</v>
      </c>
      <c r="HMO101" t="s">
        <v>455</v>
      </c>
      <c r="HMP101" t="s">
        <v>455</v>
      </c>
      <c r="HMQ101" t="s">
        <v>455</v>
      </c>
      <c r="HMR101" t="s">
        <v>455</v>
      </c>
      <c r="HMS101" t="s">
        <v>455</v>
      </c>
      <c r="HMT101" t="s">
        <v>455</v>
      </c>
      <c r="HMU101" t="s">
        <v>455</v>
      </c>
      <c r="HMV101" t="s">
        <v>455</v>
      </c>
      <c r="HMW101" t="s">
        <v>455</v>
      </c>
      <c r="HMX101" t="s">
        <v>455</v>
      </c>
      <c r="HMY101" t="s">
        <v>455</v>
      </c>
      <c r="HMZ101" t="s">
        <v>455</v>
      </c>
      <c r="HNA101" t="s">
        <v>455</v>
      </c>
      <c r="HNB101" t="s">
        <v>455</v>
      </c>
      <c r="HNC101" t="s">
        <v>455</v>
      </c>
      <c r="HND101" t="s">
        <v>455</v>
      </c>
      <c r="HNE101" t="s">
        <v>455</v>
      </c>
      <c r="HNF101" t="s">
        <v>455</v>
      </c>
      <c r="HNG101" t="s">
        <v>455</v>
      </c>
      <c r="HNH101" t="s">
        <v>455</v>
      </c>
      <c r="HNI101" t="s">
        <v>455</v>
      </c>
      <c r="HNJ101" t="s">
        <v>455</v>
      </c>
      <c r="HNK101" t="s">
        <v>455</v>
      </c>
      <c r="HNL101" t="s">
        <v>455</v>
      </c>
      <c r="HNM101" t="s">
        <v>455</v>
      </c>
      <c r="HNN101" t="s">
        <v>455</v>
      </c>
      <c r="HNO101" t="s">
        <v>455</v>
      </c>
      <c r="HNP101" t="s">
        <v>455</v>
      </c>
      <c r="HNQ101" t="s">
        <v>455</v>
      </c>
      <c r="HNR101" t="s">
        <v>455</v>
      </c>
      <c r="HNS101" t="s">
        <v>455</v>
      </c>
      <c r="HNT101" t="s">
        <v>455</v>
      </c>
      <c r="HNU101" t="s">
        <v>455</v>
      </c>
      <c r="HNV101" t="s">
        <v>455</v>
      </c>
      <c r="HNW101" t="s">
        <v>455</v>
      </c>
      <c r="HNX101" t="s">
        <v>455</v>
      </c>
      <c r="HNY101" t="s">
        <v>455</v>
      </c>
      <c r="HNZ101" t="s">
        <v>455</v>
      </c>
      <c r="HOA101" t="s">
        <v>455</v>
      </c>
      <c r="HOB101" t="s">
        <v>455</v>
      </c>
      <c r="HOC101" t="s">
        <v>455</v>
      </c>
      <c r="HOD101" t="s">
        <v>455</v>
      </c>
      <c r="HOE101" t="s">
        <v>455</v>
      </c>
      <c r="HOF101" t="s">
        <v>455</v>
      </c>
      <c r="HOG101" t="s">
        <v>455</v>
      </c>
      <c r="HOH101" t="s">
        <v>455</v>
      </c>
      <c r="HOI101" t="s">
        <v>455</v>
      </c>
      <c r="HOJ101" t="s">
        <v>455</v>
      </c>
      <c r="HOK101" t="s">
        <v>455</v>
      </c>
      <c r="HOL101" t="s">
        <v>455</v>
      </c>
      <c r="HOM101" t="s">
        <v>455</v>
      </c>
      <c r="HON101" t="s">
        <v>455</v>
      </c>
      <c r="HOO101" t="s">
        <v>455</v>
      </c>
      <c r="HOP101" t="s">
        <v>455</v>
      </c>
      <c r="HOQ101" t="s">
        <v>455</v>
      </c>
      <c r="HOR101" t="s">
        <v>455</v>
      </c>
      <c r="HOS101" t="s">
        <v>455</v>
      </c>
      <c r="HOT101" t="s">
        <v>455</v>
      </c>
      <c r="HOU101" t="s">
        <v>455</v>
      </c>
      <c r="HOV101" t="s">
        <v>455</v>
      </c>
      <c r="HOW101" t="s">
        <v>455</v>
      </c>
      <c r="HOX101" t="s">
        <v>455</v>
      </c>
      <c r="HOY101" t="s">
        <v>455</v>
      </c>
      <c r="HOZ101" t="s">
        <v>455</v>
      </c>
      <c r="HPA101" t="s">
        <v>455</v>
      </c>
      <c r="HPB101" t="s">
        <v>455</v>
      </c>
      <c r="HPC101" t="s">
        <v>455</v>
      </c>
      <c r="HPD101" t="s">
        <v>455</v>
      </c>
      <c r="HPE101" t="s">
        <v>455</v>
      </c>
      <c r="HPF101" t="s">
        <v>455</v>
      </c>
      <c r="HPG101" t="s">
        <v>455</v>
      </c>
      <c r="HPH101" t="s">
        <v>455</v>
      </c>
      <c r="HPI101" t="s">
        <v>455</v>
      </c>
      <c r="HPJ101" t="s">
        <v>455</v>
      </c>
      <c r="HPK101" t="s">
        <v>455</v>
      </c>
      <c r="HPL101" t="s">
        <v>455</v>
      </c>
      <c r="HPM101" t="s">
        <v>455</v>
      </c>
      <c r="HPN101" t="s">
        <v>455</v>
      </c>
      <c r="HPO101" t="s">
        <v>455</v>
      </c>
      <c r="HPP101" t="s">
        <v>455</v>
      </c>
      <c r="HPQ101" t="s">
        <v>455</v>
      </c>
      <c r="HPR101" t="s">
        <v>455</v>
      </c>
      <c r="HPS101" t="s">
        <v>455</v>
      </c>
      <c r="HPT101" t="s">
        <v>455</v>
      </c>
      <c r="HPU101" t="s">
        <v>455</v>
      </c>
      <c r="HPV101" t="s">
        <v>455</v>
      </c>
      <c r="HPW101" t="s">
        <v>455</v>
      </c>
      <c r="HPX101" t="s">
        <v>455</v>
      </c>
      <c r="HPY101" t="s">
        <v>455</v>
      </c>
      <c r="HPZ101" t="s">
        <v>455</v>
      </c>
      <c r="HQA101" t="s">
        <v>455</v>
      </c>
      <c r="HQB101" t="s">
        <v>455</v>
      </c>
      <c r="HQC101" t="s">
        <v>455</v>
      </c>
      <c r="HQD101" t="s">
        <v>455</v>
      </c>
      <c r="HQE101" t="s">
        <v>455</v>
      </c>
      <c r="HQF101" t="s">
        <v>455</v>
      </c>
      <c r="HQG101" t="s">
        <v>455</v>
      </c>
      <c r="HQH101" t="s">
        <v>455</v>
      </c>
      <c r="HQI101" t="s">
        <v>455</v>
      </c>
      <c r="HQJ101" t="s">
        <v>455</v>
      </c>
      <c r="HQK101" t="s">
        <v>455</v>
      </c>
      <c r="HQL101" t="s">
        <v>455</v>
      </c>
      <c r="HQM101" t="s">
        <v>455</v>
      </c>
      <c r="HQN101" t="s">
        <v>455</v>
      </c>
      <c r="HQO101" t="s">
        <v>455</v>
      </c>
      <c r="HQP101" t="s">
        <v>455</v>
      </c>
      <c r="HQQ101" t="s">
        <v>455</v>
      </c>
      <c r="HQR101" t="s">
        <v>455</v>
      </c>
      <c r="HQS101" t="s">
        <v>455</v>
      </c>
      <c r="HQT101" t="s">
        <v>455</v>
      </c>
      <c r="HQU101" t="s">
        <v>455</v>
      </c>
      <c r="HQV101" t="s">
        <v>455</v>
      </c>
      <c r="HQW101" t="s">
        <v>455</v>
      </c>
      <c r="HQX101" t="s">
        <v>455</v>
      </c>
      <c r="HQY101" t="s">
        <v>455</v>
      </c>
      <c r="HQZ101" t="s">
        <v>455</v>
      </c>
      <c r="HRA101" t="s">
        <v>455</v>
      </c>
      <c r="HRB101" t="s">
        <v>455</v>
      </c>
      <c r="HRC101" t="s">
        <v>455</v>
      </c>
      <c r="HRD101" t="s">
        <v>455</v>
      </c>
      <c r="HRE101" t="s">
        <v>455</v>
      </c>
      <c r="HRF101" t="s">
        <v>455</v>
      </c>
      <c r="HRG101" t="s">
        <v>455</v>
      </c>
      <c r="HRH101" t="s">
        <v>455</v>
      </c>
      <c r="HRI101" t="s">
        <v>455</v>
      </c>
      <c r="HRJ101" t="s">
        <v>455</v>
      </c>
      <c r="HRK101" t="s">
        <v>455</v>
      </c>
      <c r="HRL101" t="s">
        <v>455</v>
      </c>
      <c r="HRM101" t="s">
        <v>455</v>
      </c>
      <c r="HRN101" t="s">
        <v>455</v>
      </c>
      <c r="HRO101" t="s">
        <v>455</v>
      </c>
      <c r="HRP101" t="s">
        <v>455</v>
      </c>
      <c r="HRQ101" t="s">
        <v>455</v>
      </c>
      <c r="HRR101" t="s">
        <v>455</v>
      </c>
      <c r="HRS101" t="s">
        <v>455</v>
      </c>
      <c r="HRT101" t="s">
        <v>455</v>
      </c>
      <c r="HRU101" t="s">
        <v>455</v>
      </c>
      <c r="HRV101" t="s">
        <v>455</v>
      </c>
      <c r="HRW101" t="s">
        <v>455</v>
      </c>
      <c r="HRX101" t="s">
        <v>455</v>
      </c>
      <c r="HRY101" t="s">
        <v>455</v>
      </c>
      <c r="HRZ101" t="s">
        <v>455</v>
      </c>
      <c r="HSA101" t="s">
        <v>455</v>
      </c>
      <c r="HSB101" t="s">
        <v>455</v>
      </c>
      <c r="HSC101" t="s">
        <v>455</v>
      </c>
      <c r="HSD101" t="s">
        <v>455</v>
      </c>
      <c r="HSE101" t="s">
        <v>455</v>
      </c>
      <c r="HSF101" t="s">
        <v>455</v>
      </c>
      <c r="HSG101" t="s">
        <v>455</v>
      </c>
      <c r="HSH101" t="s">
        <v>455</v>
      </c>
      <c r="HSI101" t="s">
        <v>455</v>
      </c>
      <c r="HSJ101" t="s">
        <v>455</v>
      </c>
      <c r="HSK101" t="s">
        <v>455</v>
      </c>
      <c r="HSL101" t="s">
        <v>455</v>
      </c>
      <c r="HSM101" t="s">
        <v>455</v>
      </c>
      <c r="HSN101" t="s">
        <v>455</v>
      </c>
      <c r="HSO101" t="s">
        <v>455</v>
      </c>
      <c r="HSP101" t="s">
        <v>455</v>
      </c>
      <c r="HSQ101" t="s">
        <v>455</v>
      </c>
      <c r="HSR101" t="s">
        <v>455</v>
      </c>
      <c r="HSS101" t="s">
        <v>455</v>
      </c>
      <c r="HST101" t="s">
        <v>455</v>
      </c>
      <c r="HSU101" t="s">
        <v>455</v>
      </c>
      <c r="HSV101" t="s">
        <v>455</v>
      </c>
      <c r="HSW101" t="s">
        <v>455</v>
      </c>
      <c r="HSX101" t="s">
        <v>455</v>
      </c>
      <c r="HSY101" t="s">
        <v>455</v>
      </c>
      <c r="HSZ101" t="s">
        <v>455</v>
      </c>
      <c r="HTA101" t="s">
        <v>455</v>
      </c>
      <c r="HTB101" t="s">
        <v>455</v>
      </c>
      <c r="HTC101" t="s">
        <v>455</v>
      </c>
      <c r="HTD101" t="s">
        <v>455</v>
      </c>
      <c r="HTE101" t="s">
        <v>455</v>
      </c>
      <c r="HTF101" t="s">
        <v>455</v>
      </c>
      <c r="HTG101" t="s">
        <v>455</v>
      </c>
      <c r="HTH101" t="s">
        <v>455</v>
      </c>
      <c r="HTI101" t="s">
        <v>455</v>
      </c>
      <c r="HTJ101" t="s">
        <v>455</v>
      </c>
      <c r="HTK101" t="s">
        <v>455</v>
      </c>
      <c r="HTL101" t="s">
        <v>455</v>
      </c>
      <c r="HTM101" t="s">
        <v>455</v>
      </c>
      <c r="HTN101" t="s">
        <v>455</v>
      </c>
      <c r="HTO101" t="s">
        <v>455</v>
      </c>
      <c r="HTP101" t="s">
        <v>455</v>
      </c>
      <c r="HTQ101" t="s">
        <v>455</v>
      </c>
      <c r="HTR101" t="s">
        <v>455</v>
      </c>
      <c r="HTS101" t="s">
        <v>455</v>
      </c>
      <c r="HTT101" t="s">
        <v>455</v>
      </c>
      <c r="HTU101" t="s">
        <v>455</v>
      </c>
      <c r="HTV101" t="s">
        <v>455</v>
      </c>
      <c r="HTW101" t="s">
        <v>455</v>
      </c>
      <c r="HTX101" t="s">
        <v>455</v>
      </c>
      <c r="HTY101" t="s">
        <v>455</v>
      </c>
      <c r="HTZ101" t="s">
        <v>455</v>
      </c>
      <c r="HUA101" t="s">
        <v>455</v>
      </c>
      <c r="HUB101" t="s">
        <v>455</v>
      </c>
      <c r="HUC101" t="s">
        <v>455</v>
      </c>
      <c r="HUD101" t="s">
        <v>455</v>
      </c>
      <c r="HUE101" t="s">
        <v>455</v>
      </c>
      <c r="HUF101" t="s">
        <v>455</v>
      </c>
      <c r="HUG101" t="s">
        <v>455</v>
      </c>
      <c r="HUH101" t="s">
        <v>455</v>
      </c>
      <c r="HUI101" t="s">
        <v>455</v>
      </c>
      <c r="HUJ101" t="s">
        <v>455</v>
      </c>
      <c r="HUK101" t="s">
        <v>455</v>
      </c>
      <c r="HUL101" t="s">
        <v>455</v>
      </c>
      <c r="HUM101" t="s">
        <v>455</v>
      </c>
      <c r="HUN101" t="s">
        <v>455</v>
      </c>
      <c r="HUO101" t="s">
        <v>455</v>
      </c>
      <c r="HUP101" t="s">
        <v>455</v>
      </c>
      <c r="HUQ101" t="s">
        <v>455</v>
      </c>
      <c r="HUR101" t="s">
        <v>455</v>
      </c>
      <c r="HUS101" t="s">
        <v>455</v>
      </c>
      <c r="HUT101" t="s">
        <v>455</v>
      </c>
      <c r="HUU101" t="s">
        <v>455</v>
      </c>
      <c r="HUV101" t="s">
        <v>455</v>
      </c>
      <c r="HUW101" t="s">
        <v>455</v>
      </c>
      <c r="HUX101" t="s">
        <v>455</v>
      </c>
      <c r="HUY101" t="s">
        <v>455</v>
      </c>
      <c r="HUZ101" t="s">
        <v>455</v>
      </c>
      <c r="HVA101" t="s">
        <v>455</v>
      </c>
      <c r="HVB101" t="s">
        <v>455</v>
      </c>
      <c r="HVC101" t="s">
        <v>455</v>
      </c>
      <c r="HVD101" t="s">
        <v>455</v>
      </c>
      <c r="HVE101" t="s">
        <v>455</v>
      </c>
      <c r="HVF101" t="s">
        <v>455</v>
      </c>
      <c r="HVG101" t="s">
        <v>455</v>
      </c>
      <c r="HVH101" t="s">
        <v>455</v>
      </c>
      <c r="HVI101" t="s">
        <v>455</v>
      </c>
      <c r="HVJ101" t="s">
        <v>455</v>
      </c>
      <c r="HVK101" t="s">
        <v>455</v>
      </c>
      <c r="HVL101" t="s">
        <v>455</v>
      </c>
      <c r="HVM101" t="s">
        <v>455</v>
      </c>
      <c r="HVN101" t="s">
        <v>455</v>
      </c>
      <c r="HVO101" t="s">
        <v>455</v>
      </c>
      <c r="HVP101" t="s">
        <v>455</v>
      </c>
      <c r="HVQ101" t="s">
        <v>455</v>
      </c>
      <c r="HVR101" t="s">
        <v>455</v>
      </c>
      <c r="HVS101" t="s">
        <v>455</v>
      </c>
      <c r="HVT101" t="s">
        <v>455</v>
      </c>
      <c r="HVU101" t="s">
        <v>455</v>
      </c>
      <c r="HVV101" t="s">
        <v>455</v>
      </c>
      <c r="HVW101" t="s">
        <v>455</v>
      </c>
      <c r="HVX101" t="s">
        <v>455</v>
      </c>
      <c r="HVY101" t="s">
        <v>455</v>
      </c>
      <c r="HVZ101" t="s">
        <v>455</v>
      </c>
      <c r="HWA101" t="s">
        <v>455</v>
      </c>
      <c r="HWB101" t="s">
        <v>455</v>
      </c>
      <c r="HWC101" t="s">
        <v>455</v>
      </c>
      <c r="HWD101" t="s">
        <v>455</v>
      </c>
      <c r="HWE101" t="s">
        <v>455</v>
      </c>
      <c r="HWF101" t="s">
        <v>455</v>
      </c>
      <c r="HWG101" t="s">
        <v>455</v>
      </c>
      <c r="HWH101" t="s">
        <v>455</v>
      </c>
      <c r="HWI101" t="s">
        <v>455</v>
      </c>
      <c r="HWJ101" t="s">
        <v>455</v>
      </c>
      <c r="HWK101" t="s">
        <v>455</v>
      </c>
      <c r="HWL101" t="s">
        <v>455</v>
      </c>
      <c r="HWM101" t="s">
        <v>455</v>
      </c>
      <c r="HWN101" t="s">
        <v>455</v>
      </c>
      <c r="HWO101" t="s">
        <v>455</v>
      </c>
      <c r="HWP101" t="s">
        <v>455</v>
      </c>
      <c r="HWQ101" t="s">
        <v>455</v>
      </c>
      <c r="HWR101" t="s">
        <v>455</v>
      </c>
      <c r="HWS101" t="s">
        <v>455</v>
      </c>
      <c r="HWT101" t="s">
        <v>455</v>
      </c>
      <c r="HWU101" t="s">
        <v>455</v>
      </c>
      <c r="HWV101" t="s">
        <v>455</v>
      </c>
      <c r="HWW101" t="s">
        <v>455</v>
      </c>
      <c r="HWX101" t="s">
        <v>455</v>
      </c>
      <c r="HWY101" t="s">
        <v>455</v>
      </c>
      <c r="HWZ101" t="s">
        <v>455</v>
      </c>
      <c r="HXA101" t="s">
        <v>455</v>
      </c>
      <c r="HXB101" t="s">
        <v>455</v>
      </c>
      <c r="HXC101" t="s">
        <v>455</v>
      </c>
      <c r="HXD101" t="s">
        <v>455</v>
      </c>
      <c r="HXE101" t="s">
        <v>455</v>
      </c>
      <c r="HXF101" t="s">
        <v>455</v>
      </c>
      <c r="HXG101" t="s">
        <v>455</v>
      </c>
      <c r="HXH101" t="s">
        <v>455</v>
      </c>
      <c r="HXI101" t="s">
        <v>455</v>
      </c>
      <c r="HXJ101" t="s">
        <v>455</v>
      </c>
      <c r="HXK101" t="s">
        <v>455</v>
      </c>
      <c r="HXL101" t="s">
        <v>455</v>
      </c>
      <c r="HXM101" t="s">
        <v>455</v>
      </c>
      <c r="HXN101" t="s">
        <v>455</v>
      </c>
      <c r="HXO101" t="s">
        <v>455</v>
      </c>
      <c r="HXP101" t="s">
        <v>455</v>
      </c>
      <c r="HXQ101" t="s">
        <v>455</v>
      </c>
      <c r="HXR101" t="s">
        <v>455</v>
      </c>
      <c r="HXS101" t="s">
        <v>455</v>
      </c>
      <c r="HXT101" t="s">
        <v>455</v>
      </c>
      <c r="HXU101" t="s">
        <v>455</v>
      </c>
      <c r="HXV101" t="s">
        <v>455</v>
      </c>
      <c r="HXW101" t="s">
        <v>455</v>
      </c>
      <c r="HXX101" t="s">
        <v>455</v>
      </c>
      <c r="HXY101" t="s">
        <v>455</v>
      </c>
      <c r="HXZ101" t="s">
        <v>455</v>
      </c>
      <c r="HYA101" t="s">
        <v>455</v>
      </c>
      <c r="HYB101" t="s">
        <v>455</v>
      </c>
      <c r="HYC101" t="s">
        <v>455</v>
      </c>
      <c r="HYD101" t="s">
        <v>455</v>
      </c>
      <c r="HYE101" t="s">
        <v>455</v>
      </c>
      <c r="HYF101" t="s">
        <v>455</v>
      </c>
      <c r="HYG101" t="s">
        <v>455</v>
      </c>
      <c r="HYH101" t="s">
        <v>455</v>
      </c>
      <c r="HYI101" t="s">
        <v>455</v>
      </c>
      <c r="HYJ101" t="s">
        <v>455</v>
      </c>
      <c r="HYK101" t="s">
        <v>455</v>
      </c>
      <c r="HYL101" t="s">
        <v>455</v>
      </c>
      <c r="HYM101" t="s">
        <v>455</v>
      </c>
      <c r="HYN101" t="s">
        <v>455</v>
      </c>
      <c r="HYO101" t="s">
        <v>455</v>
      </c>
      <c r="HYP101" t="s">
        <v>455</v>
      </c>
      <c r="HYQ101" t="s">
        <v>455</v>
      </c>
      <c r="HYR101" t="s">
        <v>455</v>
      </c>
      <c r="HYS101" t="s">
        <v>455</v>
      </c>
      <c r="HYT101" t="s">
        <v>455</v>
      </c>
      <c r="HYU101" t="s">
        <v>455</v>
      </c>
      <c r="HYV101" t="s">
        <v>455</v>
      </c>
      <c r="HYW101" t="s">
        <v>455</v>
      </c>
      <c r="HYX101" t="s">
        <v>455</v>
      </c>
      <c r="HYY101" t="s">
        <v>455</v>
      </c>
      <c r="HYZ101" t="s">
        <v>455</v>
      </c>
      <c r="HZA101" t="s">
        <v>455</v>
      </c>
      <c r="HZB101" t="s">
        <v>455</v>
      </c>
      <c r="HZC101" t="s">
        <v>455</v>
      </c>
      <c r="HZD101" t="s">
        <v>455</v>
      </c>
      <c r="HZE101" t="s">
        <v>455</v>
      </c>
      <c r="HZF101" t="s">
        <v>455</v>
      </c>
      <c r="HZG101" t="s">
        <v>455</v>
      </c>
      <c r="HZH101" t="s">
        <v>455</v>
      </c>
      <c r="HZI101" t="s">
        <v>455</v>
      </c>
      <c r="HZJ101" t="s">
        <v>455</v>
      </c>
      <c r="HZK101" t="s">
        <v>455</v>
      </c>
      <c r="HZL101" t="s">
        <v>455</v>
      </c>
      <c r="HZM101" t="s">
        <v>455</v>
      </c>
      <c r="HZN101" t="s">
        <v>455</v>
      </c>
      <c r="HZO101" t="s">
        <v>455</v>
      </c>
      <c r="HZP101" t="s">
        <v>455</v>
      </c>
      <c r="HZQ101" t="s">
        <v>455</v>
      </c>
      <c r="HZR101" t="s">
        <v>455</v>
      </c>
      <c r="HZS101" t="s">
        <v>455</v>
      </c>
      <c r="HZT101" t="s">
        <v>455</v>
      </c>
      <c r="HZU101" t="s">
        <v>455</v>
      </c>
      <c r="HZV101" t="s">
        <v>455</v>
      </c>
      <c r="HZW101" t="s">
        <v>455</v>
      </c>
      <c r="HZX101" t="s">
        <v>455</v>
      </c>
      <c r="HZY101" t="s">
        <v>455</v>
      </c>
      <c r="HZZ101" t="s">
        <v>455</v>
      </c>
      <c r="IAA101" t="s">
        <v>455</v>
      </c>
      <c r="IAB101" t="s">
        <v>455</v>
      </c>
      <c r="IAC101" t="s">
        <v>455</v>
      </c>
      <c r="IAD101" t="s">
        <v>455</v>
      </c>
      <c r="IAE101" t="s">
        <v>455</v>
      </c>
      <c r="IAF101" t="s">
        <v>455</v>
      </c>
      <c r="IAG101" t="s">
        <v>455</v>
      </c>
      <c r="IAH101" t="s">
        <v>455</v>
      </c>
      <c r="IAI101" t="s">
        <v>455</v>
      </c>
      <c r="IAJ101" t="s">
        <v>455</v>
      </c>
      <c r="IAK101" t="s">
        <v>455</v>
      </c>
      <c r="IAL101" t="s">
        <v>455</v>
      </c>
      <c r="IAM101" t="s">
        <v>455</v>
      </c>
      <c r="IAN101" t="s">
        <v>455</v>
      </c>
      <c r="IAO101" t="s">
        <v>455</v>
      </c>
      <c r="IAP101" t="s">
        <v>455</v>
      </c>
      <c r="IAQ101" t="s">
        <v>455</v>
      </c>
      <c r="IAR101" t="s">
        <v>455</v>
      </c>
      <c r="IAS101" t="s">
        <v>455</v>
      </c>
      <c r="IAT101" t="s">
        <v>455</v>
      </c>
      <c r="IAU101" t="s">
        <v>455</v>
      </c>
      <c r="IAV101" t="s">
        <v>455</v>
      </c>
      <c r="IAW101" t="s">
        <v>455</v>
      </c>
      <c r="IAX101" t="s">
        <v>455</v>
      </c>
      <c r="IAY101" t="s">
        <v>455</v>
      </c>
      <c r="IAZ101" t="s">
        <v>455</v>
      </c>
      <c r="IBA101" t="s">
        <v>455</v>
      </c>
      <c r="IBB101" t="s">
        <v>455</v>
      </c>
      <c r="IBC101" t="s">
        <v>455</v>
      </c>
      <c r="IBD101" t="s">
        <v>455</v>
      </c>
      <c r="IBE101" t="s">
        <v>455</v>
      </c>
      <c r="IBF101" t="s">
        <v>455</v>
      </c>
      <c r="IBG101" t="s">
        <v>455</v>
      </c>
      <c r="IBH101" t="s">
        <v>455</v>
      </c>
      <c r="IBI101" t="s">
        <v>455</v>
      </c>
      <c r="IBJ101" t="s">
        <v>455</v>
      </c>
      <c r="IBK101" t="s">
        <v>455</v>
      </c>
      <c r="IBL101" t="s">
        <v>455</v>
      </c>
      <c r="IBM101" t="s">
        <v>455</v>
      </c>
      <c r="IBN101" t="s">
        <v>455</v>
      </c>
      <c r="IBO101" t="s">
        <v>455</v>
      </c>
      <c r="IBP101" t="s">
        <v>455</v>
      </c>
      <c r="IBQ101" t="s">
        <v>455</v>
      </c>
      <c r="IBR101" t="s">
        <v>455</v>
      </c>
      <c r="IBS101" t="s">
        <v>455</v>
      </c>
      <c r="IBT101" t="s">
        <v>455</v>
      </c>
      <c r="IBU101" t="s">
        <v>455</v>
      </c>
      <c r="IBV101" t="s">
        <v>455</v>
      </c>
      <c r="IBW101" t="s">
        <v>455</v>
      </c>
      <c r="IBX101" t="s">
        <v>455</v>
      </c>
      <c r="IBY101" t="s">
        <v>455</v>
      </c>
      <c r="IBZ101" t="s">
        <v>455</v>
      </c>
      <c r="ICA101" t="s">
        <v>455</v>
      </c>
      <c r="ICB101" t="s">
        <v>455</v>
      </c>
      <c r="ICC101" t="s">
        <v>455</v>
      </c>
      <c r="ICD101" t="s">
        <v>455</v>
      </c>
      <c r="ICE101" t="s">
        <v>455</v>
      </c>
      <c r="ICF101" t="s">
        <v>455</v>
      </c>
      <c r="ICG101" t="s">
        <v>455</v>
      </c>
      <c r="ICH101" t="s">
        <v>455</v>
      </c>
      <c r="ICI101" t="s">
        <v>455</v>
      </c>
      <c r="ICJ101" t="s">
        <v>455</v>
      </c>
      <c r="ICK101" t="s">
        <v>455</v>
      </c>
      <c r="ICL101" t="s">
        <v>455</v>
      </c>
      <c r="ICM101" t="s">
        <v>455</v>
      </c>
      <c r="ICN101" t="s">
        <v>455</v>
      </c>
      <c r="ICO101" t="s">
        <v>455</v>
      </c>
      <c r="ICP101" t="s">
        <v>455</v>
      </c>
      <c r="ICQ101" t="s">
        <v>455</v>
      </c>
      <c r="ICR101" t="s">
        <v>455</v>
      </c>
      <c r="ICS101" t="s">
        <v>455</v>
      </c>
      <c r="ICT101" t="s">
        <v>455</v>
      </c>
      <c r="ICU101" t="s">
        <v>455</v>
      </c>
      <c r="ICV101" t="s">
        <v>455</v>
      </c>
      <c r="ICW101" t="s">
        <v>455</v>
      </c>
      <c r="ICX101" t="s">
        <v>455</v>
      </c>
      <c r="ICY101" t="s">
        <v>455</v>
      </c>
      <c r="ICZ101" t="s">
        <v>455</v>
      </c>
      <c r="IDA101" t="s">
        <v>455</v>
      </c>
      <c r="IDB101" t="s">
        <v>455</v>
      </c>
      <c r="IDC101" t="s">
        <v>455</v>
      </c>
      <c r="IDD101" t="s">
        <v>455</v>
      </c>
      <c r="IDE101" t="s">
        <v>455</v>
      </c>
      <c r="IDF101" t="s">
        <v>455</v>
      </c>
      <c r="IDG101" t="s">
        <v>455</v>
      </c>
      <c r="IDH101" t="s">
        <v>455</v>
      </c>
      <c r="IDI101" t="s">
        <v>455</v>
      </c>
      <c r="IDJ101" t="s">
        <v>455</v>
      </c>
      <c r="IDK101" t="s">
        <v>455</v>
      </c>
      <c r="IDL101" t="s">
        <v>455</v>
      </c>
      <c r="IDM101" t="s">
        <v>455</v>
      </c>
      <c r="IDN101" t="s">
        <v>455</v>
      </c>
      <c r="IDO101" t="s">
        <v>455</v>
      </c>
      <c r="IDP101" t="s">
        <v>455</v>
      </c>
      <c r="IDQ101" t="s">
        <v>455</v>
      </c>
      <c r="IDR101" t="s">
        <v>455</v>
      </c>
      <c r="IDS101" t="s">
        <v>455</v>
      </c>
      <c r="IDT101" t="s">
        <v>455</v>
      </c>
      <c r="IDU101" t="s">
        <v>455</v>
      </c>
      <c r="IDV101" t="s">
        <v>455</v>
      </c>
      <c r="IDW101" t="s">
        <v>455</v>
      </c>
      <c r="IDX101" t="s">
        <v>455</v>
      </c>
      <c r="IDY101" t="s">
        <v>455</v>
      </c>
      <c r="IDZ101" t="s">
        <v>455</v>
      </c>
      <c r="IEA101" t="s">
        <v>455</v>
      </c>
      <c r="IEB101" t="s">
        <v>455</v>
      </c>
      <c r="IEC101" t="s">
        <v>455</v>
      </c>
      <c r="IED101" t="s">
        <v>455</v>
      </c>
      <c r="IEE101" t="s">
        <v>455</v>
      </c>
      <c r="IEF101" t="s">
        <v>455</v>
      </c>
      <c r="IEG101" t="s">
        <v>455</v>
      </c>
      <c r="IEH101" t="s">
        <v>455</v>
      </c>
      <c r="IEI101" t="s">
        <v>455</v>
      </c>
      <c r="IEJ101" t="s">
        <v>455</v>
      </c>
      <c r="IEK101" t="s">
        <v>455</v>
      </c>
      <c r="IEL101" t="s">
        <v>455</v>
      </c>
      <c r="IEM101" t="s">
        <v>455</v>
      </c>
      <c r="IEN101" t="s">
        <v>455</v>
      </c>
      <c r="IEO101" t="s">
        <v>455</v>
      </c>
      <c r="IEP101" t="s">
        <v>455</v>
      </c>
      <c r="IEQ101" t="s">
        <v>455</v>
      </c>
      <c r="IER101" t="s">
        <v>455</v>
      </c>
      <c r="IES101" t="s">
        <v>455</v>
      </c>
      <c r="IET101" t="s">
        <v>455</v>
      </c>
      <c r="IEU101" t="s">
        <v>455</v>
      </c>
      <c r="IEV101" t="s">
        <v>455</v>
      </c>
      <c r="IEW101" t="s">
        <v>455</v>
      </c>
      <c r="IEX101" t="s">
        <v>455</v>
      </c>
      <c r="IEY101" t="s">
        <v>455</v>
      </c>
      <c r="IEZ101" t="s">
        <v>455</v>
      </c>
      <c r="IFA101" t="s">
        <v>455</v>
      </c>
      <c r="IFB101" t="s">
        <v>455</v>
      </c>
      <c r="IFC101" t="s">
        <v>455</v>
      </c>
      <c r="IFD101" t="s">
        <v>455</v>
      </c>
      <c r="IFE101" t="s">
        <v>455</v>
      </c>
      <c r="IFF101" t="s">
        <v>455</v>
      </c>
      <c r="IFG101" t="s">
        <v>455</v>
      </c>
      <c r="IFH101" t="s">
        <v>455</v>
      </c>
      <c r="IFI101" t="s">
        <v>455</v>
      </c>
      <c r="IFJ101" t="s">
        <v>455</v>
      </c>
      <c r="IFK101" t="s">
        <v>455</v>
      </c>
      <c r="IFL101" t="s">
        <v>455</v>
      </c>
      <c r="IFM101" t="s">
        <v>455</v>
      </c>
      <c r="IFN101" t="s">
        <v>455</v>
      </c>
      <c r="IFO101" t="s">
        <v>455</v>
      </c>
      <c r="IFP101" t="s">
        <v>455</v>
      </c>
      <c r="IFQ101" t="s">
        <v>455</v>
      </c>
      <c r="IFR101" t="s">
        <v>455</v>
      </c>
      <c r="IFS101" t="s">
        <v>455</v>
      </c>
      <c r="IFT101" t="s">
        <v>455</v>
      </c>
      <c r="IFU101" t="s">
        <v>455</v>
      </c>
      <c r="IFV101" t="s">
        <v>455</v>
      </c>
      <c r="IFW101" t="s">
        <v>455</v>
      </c>
      <c r="IFX101" t="s">
        <v>455</v>
      </c>
      <c r="IFY101" t="s">
        <v>455</v>
      </c>
      <c r="IFZ101" t="s">
        <v>455</v>
      </c>
      <c r="IGA101" t="s">
        <v>455</v>
      </c>
      <c r="IGB101" t="s">
        <v>455</v>
      </c>
      <c r="IGC101" t="s">
        <v>455</v>
      </c>
      <c r="IGD101" t="s">
        <v>455</v>
      </c>
      <c r="IGE101" t="s">
        <v>455</v>
      </c>
      <c r="IGF101" t="s">
        <v>455</v>
      </c>
      <c r="IGG101" t="s">
        <v>455</v>
      </c>
      <c r="IGH101" t="s">
        <v>455</v>
      </c>
      <c r="IGI101" t="s">
        <v>455</v>
      </c>
      <c r="IGJ101" t="s">
        <v>455</v>
      </c>
      <c r="IGK101" t="s">
        <v>455</v>
      </c>
      <c r="IGL101" t="s">
        <v>455</v>
      </c>
      <c r="IGM101" t="s">
        <v>455</v>
      </c>
      <c r="IGN101" t="s">
        <v>455</v>
      </c>
      <c r="IGO101" t="s">
        <v>455</v>
      </c>
      <c r="IGP101" t="s">
        <v>455</v>
      </c>
      <c r="IGQ101" t="s">
        <v>455</v>
      </c>
      <c r="IGR101" t="s">
        <v>455</v>
      </c>
      <c r="IGS101" t="s">
        <v>455</v>
      </c>
      <c r="IGT101" t="s">
        <v>455</v>
      </c>
      <c r="IGU101" t="s">
        <v>455</v>
      </c>
      <c r="IGV101" t="s">
        <v>455</v>
      </c>
      <c r="IGW101" t="s">
        <v>455</v>
      </c>
      <c r="IGX101" t="s">
        <v>455</v>
      </c>
      <c r="IGY101" t="s">
        <v>455</v>
      </c>
      <c r="IGZ101" t="s">
        <v>455</v>
      </c>
      <c r="IHA101" t="s">
        <v>455</v>
      </c>
      <c r="IHB101" t="s">
        <v>455</v>
      </c>
      <c r="IHC101" t="s">
        <v>455</v>
      </c>
      <c r="IHD101" t="s">
        <v>455</v>
      </c>
      <c r="IHE101" t="s">
        <v>455</v>
      </c>
      <c r="IHF101" t="s">
        <v>455</v>
      </c>
      <c r="IHG101" t="s">
        <v>455</v>
      </c>
      <c r="IHH101" t="s">
        <v>455</v>
      </c>
      <c r="IHI101" t="s">
        <v>455</v>
      </c>
      <c r="IHJ101" t="s">
        <v>455</v>
      </c>
      <c r="IHK101" t="s">
        <v>455</v>
      </c>
      <c r="IHL101" t="s">
        <v>455</v>
      </c>
      <c r="IHM101" t="s">
        <v>455</v>
      </c>
      <c r="IHN101" t="s">
        <v>455</v>
      </c>
      <c r="IHO101" t="s">
        <v>455</v>
      </c>
      <c r="IHP101" t="s">
        <v>455</v>
      </c>
      <c r="IHQ101" t="s">
        <v>455</v>
      </c>
      <c r="IHR101" t="s">
        <v>455</v>
      </c>
      <c r="IHS101" t="s">
        <v>455</v>
      </c>
      <c r="IHT101" t="s">
        <v>455</v>
      </c>
      <c r="IHU101" t="s">
        <v>455</v>
      </c>
      <c r="IHV101" t="s">
        <v>455</v>
      </c>
      <c r="IHW101" t="s">
        <v>455</v>
      </c>
      <c r="IHX101" t="s">
        <v>455</v>
      </c>
      <c r="IHY101" t="s">
        <v>455</v>
      </c>
      <c r="IHZ101" t="s">
        <v>455</v>
      </c>
      <c r="IIA101" t="s">
        <v>455</v>
      </c>
      <c r="IIB101" t="s">
        <v>455</v>
      </c>
      <c r="IIC101" t="s">
        <v>455</v>
      </c>
      <c r="IID101" t="s">
        <v>455</v>
      </c>
      <c r="IIE101" t="s">
        <v>455</v>
      </c>
      <c r="IIF101" t="s">
        <v>455</v>
      </c>
      <c r="IIG101" t="s">
        <v>455</v>
      </c>
      <c r="IIH101" t="s">
        <v>455</v>
      </c>
      <c r="III101" t="s">
        <v>455</v>
      </c>
      <c r="IIJ101" t="s">
        <v>455</v>
      </c>
      <c r="IIK101" t="s">
        <v>455</v>
      </c>
      <c r="IIL101" t="s">
        <v>455</v>
      </c>
      <c r="IIM101" t="s">
        <v>455</v>
      </c>
      <c r="IIN101" t="s">
        <v>455</v>
      </c>
      <c r="IIO101" t="s">
        <v>455</v>
      </c>
      <c r="IIP101" t="s">
        <v>455</v>
      </c>
      <c r="IIQ101" t="s">
        <v>455</v>
      </c>
      <c r="IIR101" t="s">
        <v>455</v>
      </c>
      <c r="IIS101" t="s">
        <v>455</v>
      </c>
      <c r="IIT101" t="s">
        <v>455</v>
      </c>
      <c r="IIU101" t="s">
        <v>455</v>
      </c>
      <c r="IIV101" t="s">
        <v>455</v>
      </c>
      <c r="IIW101" t="s">
        <v>455</v>
      </c>
      <c r="IIX101" t="s">
        <v>455</v>
      </c>
      <c r="IIY101" t="s">
        <v>455</v>
      </c>
      <c r="IIZ101" t="s">
        <v>455</v>
      </c>
      <c r="IJA101" t="s">
        <v>455</v>
      </c>
      <c r="IJB101" t="s">
        <v>455</v>
      </c>
      <c r="IJC101" t="s">
        <v>455</v>
      </c>
      <c r="IJD101" t="s">
        <v>455</v>
      </c>
      <c r="IJE101" t="s">
        <v>455</v>
      </c>
      <c r="IJF101" t="s">
        <v>455</v>
      </c>
      <c r="IJG101" t="s">
        <v>455</v>
      </c>
      <c r="IJH101" t="s">
        <v>455</v>
      </c>
      <c r="IJI101" t="s">
        <v>455</v>
      </c>
      <c r="IJJ101" t="s">
        <v>455</v>
      </c>
      <c r="IJK101" t="s">
        <v>455</v>
      </c>
      <c r="IJL101" t="s">
        <v>455</v>
      </c>
      <c r="IJM101" t="s">
        <v>455</v>
      </c>
      <c r="IJN101" t="s">
        <v>455</v>
      </c>
      <c r="IJO101" t="s">
        <v>455</v>
      </c>
      <c r="IJP101" t="s">
        <v>455</v>
      </c>
      <c r="IJQ101" t="s">
        <v>455</v>
      </c>
      <c r="IJR101" t="s">
        <v>455</v>
      </c>
      <c r="IJS101" t="s">
        <v>455</v>
      </c>
      <c r="IJT101" t="s">
        <v>455</v>
      </c>
      <c r="IJU101" t="s">
        <v>455</v>
      </c>
      <c r="IJV101" t="s">
        <v>455</v>
      </c>
      <c r="IJW101" t="s">
        <v>455</v>
      </c>
      <c r="IJX101" t="s">
        <v>455</v>
      </c>
      <c r="IJY101" t="s">
        <v>455</v>
      </c>
      <c r="IJZ101" t="s">
        <v>455</v>
      </c>
      <c r="IKA101" t="s">
        <v>455</v>
      </c>
      <c r="IKB101" t="s">
        <v>455</v>
      </c>
      <c r="IKC101" t="s">
        <v>455</v>
      </c>
      <c r="IKD101" t="s">
        <v>455</v>
      </c>
      <c r="IKE101" t="s">
        <v>455</v>
      </c>
      <c r="IKF101" t="s">
        <v>455</v>
      </c>
      <c r="IKG101" t="s">
        <v>455</v>
      </c>
      <c r="IKH101" t="s">
        <v>455</v>
      </c>
      <c r="IKI101" t="s">
        <v>455</v>
      </c>
      <c r="IKJ101" t="s">
        <v>455</v>
      </c>
      <c r="IKK101" t="s">
        <v>455</v>
      </c>
      <c r="IKL101" t="s">
        <v>455</v>
      </c>
      <c r="IKM101" t="s">
        <v>455</v>
      </c>
      <c r="IKN101" t="s">
        <v>455</v>
      </c>
      <c r="IKO101" t="s">
        <v>455</v>
      </c>
      <c r="IKP101" t="s">
        <v>455</v>
      </c>
      <c r="IKQ101" t="s">
        <v>455</v>
      </c>
      <c r="IKR101" t="s">
        <v>455</v>
      </c>
      <c r="IKS101" t="s">
        <v>455</v>
      </c>
      <c r="IKT101" t="s">
        <v>455</v>
      </c>
      <c r="IKU101" t="s">
        <v>455</v>
      </c>
      <c r="IKV101" t="s">
        <v>455</v>
      </c>
      <c r="IKW101" t="s">
        <v>455</v>
      </c>
      <c r="IKX101" t="s">
        <v>455</v>
      </c>
      <c r="IKY101" t="s">
        <v>455</v>
      </c>
      <c r="IKZ101" t="s">
        <v>455</v>
      </c>
      <c r="ILA101" t="s">
        <v>455</v>
      </c>
      <c r="ILB101" t="s">
        <v>455</v>
      </c>
      <c r="ILC101" t="s">
        <v>455</v>
      </c>
      <c r="ILD101" t="s">
        <v>455</v>
      </c>
      <c r="ILE101" t="s">
        <v>455</v>
      </c>
      <c r="ILF101" t="s">
        <v>455</v>
      </c>
      <c r="ILG101" t="s">
        <v>455</v>
      </c>
      <c r="ILH101" t="s">
        <v>455</v>
      </c>
      <c r="ILI101" t="s">
        <v>455</v>
      </c>
      <c r="ILJ101" t="s">
        <v>455</v>
      </c>
      <c r="ILK101" t="s">
        <v>455</v>
      </c>
      <c r="ILL101" t="s">
        <v>455</v>
      </c>
      <c r="ILM101" t="s">
        <v>455</v>
      </c>
      <c r="ILN101" t="s">
        <v>455</v>
      </c>
      <c r="ILO101" t="s">
        <v>455</v>
      </c>
      <c r="ILP101" t="s">
        <v>455</v>
      </c>
      <c r="ILQ101" t="s">
        <v>455</v>
      </c>
      <c r="ILR101" t="s">
        <v>455</v>
      </c>
      <c r="ILS101" t="s">
        <v>455</v>
      </c>
      <c r="ILT101" t="s">
        <v>455</v>
      </c>
      <c r="ILU101" t="s">
        <v>455</v>
      </c>
      <c r="ILV101" t="s">
        <v>455</v>
      </c>
      <c r="ILW101" t="s">
        <v>455</v>
      </c>
      <c r="ILX101" t="s">
        <v>455</v>
      </c>
      <c r="ILY101" t="s">
        <v>455</v>
      </c>
      <c r="ILZ101" t="s">
        <v>455</v>
      </c>
      <c r="IMA101" t="s">
        <v>455</v>
      </c>
      <c r="IMB101" t="s">
        <v>455</v>
      </c>
      <c r="IMC101" t="s">
        <v>455</v>
      </c>
      <c r="IMD101" t="s">
        <v>455</v>
      </c>
      <c r="IME101" t="s">
        <v>455</v>
      </c>
      <c r="IMF101" t="s">
        <v>455</v>
      </c>
      <c r="IMG101" t="s">
        <v>455</v>
      </c>
      <c r="IMH101" t="s">
        <v>455</v>
      </c>
      <c r="IMI101" t="s">
        <v>455</v>
      </c>
      <c r="IMJ101" t="s">
        <v>455</v>
      </c>
      <c r="IMK101" t="s">
        <v>455</v>
      </c>
      <c r="IML101" t="s">
        <v>455</v>
      </c>
      <c r="IMM101" t="s">
        <v>455</v>
      </c>
      <c r="IMN101" t="s">
        <v>455</v>
      </c>
      <c r="IMO101" t="s">
        <v>455</v>
      </c>
      <c r="IMP101" t="s">
        <v>455</v>
      </c>
      <c r="IMQ101" t="s">
        <v>455</v>
      </c>
      <c r="IMR101" t="s">
        <v>455</v>
      </c>
      <c r="IMS101" t="s">
        <v>455</v>
      </c>
      <c r="IMT101" t="s">
        <v>455</v>
      </c>
      <c r="IMU101" t="s">
        <v>455</v>
      </c>
      <c r="IMV101" t="s">
        <v>455</v>
      </c>
      <c r="IMW101" t="s">
        <v>455</v>
      </c>
      <c r="IMX101" t="s">
        <v>455</v>
      </c>
      <c r="IMY101" t="s">
        <v>455</v>
      </c>
      <c r="IMZ101" t="s">
        <v>455</v>
      </c>
      <c r="INA101" t="s">
        <v>455</v>
      </c>
      <c r="INB101" t="s">
        <v>455</v>
      </c>
      <c r="INC101" t="s">
        <v>455</v>
      </c>
      <c r="IND101" t="s">
        <v>455</v>
      </c>
      <c r="INE101" t="s">
        <v>455</v>
      </c>
      <c r="INF101" t="s">
        <v>455</v>
      </c>
      <c r="ING101" t="s">
        <v>455</v>
      </c>
      <c r="INH101" t="s">
        <v>455</v>
      </c>
      <c r="INI101" t="s">
        <v>455</v>
      </c>
      <c r="INJ101" t="s">
        <v>455</v>
      </c>
      <c r="INK101" t="s">
        <v>455</v>
      </c>
      <c r="INL101" t="s">
        <v>455</v>
      </c>
      <c r="INM101" t="s">
        <v>455</v>
      </c>
      <c r="INN101" t="s">
        <v>455</v>
      </c>
      <c r="INO101" t="s">
        <v>455</v>
      </c>
      <c r="INP101" t="s">
        <v>455</v>
      </c>
      <c r="INQ101" t="s">
        <v>455</v>
      </c>
      <c r="INR101" t="s">
        <v>455</v>
      </c>
      <c r="INS101" t="s">
        <v>455</v>
      </c>
      <c r="INT101" t="s">
        <v>455</v>
      </c>
      <c r="INU101" t="s">
        <v>455</v>
      </c>
      <c r="INV101" t="s">
        <v>455</v>
      </c>
      <c r="INW101" t="s">
        <v>455</v>
      </c>
      <c r="INX101" t="s">
        <v>455</v>
      </c>
      <c r="INY101" t="s">
        <v>455</v>
      </c>
      <c r="INZ101" t="s">
        <v>455</v>
      </c>
      <c r="IOA101" t="s">
        <v>455</v>
      </c>
      <c r="IOB101" t="s">
        <v>455</v>
      </c>
      <c r="IOC101" t="s">
        <v>455</v>
      </c>
      <c r="IOD101" t="s">
        <v>455</v>
      </c>
      <c r="IOE101" t="s">
        <v>455</v>
      </c>
      <c r="IOF101" t="s">
        <v>455</v>
      </c>
      <c r="IOG101" t="s">
        <v>455</v>
      </c>
      <c r="IOH101" t="s">
        <v>455</v>
      </c>
      <c r="IOI101" t="s">
        <v>455</v>
      </c>
      <c r="IOJ101" t="s">
        <v>455</v>
      </c>
      <c r="IOK101" t="s">
        <v>455</v>
      </c>
      <c r="IOL101" t="s">
        <v>455</v>
      </c>
      <c r="IOM101" t="s">
        <v>455</v>
      </c>
      <c r="ION101" t="s">
        <v>455</v>
      </c>
      <c r="IOO101" t="s">
        <v>455</v>
      </c>
      <c r="IOP101" t="s">
        <v>455</v>
      </c>
      <c r="IOQ101" t="s">
        <v>455</v>
      </c>
      <c r="IOR101" t="s">
        <v>455</v>
      </c>
      <c r="IOS101" t="s">
        <v>455</v>
      </c>
      <c r="IOT101" t="s">
        <v>455</v>
      </c>
      <c r="IOU101" t="s">
        <v>455</v>
      </c>
      <c r="IOV101" t="s">
        <v>455</v>
      </c>
      <c r="IOW101" t="s">
        <v>455</v>
      </c>
      <c r="IOX101" t="s">
        <v>455</v>
      </c>
      <c r="IOY101" t="s">
        <v>455</v>
      </c>
      <c r="IOZ101" t="s">
        <v>455</v>
      </c>
      <c r="IPA101" t="s">
        <v>455</v>
      </c>
      <c r="IPB101" t="s">
        <v>455</v>
      </c>
      <c r="IPC101" t="s">
        <v>455</v>
      </c>
      <c r="IPD101" t="s">
        <v>455</v>
      </c>
      <c r="IPE101" t="s">
        <v>455</v>
      </c>
      <c r="IPF101" t="s">
        <v>455</v>
      </c>
      <c r="IPG101" t="s">
        <v>455</v>
      </c>
      <c r="IPH101" t="s">
        <v>455</v>
      </c>
      <c r="IPI101" t="s">
        <v>455</v>
      </c>
      <c r="IPJ101" t="s">
        <v>455</v>
      </c>
      <c r="IPK101" t="s">
        <v>455</v>
      </c>
      <c r="IPL101" t="s">
        <v>455</v>
      </c>
      <c r="IPM101" t="s">
        <v>455</v>
      </c>
      <c r="IPN101" t="s">
        <v>455</v>
      </c>
      <c r="IPO101" t="s">
        <v>455</v>
      </c>
      <c r="IPP101" t="s">
        <v>455</v>
      </c>
      <c r="IPQ101" t="s">
        <v>455</v>
      </c>
      <c r="IPR101" t="s">
        <v>455</v>
      </c>
      <c r="IPS101" t="s">
        <v>455</v>
      </c>
      <c r="IPT101" t="s">
        <v>455</v>
      </c>
      <c r="IPU101" t="s">
        <v>455</v>
      </c>
      <c r="IPV101" t="s">
        <v>455</v>
      </c>
      <c r="IPW101" t="s">
        <v>455</v>
      </c>
      <c r="IPX101" t="s">
        <v>455</v>
      </c>
      <c r="IPY101" t="s">
        <v>455</v>
      </c>
      <c r="IPZ101" t="s">
        <v>455</v>
      </c>
      <c r="IQA101" t="s">
        <v>455</v>
      </c>
      <c r="IQB101" t="s">
        <v>455</v>
      </c>
      <c r="IQC101" t="s">
        <v>455</v>
      </c>
      <c r="IQD101" t="s">
        <v>455</v>
      </c>
      <c r="IQE101" t="s">
        <v>455</v>
      </c>
      <c r="IQF101" t="s">
        <v>455</v>
      </c>
      <c r="IQG101" t="s">
        <v>455</v>
      </c>
      <c r="IQH101" t="s">
        <v>455</v>
      </c>
      <c r="IQI101" t="s">
        <v>455</v>
      </c>
      <c r="IQJ101" t="s">
        <v>455</v>
      </c>
      <c r="IQK101" t="s">
        <v>455</v>
      </c>
      <c r="IQL101" t="s">
        <v>455</v>
      </c>
      <c r="IQM101" t="s">
        <v>455</v>
      </c>
      <c r="IQN101" t="s">
        <v>455</v>
      </c>
      <c r="IQO101" t="s">
        <v>455</v>
      </c>
      <c r="IQP101" t="s">
        <v>455</v>
      </c>
      <c r="IQQ101" t="s">
        <v>455</v>
      </c>
      <c r="IQR101" t="s">
        <v>455</v>
      </c>
      <c r="IQS101" t="s">
        <v>455</v>
      </c>
      <c r="IQT101" t="s">
        <v>455</v>
      </c>
      <c r="IQU101" t="s">
        <v>455</v>
      </c>
      <c r="IQV101" t="s">
        <v>455</v>
      </c>
      <c r="IQW101" t="s">
        <v>455</v>
      </c>
      <c r="IQX101" t="s">
        <v>455</v>
      </c>
      <c r="IQY101" t="s">
        <v>455</v>
      </c>
      <c r="IQZ101" t="s">
        <v>455</v>
      </c>
      <c r="IRA101" t="s">
        <v>455</v>
      </c>
      <c r="IRB101" t="s">
        <v>455</v>
      </c>
      <c r="IRC101" t="s">
        <v>455</v>
      </c>
      <c r="IRD101" t="s">
        <v>455</v>
      </c>
      <c r="IRE101" t="s">
        <v>455</v>
      </c>
      <c r="IRF101" t="s">
        <v>455</v>
      </c>
      <c r="IRG101" t="s">
        <v>455</v>
      </c>
      <c r="IRH101" t="s">
        <v>455</v>
      </c>
      <c r="IRI101" t="s">
        <v>455</v>
      </c>
      <c r="IRJ101" t="s">
        <v>455</v>
      </c>
      <c r="IRK101" t="s">
        <v>455</v>
      </c>
      <c r="IRL101" t="s">
        <v>455</v>
      </c>
      <c r="IRM101" t="s">
        <v>455</v>
      </c>
      <c r="IRN101" t="s">
        <v>455</v>
      </c>
      <c r="IRO101" t="s">
        <v>455</v>
      </c>
      <c r="IRP101" t="s">
        <v>455</v>
      </c>
      <c r="IRQ101" t="s">
        <v>455</v>
      </c>
      <c r="IRR101" t="s">
        <v>455</v>
      </c>
      <c r="IRS101" t="s">
        <v>455</v>
      </c>
      <c r="IRT101" t="s">
        <v>455</v>
      </c>
      <c r="IRU101" t="s">
        <v>455</v>
      </c>
      <c r="IRV101" t="s">
        <v>455</v>
      </c>
      <c r="IRW101" t="s">
        <v>455</v>
      </c>
      <c r="IRX101" t="s">
        <v>455</v>
      </c>
      <c r="IRY101" t="s">
        <v>455</v>
      </c>
      <c r="IRZ101" t="s">
        <v>455</v>
      </c>
      <c r="ISA101" t="s">
        <v>455</v>
      </c>
      <c r="ISB101" t="s">
        <v>455</v>
      </c>
      <c r="ISC101" t="s">
        <v>455</v>
      </c>
      <c r="ISD101" t="s">
        <v>455</v>
      </c>
      <c r="ISE101" t="s">
        <v>455</v>
      </c>
      <c r="ISF101" t="s">
        <v>455</v>
      </c>
      <c r="ISG101" t="s">
        <v>455</v>
      </c>
      <c r="ISH101" t="s">
        <v>455</v>
      </c>
      <c r="ISI101" t="s">
        <v>455</v>
      </c>
      <c r="ISJ101" t="s">
        <v>455</v>
      </c>
      <c r="ISK101" t="s">
        <v>455</v>
      </c>
      <c r="ISL101" t="s">
        <v>455</v>
      </c>
      <c r="ISM101" t="s">
        <v>455</v>
      </c>
      <c r="ISN101" t="s">
        <v>455</v>
      </c>
      <c r="ISO101" t="s">
        <v>455</v>
      </c>
      <c r="ISP101" t="s">
        <v>455</v>
      </c>
      <c r="ISQ101" t="s">
        <v>455</v>
      </c>
      <c r="ISR101" t="s">
        <v>455</v>
      </c>
      <c r="ISS101" t="s">
        <v>455</v>
      </c>
      <c r="IST101" t="s">
        <v>455</v>
      </c>
      <c r="ISU101" t="s">
        <v>455</v>
      </c>
      <c r="ISV101" t="s">
        <v>455</v>
      </c>
      <c r="ISW101" t="s">
        <v>455</v>
      </c>
      <c r="ISX101" t="s">
        <v>455</v>
      </c>
      <c r="ISY101" t="s">
        <v>455</v>
      </c>
      <c r="ISZ101" t="s">
        <v>455</v>
      </c>
      <c r="ITA101" t="s">
        <v>455</v>
      </c>
      <c r="ITB101" t="s">
        <v>455</v>
      </c>
      <c r="ITC101" t="s">
        <v>455</v>
      </c>
      <c r="ITD101" t="s">
        <v>455</v>
      </c>
      <c r="ITE101" t="s">
        <v>455</v>
      </c>
      <c r="ITF101" t="s">
        <v>455</v>
      </c>
      <c r="ITG101" t="s">
        <v>455</v>
      </c>
      <c r="ITH101" t="s">
        <v>455</v>
      </c>
      <c r="ITI101" t="s">
        <v>455</v>
      </c>
      <c r="ITJ101" t="s">
        <v>455</v>
      </c>
      <c r="ITK101" t="s">
        <v>455</v>
      </c>
      <c r="ITL101" t="s">
        <v>455</v>
      </c>
      <c r="ITM101" t="s">
        <v>455</v>
      </c>
      <c r="ITN101" t="s">
        <v>455</v>
      </c>
      <c r="ITO101" t="s">
        <v>455</v>
      </c>
      <c r="ITP101" t="s">
        <v>455</v>
      </c>
      <c r="ITQ101" t="s">
        <v>455</v>
      </c>
      <c r="ITR101" t="s">
        <v>455</v>
      </c>
      <c r="ITS101" t="s">
        <v>455</v>
      </c>
      <c r="ITT101" t="s">
        <v>455</v>
      </c>
      <c r="ITU101" t="s">
        <v>455</v>
      </c>
      <c r="ITV101" t="s">
        <v>455</v>
      </c>
      <c r="ITW101" t="s">
        <v>455</v>
      </c>
      <c r="ITX101" t="s">
        <v>455</v>
      </c>
      <c r="ITY101" t="s">
        <v>455</v>
      </c>
      <c r="ITZ101" t="s">
        <v>455</v>
      </c>
      <c r="IUA101" t="s">
        <v>455</v>
      </c>
      <c r="IUB101" t="s">
        <v>455</v>
      </c>
      <c r="IUC101" t="s">
        <v>455</v>
      </c>
      <c r="IUD101" t="s">
        <v>455</v>
      </c>
      <c r="IUE101" t="s">
        <v>455</v>
      </c>
      <c r="IUF101" t="s">
        <v>455</v>
      </c>
      <c r="IUG101" t="s">
        <v>455</v>
      </c>
      <c r="IUH101" t="s">
        <v>455</v>
      </c>
      <c r="IUI101" t="s">
        <v>455</v>
      </c>
      <c r="IUJ101" t="s">
        <v>455</v>
      </c>
      <c r="IUK101" t="s">
        <v>455</v>
      </c>
      <c r="IUL101" t="s">
        <v>455</v>
      </c>
      <c r="IUM101" t="s">
        <v>455</v>
      </c>
      <c r="IUN101" t="s">
        <v>455</v>
      </c>
      <c r="IUO101" t="s">
        <v>455</v>
      </c>
      <c r="IUP101" t="s">
        <v>455</v>
      </c>
      <c r="IUQ101" t="s">
        <v>455</v>
      </c>
      <c r="IUR101" t="s">
        <v>455</v>
      </c>
      <c r="IUS101" t="s">
        <v>455</v>
      </c>
      <c r="IUT101" t="s">
        <v>455</v>
      </c>
      <c r="IUU101" t="s">
        <v>455</v>
      </c>
      <c r="IUV101" t="s">
        <v>455</v>
      </c>
      <c r="IUW101" t="s">
        <v>455</v>
      </c>
      <c r="IUX101" t="s">
        <v>455</v>
      </c>
      <c r="IUY101" t="s">
        <v>455</v>
      </c>
      <c r="IUZ101" t="s">
        <v>455</v>
      </c>
      <c r="IVA101" t="s">
        <v>455</v>
      </c>
      <c r="IVB101" t="s">
        <v>455</v>
      </c>
      <c r="IVC101" t="s">
        <v>455</v>
      </c>
      <c r="IVD101" t="s">
        <v>455</v>
      </c>
      <c r="IVE101" t="s">
        <v>455</v>
      </c>
      <c r="IVF101" t="s">
        <v>455</v>
      </c>
      <c r="IVG101" t="s">
        <v>455</v>
      </c>
      <c r="IVH101" t="s">
        <v>455</v>
      </c>
      <c r="IVI101" t="s">
        <v>455</v>
      </c>
      <c r="IVJ101" t="s">
        <v>455</v>
      </c>
      <c r="IVK101" t="s">
        <v>455</v>
      </c>
      <c r="IVL101" t="s">
        <v>455</v>
      </c>
      <c r="IVM101" t="s">
        <v>455</v>
      </c>
      <c r="IVN101" t="s">
        <v>455</v>
      </c>
      <c r="IVO101" t="s">
        <v>455</v>
      </c>
      <c r="IVP101" t="s">
        <v>455</v>
      </c>
      <c r="IVQ101" t="s">
        <v>455</v>
      </c>
      <c r="IVR101" t="s">
        <v>455</v>
      </c>
      <c r="IVS101" t="s">
        <v>455</v>
      </c>
      <c r="IVT101" t="s">
        <v>455</v>
      </c>
      <c r="IVU101" t="s">
        <v>455</v>
      </c>
      <c r="IVV101" t="s">
        <v>455</v>
      </c>
      <c r="IVW101" t="s">
        <v>455</v>
      </c>
      <c r="IVX101" t="s">
        <v>455</v>
      </c>
      <c r="IVY101" t="s">
        <v>455</v>
      </c>
      <c r="IVZ101" t="s">
        <v>455</v>
      </c>
      <c r="IWA101" t="s">
        <v>455</v>
      </c>
      <c r="IWB101" t="s">
        <v>455</v>
      </c>
      <c r="IWC101" t="s">
        <v>455</v>
      </c>
      <c r="IWD101" t="s">
        <v>455</v>
      </c>
      <c r="IWE101" t="s">
        <v>455</v>
      </c>
      <c r="IWF101" t="s">
        <v>455</v>
      </c>
      <c r="IWG101" t="s">
        <v>455</v>
      </c>
      <c r="IWH101" t="s">
        <v>455</v>
      </c>
      <c r="IWI101" t="s">
        <v>455</v>
      </c>
      <c r="IWJ101" t="s">
        <v>455</v>
      </c>
      <c r="IWK101" t="s">
        <v>455</v>
      </c>
      <c r="IWL101" t="s">
        <v>455</v>
      </c>
      <c r="IWM101" t="s">
        <v>455</v>
      </c>
      <c r="IWN101" t="s">
        <v>455</v>
      </c>
      <c r="IWO101" t="s">
        <v>455</v>
      </c>
      <c r="IWP101" t="s">
        <v>455</v>
      </c>
      <c r="IWQ101" t="s">
        <v>455</v>
      </c>
      <c r="IWR101" t="s">
        <v>455</v>
      </c>
      <c r="IWS101" t="s">
        <v>455</v>
      </c>
      <c r="IWT101" t="s">
        <v>455</v>
      </c>
      <c r="IWU101" t="s">
        <v>455</v>
      </c>
      <c r="IWV101" t="s">
        <v>455</v>
      </c>
      <c r="IWW101" t="s">
        <v>455</v>
      </c>
      <c r="IWX101" t="s">
        <v>455</v>
      </c>
      <c r="IWY101" t="s">
        <v>455</v>
      </c>
      <c r="IWZ101" t="s">
        <v>455</v>
      </c>
      <c r="IXA101" t="s">
        <v>455</v>
      </c>
      <c r="IXB101" t="s">
        <v>455</v>
      </c>
      <c r="IXC101" t="s">
        <v>455</v>
      </c>
      <c r="IXD101" t="s">
        <v>455</v>
      </c>
      <c r="IXE101" t="s">
        <v>455</v>
      </c>
      <c r="IXF101" t="s">
        <v>455</v>
      </c>
      <c r="IXG101" t="s">
        <v>455</v>
      </c>
      <c r="IXH101" t="s">
        <v>455</v>
      </c>
      <c r="IXI101" t="s">
        <v>455</v>
      </c>
      <c r="IXJ101" t="s">
        <v>455</v>
      </c>
      <c r="IXK101" t="s">
        <v>455</v>
      </c>
      <c r="IXL101" t="s">
        <v>455</v>
      </c>
      <c r="IXM101" t="s">
        <v>455</v>
      </c>
      <c r="IXN101" t="s">
        <v>455</v>
      </c>
      <c r="IXO101" t="s">
        <v>455</v>
      </c>
      <c r="IXP101" t="s">
        <v>455</v>
      </c>
      <c r="IXQ101" t="s">
        <v>455</v>
      </c>
      <c r="IXR101" t="s">
        <v>455</v>
      </c>
      <c r="IXS101" t="s">
        <v>455</v>
      </c>
      <c r="IXT101" t="s">
        <v>455</v>
      </c>
      <c r="IXU101" t="s">
        <v>455</v>
      </c>
      <c r="IXV101" t="s">
        <v>455</v>
      </c>
      <c r="IXW101" t="s">
        <v>455</v>
      </c>
      <c r="IXX101" t="s">
        <v>455</v>
      </c>
      <c r="IXY101" t="s">
        <v>455</v>
      </c>
      <c r="IXZ101" t="s">
        <v>455</v>
      </c>
      <c r="IYA101" t="s">
        <v>455</v>
      </c>
      <c r="IYB101" t="s">
        <v>455</v>
      </c>
      <c r="IYC101" t="s">
        <v>455</v>
      </c>
      <c r="IYD101" t="s">
        <v>455</v>
      </c>
      <c r="IYE101" t="s">
        <v>455</v>
      </c>
      <c r="IYF101" t="s">
        <v>455</v>
      </c>
      <c r="IYG101" t="s">
        <v>455</v>
      </c>
      <c r="IYH101" t="s">
        <v>455</v>
      </c>
      <c r="IYI101" t="s">
        <v>455</v>
      </c>
      <c r="IYJ101" t="s">
        <v>455</v>
      </c>
      <c r="IYK101" t="s">
        <v>455</v>
      </c>
      <c r="IYL101" t="s">
        <v>455</v>
      </c>
      <c r="IYM101" t="s">
        <v>455</v>
      </c>
      <c r="IYN101" t="s">
        <v>455</v>
      </c>
      <c r="IYO101" t="s">
        <v>455</v>
      </c>
      <c r="IYP101" t="s">
        <v>455</v>
      </c>
      <c r="IYQ101" t="s">
        <v>455</v>
      </c>
      <c r="IYR101" t="s">
        <v>455</v>
      </c>
      <c r="IYS101" t="s">
        <v>455</v>
      </c>
      <c r="IYT101" t="s">
        <v>455</v>
      </c>
      <c r="IYU101" t="s">
        <v>455</v>
      </c>
      <c r="IYV101" t="s">
        <v>455</v>
      </c>
      <c r="IYW101" t="s">
        <v>455</v>
      </c>
      <c r="IYX101" t="s">
        <v>455</v>
      </c>
      <c r="IYY101" t="s">
        <v>455</v>
      </c>
      <c r="IYZ101" t="s">
        <v>455</v>
      </c>
      <c r="IZA101" t="s">
        <v>455</v>
      </c>
      <c r="IZB101" t="s">
        <v>455</v>
      </c>
      <c r="IZC101" t="s">
        <v>455</v>
      </c>
      <c r="IZD101" t="s">
        <v>455</v>
      </c>
      <c r="IZE101" t="s">
        <v>455</v>
      </c>
      <c r="IZF101" t="s">
        <v>455</v>
      </c>
      <c r="IZG101" t="s">
        <v>455</v>
      </c>
      <c r="IZH101" t="s">
        <v>455</v>
      </c>
      <c r="IZI101" t="s">
        <v>455</v>
      </c>
      <c r="IZJ101" t="s">
        <v>455</v>
      </c>
      <c r="IZK101" t="s">
        <v>455</v>
      </c>
      <c r="IZL101" t="s">
        <v>455</v>
      </c>
      <c r="IZM101" t="s">
        <v>455</v>
      </c>
      <c r="IZN101" t="s">
        <v>455</v>
      </c>
      <c r="IZO101" t="s">
        <v>455</v>
      </c>
      <c r="IZP101" t="s">
        <v>455</v>
      </c>
      <c r="IZQ101" t="s">
        <v>455</v>
      </c>
      <c r="IZR101" t="s">
        <v>455</v>
      </c>
      <c r="IZS101" t="s">
        <v>455</v>
      </c>
      <c r="IZT101" t="s">
        <v>455</v>
      </c>
      <c r="IZU101" t="s">
        <v>455</v>
      </c>
      <c r="IZV101" t="s">
        <v>455</v>
      </c>
      <c r="IZW101" t="s">
        <v>455</v>
      </c>
      <c r="IZX101" t="s">
        <v>455</v>
      </c>
      <c r="IZY101" t="s">
        <v>455</v>
      </c>
      <c r="IZZ101" t="s">
        <v>455</v>
      </c>
      <c r="JAA101" t="s">
        <v>455</v>
      </c>
      <c r="JAB101" t="s">
        <v>455</v>
      </c>
      <c r="JAC101" t="s">
        <v>455</v>
      </c>
      <c r="JAD101" t="s">
        <v>455</v>
      </c>
      <c r="JAE101" t="s">
        <v>455</v>
      </c>
      <c r="JAF101" t="s">
        <v>455</v>
      </c>
      <c r="JAG101" t="s">
        <v>455</v>
      </c>
      <c r="JAH101" t="s">
        <v>455</v>
      </c>
      <c r="JAI101" t="s">
        <v>455</v>
      </c>
      <c r="JAJ101" t="s">
        <v>455</v>
      </c>
      <c r="JAK101" t="s">
        <v>455</v>
      </c>
      <c r="JAL101" t="s">
        <v>455</v>
      </c>
      <c r="JAM101" t="s">
        <v>455</v>
      </c>
      <c r="JAN101" t="s">
        <v>455</v>
      </c>
      <c r="JAO101" t="s">
        <v>455</v>
      </c>
      <c r="JAP101" t="s">
        <v>455</v>
      </c>
      <c r="JAQ101" t="s">
        <v>455</v>
      </c>
      <c r="JAR101" t="s">
        <v>455</v>
      </c>
      <c r="JAS101" t="s">
        <v>455</v>
      </c>
      <c r="JAT101" t="s">
        <v>455</v>
      </c>
      <c r="JAU101" t="s">
        <v>455</v>
      </c>
      <c r="JAV101" t="s">
        <v>455</v>
      </c>
      <c r="JAW101" t="s">
        <v>455</v>
      </c>
      <c r="JAX101" t="s">
        <v>455</v>
      </c>
      <c r="JAY101" t="s">
        <v>455</v>
      </c>
      <c r="JAZ101" t="s">
        <v>455</v>
      </c>
      <c r="JBA101" t="s">
        <v>455</v>
      </c>
      <c r="JBB101" t="s">
        <v>455</v>
      </c>
      <c r="JBC101" t="s">
        <v>455</v>
      </c>
      <c r="JBD101" t="s">
        <v>455</v>
      </c>
      <c r="JBE101" t="s">
        <v>455</v>
      </c>
      <c r="JBF101" t="s">
        <v>455</v>
      </c>
      <c r="JBG101" t="s">
        <v>455</v>
      </c>
      <c r="JBH101" t="s">
        <v>455</v>
      </c>
      <c r="JBI101" t="s">
        <v>455</v>
      </c>
      <c r="JBJ101" t="s">
        <v>455</v>
      </c>
      <c r="JBK101" t="s">
        <v>455</v>
      </c>
      <c r="JBL101" t="s">
        <v>455</v>
      </c>
      <c r="JBM101" t="s">
        <v>455</v>
      </c>
      <c r="JBN101" t="s">
        <v>455</v>
      </c>
      <c r="JBO101" t="s">
        <v>455</v>
      </c>
      <c r="JBP101" t="s">
        <v>455</v>
      </c>
      <c r="JBQ101" t="s">
        <v>455</v>
      </c>
      <c r="JBR101" t="s">
        <v>455</v>
      </c>
      <c r="JBS101" t="s">
        <v>455</v>
      </c>
      <c r="JBT101" t="s">
        <v>455</v>
      </c>
      <c r="JBU101" t="s">
        <v>455</v>
      </c>
      <c r="JBV101" t="s">
        <v>455</v>
      </c>
      <c r="JBW101" t="s">
        <v>455</v>
      </c>
      <c r="JBX101" t="s">
        <v>455</v>
      </c>
      <c r="JBY101" t="s">
        <v>455</v>
      </c>
      <c r="JBZ101" t="s">
        <v>455</v>
      </c>
      <c r="JCA101" t="s">
        <v>455</v>
      </c>
      <c r="JCB101" t="s">
        <v>455</v>
      </c>
      <c r="JCC101" t="s">
        <v>455</v>
      </c>
      <c r="JCD101" t="s">
        <v>455</v>
      </c>
      <c r="JCE101" t="s">
        <v>455</v>
      </c>
      <c r="JCF101" t="s">
        <v>455</v>
      </c>
      <c r="JCG101" t="s">
        <v>455</v>
      </c>
      <c r="JCH101" t="s">
        <v>455</v>
      </c>
      <c r="JCI101" t="s">
        <v>455</v>
      </c>
      <c r="JCJ101" t="s">
        <v>455</v>
      </c>
      <c r="JCK101" t="s">
        <v>455</v>
      </c>
      <c r="JCL101" t="s">
        <v>455</v>
      </c>
      <c r="JCM101" t="s">
        <v>455</v>
      </c>
      <c r="JCN101" t="s">
        <v>455</v>
      </c>
      <c r="JCO101" t="s">
        <v>455</v>
      </c>
      <c r="JCP101" t="s">
        <v>455</v>
      </c>
      <c r="JCQ101" t="s">
        <v>455</v>
      </c>
      <c r="JCR101" t="s">
        <v>455</v>
      </c>
      <c r="JCS101" t="s">
        <v>455</v>
      </c>
      <c r="JCT101" t="s">
        <v>455</v>
      </c>
      <c r="JCU101" t="s">
        <v>455</v>
      </c>
      <c r="JCV101" t="s">
        <v>455</v>
      </c>
      <c r="JCW101" t="s">
        <v>455</v>
      </c>
      <c r="JCX101" t="s">
        <v>455</v>
      </c>
      <c r="JCY101" t="s">
        <v>455</v>
      </c>
      <c r="JCZ101" t="s">
        <v>455</v>
      </c>
      <c r="JDA101" t="s">
        <v>455</v>
      </c>
      <c r="JDB101" t="s">
        <v>455</v>
      </c>
      <c r="JDC101" t="s">
        <v>455</v>
      </c>
      <c r="JDD101" t="s">
        <v>455</v>
      </c>
      <c r="JDE101" t="s">
        <v>455</v>
      </c>
      <c r="JDF101" t="s">
        <v>455</v>
      </c>
      <c r="JDG101" t="s">
        <v>455</v>
      </c>
      <c r="JDH101" t="s">
        <v>455</v>
      </c>
      <c r="JDI101" t="s">
        <v>455</v>
      </c>
      <c r="JDJ101" t="s">
        <v>455</v>
      </c>
      <c r="JDK101" t="s">
        <v>455</v>
      </c>
      <c r="JDL101" t="s">
        <v>455</v>
      </c>
      <c r="JDM101" t="s">
        <v>455</v>
      </c>
      <c r="JDN101" t="s">
        <v>455</v>
      </c>
      <c r="JDO101" t="s">
        <v>455</v>
      </c>
      <c r="JDP101" t="s">
        <v>455</v>
      </c>
      <c r="JDQ101" t="s">
        <v>455</v>
      </c>
      <c r="JDR101" t="s">
        <v>455</v>
      </c>
      <c r="JDS101" t="s">
        <v>455</v>
      </c>
      <c r="JDT101" t="s">
        <v>455</v>
      </c>
      <c r="JDU101" t="s">
        <v>455</v>
      </c>
      <c r="JDV101" t="s">
        <v>455</v>
      </c>
      <c r="JDW101" t="s">
        <v>455</v>
      </c>
      <c r="JDX101" t="s">
        <v>455</v>
      </c>
      <c r="JDY101" t="s">
        <v>455</v>
      </c>
      <c r="JDZ101" t="s">
        <v>455</v>
      </c>
      <c r="JEA101" t="s">
        <v>455</v>
      </c>
      <c r="JEB101" t="s">
        <v>455</v>
      </c>
      <c r="JEC101" t="s">
        <v>455</v>
      </c>
      <c r="JED101" t="s">
        <v>455</v>
      </c>
      <c r="JEE101" t="s">
        <v>455</v>
      </c>
      <c r="JEF101" t="s">
        <v>455</v>
      </c>
      <c r="JEG101" t="s">
        <v>455</v>
      </c>
      <c r="JEH101" t="s">
        <v>455</v>
      </c>
      <c r="JEI101" t="s">
        <v>455</v>
      </c>
      <c r="JEJ101" t="s">
        <v>455</v>
      </c>
      <c r="JEK101" t="s">
        <v>455</v>
      </c>
      <c r="JEL101" t="s">
        <v>455</v>
      </c>
      <c r="JEM101" t="s">
        <v>455</v>
      </c>
      <c r="JEN101" t="s">
        <v>455</v>
      </c>
      <c r="JEO101" t="s">
        <v>455</v>
      </c>
      <c r="JEP101" t="s">
        <v>455</v>
      </c>
      <c r="JEQ101" t="s">
        <v>455</v>
      </c>
      <c r="JER101" t="s">
        <v>455</v>
      </c>
      <c r="JES101" t="s">
        <v>455</v>
      </c>
      <c r="JET101" t="s">
        <v>455</v>
      </c>
      <c r="JEU101" t="s">
        <v>455</v>
      </c>
      <c r="JEV101" t="s">
        <v>455</v>
      </c>
      <c r="JEW101" t="s">
        <v>455</v>
      </c>
      <c r="JEX101" t="s">
        <v>455</v>
      </c>
      <c r="JEY101" t="s">
        <v>455</v>
      </c>
      <c r="JEZ101" t="s">
        <v>455</v>
      </c>
      <c r="JFA101" t="s">
        <v>455</v>
      </c>
      <c r="JFB101" t="s">
        <v>455</v>
      </c>
      <c r="JFC101" t="s">
        <v>455</v>
      </c>
      <c r="JFD101" t="s">
        <v>455</v>
      </c>
      <c r="JFE101" t="s">
        <v>455</v>
      </c>
      <c r="JFF101" t="s">
        <v>455</v>
      </c>
      <c r="JFG101" t="s">
        <v>455</v>
      </c>
      <c r="JFH101" t="s">
        <v>455</v>
      </c>
      <c r="JFI101" t="s">
        <v>455</v>
      </c>
      <c r="JFJ101" t="s">
        <v>455</v>
      </c>
      <c r="JFK101" t="s">
        <v>455</v>
      </c>
      <c r="JFL101" t="s">
        <v>455</v>
      </c>
      <c r="JFM101" t="s">
        <v>455</v>
      </c>
      <c r="JFN101" t="s">
        <v>455</v>
      </c>
      <c r="JFO101" t="s">
        <v>455</v>
      </c>
      <c r="JFP101" t="s">
        <v>455</v>
      </c>
      <c r="JFQ101" t="s">
        <v>455</v>
      </c>
      <c r="JFR101" t="s">
        <v>455</v>
      </c>
      <c r="JFS101" t="s">
        <v>455</v>
      </c>
      <c r="JFT101" t="s">
        <v>455</v>
      </c>
      <c r="JFU101" t="s">
        <v>455</v>
      </c>
      <c r="JFV101" t="s">
        <v>455</v>
      </c>
      <c r="JFW101" t="s">
        <v>455</v>
      </c>
      <c r="JFX101" t="s">
        <v>455</v>
      </c>
      <c r="JFY101" t="s">
        <v>455</v>
      </c>
      <c r="JFZ101" t="s">
        <v>455</v>
      </c>
      <c r="JGA101" t="s">
        <v>455</v>
      </c>
      <c r="JGB101" t="s">
        <v>455</v>
      </c>
      <c r="JGC101" t="s">
        <v>455</v>
      </c>
      <c r="JGD101" t="s">
        <v>455</v>
      </c>
      <c r="JGE101" t="s">
        <v>455</v>
      </c>
      <c r="JGF101" t="s">
        <v>455</v>
      </c>
      <c r="JGG101" t="s">
        <v>455</v>
      </c>
      <c r="JGH101" t="s">
        <v>455</v>
      </c>
      <c r="JGI101" t="s">
        <v>455</v>
      </c>
      <c r="JGJ101" t="s">
        <v>455</v>
      </c>
      <c r="JGK101" t="s">
        <v>455</v>
      </c>
      <c r="JGL101" t="s">
        <v>455</v>
      </c>
      <c r="JGM101" t="s">
        <v>455</v>
      </c>
      <c r="JGN101" t="s">
        <v>455</v>
      </c>
      <c r="JGO101" t="s">
        <v>455</v>
      </c>
      <c r="JGP101" t="s">
        <v>455</v>
      </c>
      <c r="JGQ101" t="s">
        <v>455</v>
      </c>
      <c r="JGR101" t="s">
        <v>455</v>
      </c>
      <c r="JGS101" t="s">
        <v>455</v>
      </c>
      <c r="JGT101" t="s">
        <v>455</v>
      </c>
      <c r="JGU101" t="s">
        <v>455</v>
      </c>
      <c r="JGV101" t="s">
        <v>455</v>
      </c>
      <c r="JGW101" t="s">
        <v>455</v>
      </c>
      <c r="JGX101" t="s">
        <v>455</v>
      </c>
      <c r="JGY101" t="s">
        <v>455</v>
      </c>
      <c r="JGZ101" t="s">
        <v>455</v>
      </c>
      <c r="JHA101" t="s">
        <v>455</v>
      </c>
      <c r="JHB101" t="s">
        <v>455</v>
      </c>
      <c r="JHC101" t="s">
        <v>455</v>
      </c>
      <c r="JHD101" t="s">
        <v>455</v>
      </c>
      <c r="JHE101" t="s">
        <v>455</v>
      </c>
      <c r="JHF101" t="s">
        <v>455</v>
      </c>
      <c r="JHG101" t="s">
        <v>455</v>
      </c>
      <c r="JHH101" t="s">
        <v>455</v>
      </c>
      <c r="JHI101" t="s">
        <v>455</v>
      </c>
      <c r="JHJ101" t="s">
        <v>455</v>
      </c>
      <c r="JHK101" t="s">
        <v>455</v>
      </c>
      <c r="JHL101" t="s">
        <v>455</v>
      </c>
      <c r="JHM101" t="s">
        <v>455</v>
      </c>
      <c r="JHN101" t="s">
        <v>455</v>
      </c>
      <c r="JHO101" t="s">
        <v>455</v>
      </c>
      <c r="JHP101" t="s">
        <v>455</v>
      </c>
      <c r="JHQ101" t="s">
        <v>455</v>
      </c>
      <c r="JHR101" t="s">
        <v>455</v>
      </c>
      <c r="JHS101" t="s">
        <v>455</v>
      </c>
      <c r="JHT101" t="s">
        <v>455</v>
      </c>
      <c r="JHU101" t="s">
        <v>455</v>
      </c>
      <c r="JHV101" t="s">
        <v>455</v>
      </c>
      <c r="JHW101" t="s">
        <v>455</v>
      </c>
      <c r="JHX101" t="s">
        <v>455</v>
      </c>
      <c r="JHY101" t="s">
        <v>455</v>
      </c>
      <c r="JHZ101" t="s">
        <v>455</v>
      </c>
      <c r="JIA101" t="s">
        <v>455</v>
      </c>
      <c r="JIB101" t="s">
        <v>455</v>
      </c>
      <c r="JIC101" t="s">
        <v>455</v>
      </c>
      <c r="JID101" t="s">
        <v>455</v>
      </c>
      <c r="JIE101" t="s">
        <v>455</v>
      </c>
      <c r="JIF101" t="s">
        <v>455</v>
      </c>
      <c r="JIG101" t="s">
        <v>455</v>
      </c>
      <c r="JIH101" t="s">
        <v>455</v>
      </c>
      <c r="JII101" t="s">
        <v>455</v>
      </c>
      <c r="JIJ101" t="s">
        <v>455</v>
      </c>
      <c r="JIK101" t="s">
        <v>455</v>
      </c>
      <c r="JIL101" t="s">
        <v>455</v>
      </c>
      <c r="JIM101" t="s">
        <v>455</v>
      </c>
      <c r="JIN101" t="s">
        <v>455</v>
      </c>
      <c r="JIO101" t="s">
        <v>455</v>
      </c>
      <c r="JIP101" t="s">
        <v>455</v>
      </c>
      <c r="JIQ101" t="s">
        <v>455</v>
      </c>
      <c r="JIR101" t="s">
        <v>455</v>
      </c>
      <c r="JIS101" t="s">
        <v>455</v>
      </c>
      <c r="JIT101" t="s">
        <v>455</v>
      </c>
      <c r="JIU101" t="s">
        <v>455</v>
      </c>
      <c r="JIV101" t="s">
        <v>455</v>
      </c>
      <c r="JIW101" t="s">
        <v>455</v>
      </c>
      <c r="JIX101" t="s">
        <v>455</v>
      </c>
      <c r="JIY101" t="s">
        <v>455</v>
      </c>
      <c r="JIZ101" t="s">
        <v>455</v>
      </c>
      <c r="JJA101" t="s">
        <v>455</v>
      </c>
      <c r="JJB101" t="s">
        <v>455</v>
      </c>
      <c r="JJC101" t="s">
        <v>455</v>
      </c>
      <c r="JJD101" t="s">
        <v>455</v>
      </c>
      <c r="JJE101" t="s">
        <v>455</v>
      </c>
      <c r="JJF101" t="s">
        <v>455</v>
      </c>
      <c r="JJG101" t="s">
        <v>455</v>
      </c>
      <c r="JJH101" t="s">
        <v>455</v>
      </c>
      <c r="JJI101" t="s">
        <v>455</v>
      </c>
      <c r="JJJ101" t="s">
        <v>455</v>
      </c>
      <c r="JJK101" t="s">
        <v>455</v>
      </c>
      <c r="JJL101" t="s">
        <v>455</v>
      </c>
      <c r="JJM101" t="s">
        <v>455</v>
      </c>
      <c r="JJN101" t="s">
        <v>455</v>
      </c>
      <c r="JJO101" t="s">
        <v>455</v>
      </c>
      <c r="JJP101" t="s">
        <v>455</v>
      </c>
      <c r="JJQ101" t="s">
        <v>455</v>
      </c>
      <c r="JJR101" t="s">
        <v>455</v>
      </c>
      <c r="JJS101" t="s">
        <v>455</v>
      </c>
      <c r="JJT101" t="s">
        <v>455</v>
      </c>
      <c r="JJU101" t="s">
        <v>455</v>
      </c>
      <c r="JJV101" t="s">
        <v>455</v>
      </c>
      <c r="JJW101" t="s">
        <v>455</v>
      </c>
      <c r="JJX101" t="s">
        <v>455</v>
      </c>
      <c r="JJY101" t="s">
        <v>455</v>
      </c>
      <c r="JJZ101" t="s">
        <v>455</v>
      </c>
      <c r="JKA101" t="s">
        <v>455</v>
      </c>
      <c r="JKB101" t="s">
        <v>455</v>
      </c>
      <c r="JKC101" t="s">
        <v>455</v>
      </c>
      <c r="JKD101" t="s">
        <v>455</v>
      </c>
      <c r="JKE101" t="s">
        <v>455</v>
      </c>
      <c r="JKF101" t="s">
        <v>455</v>
      </c>
      <c r="JKG101" t="s">
        <v>455</v>
      </c>
      <c r="JKH101" t="s">
        <v>455</v>
      </c>
      <c r="JKI101" t="s">
        <v>455</v>
      </c>
      <c r="JKJ101" t="s">
        <v>455</v>
      </c>
      <c r="JKK101" t="s">
        <v>455</v>
      </c>
      <c r="JKL101" t="s">
        <v>455</v>
      </c>
      <c r="JKM101" t="s">
        <v>455</v>
      </c>
      <c r="JKN101" t="s">
        <v>455</v>
      </c>
      <c r="JKO101" t="s">
        <v>455</v>
      </c>
      <c r="JKP101" t="s">
        <v>455</v>
      </c>
      <c r="JKQ101" t="s">
        <v>455</v>
      </c>
      <c r="JKR101" t="s">
        <v>455</v>
      </c>
      <c r="JKS101" t="s">
        <v>455</v>
      </c>
      <c r="JKT101" t="s">
        <v>455</v>
      </c>
      <c r="JKU101" t="s">
        <v>455</v>
      </c>
      <c r="JKV101" t="s">
        <v>455</v>
      </c>
      <c r="JKW101" t="s">
        <v>455</v>
      </c>
      <c r="JKX101" t="s">
        <v>455</v>
      </c>
      <c r="JKY101" t="s">
        <v>455</v>
      </c>
      <c r="JKZ101" t="s">
        <v>455</v>
      </c>
      <c r="JLA101" t="s">
        <v>455</v>
      </c>
      <c r="JLB101" t="s">
        <v>455</v>
      </c>
      <c r="JLC101" t="s">
        <v>455</v>
      </c>
      <c r="JLD101" t="s">
        <v>455</v>
      </c>
      <c r="JLE101" t="s">
        <v>455</v>
      </c>
      <c r="JLF101" t="s">
        <v>455</v>
      </c>
      <c r="JLG101" t="s">
        <v>455</v>
      </c>
      <c r="JLH101" t="s">
        <v>455</v>
      </c>
      <c r="JLI101" t="s">
        <v>455</v>
      </c>
      <c r="JLJ101" t="s">
        <v>455</v>
      </c>
      <c r="JLK101" t="s">
        <v>455</v>
      </c>
      <c r="JLL101" t="s">
        <v>455</v>
      </c>
      <c r="JLM101" t="s">
        <v>455</v>
      </c>
      <c r="JLN101" t="s">
        <v>455</v>
      </c>
      <c r="JLO101" t="s">
        <v>455</v>
      </c>
      <c r="JLP101" t="s">
        <v>455</v>
      </c>
      <c r="JLQ101" t="s">
        <v>455</v>
      </c>
      <c r="JLR101" t="s">
        <v>455</v>
      </c>
      <c r="JLS101" t="s">
        <v>455</v>
      </c>
      <c r="JLT101" t="s">
        <v>455</v>
      </c>
      <c r="JLU101" t="s">
        <v>455</v>
      </c>
      <c r="JLV101" t="s">
        <v>455</v>
      </c>
      <c r="JLW101" t="s">
        <v>455</v>
      </c>
      <c r="JLX101" t="s">
        <v>455</v>
      </c>
      <c r="JLY101" t="s">
        <v>455</v>
      </c>
      <c r="JLZ101" t="s">
        <v>455</v>
      </c>
      <c r="JMA101" t="s">
        <v>455</v>
      </c>
      <c r="JMB101" t="s">
        <v>455</v>
      </c>
      <c r="JMC101" t="s">
        <v>455</v>
      </c>
      <c r="JMD101" t="s">
        <v>455</v>
      </c>
      <c r="JME101" t="s">
        <v>455</v>
      </c>
      <c r="JMF101" t="s">
        <v>455</v>
      </c>
      <c r="JMG101" t="s">
        <v>455</v>
      </c>
      <c r="JMH101" t="s">
        <v>455</v>
      </c>
      <c r="JMI101" t="s">
        <v>455</v>
      </c>
      <c r="JMJ101" t="s">
        <v>455</v>
      </c>
      <c r="JMK101" t="s">
        <v>455</v>
      </c>
      <c r="JML101" t="s">
        <v>455</v>
      </c>
      <c r="JMM101" t="s">
        <v>455</v>
      </c>
      <c r="JMN101" t="s">
        <v>455</v>
      </c>
      <c r="JMO101" t="s">
        <v>455</v>
      </c>
      <c r="JMP101" t="s">
        <v>455</v>
      </c>
      <c r="JMQ101" t="s">
        <v>455</v>
      </c>
      <c r="JMR101" t="s">
        <v>455</v>
      </c>
      <c r="JMS101" t="s">
        <v>455</v>
      </c>
      <c r="JMT101" t="s">
        <v>455</v>
      </c>
      <c r="JMU101" t="s">
        <v>455</v>
      </c>
      <c r="JMV101" t="s">
        <v>455</v>
      </c>
      <c r="JMW101" t="s">
        <v>455</v>
      </c>
      <c r="JMX101" t="s">
        <v>455</v>
      </c>
      <c r="JMY101" t="s">
        <v>455</v>
      </c>
      <c r="JMZ101" t="s">
        <v>455</v>
      </c>
      <c r="JNA101" t="s">
        <v>455</v>
      </c>
      <c r="JNB101" t="s">
        <v>455</v>
      </c>
      <c r="JNC101" t="s">
        <v>455</v>
      </c>
      <c r="JND101" t="s">
        <v>455</v>
      </c>
      <c r="JNE101" t="s">
        <v>455</v>
      </c>
      <c r="JNF101" t="s">
        <v>455</v>
      </c>
      <c r="JNG101" t="s">
        <v>455</v>
      </c>
      <c r="JNH101" t="s">
        <v>455</v>
      </c>
      <c r="JNI101" t="s">
        <v>455</v>
      </c>
      <c r="JNJ101" t="s">
        <v>455</v>
      </c>
      <c r="JNK101" t="s">
        <v>455</v>
      </c>
      <c r="JNL101" t="s">
        <v>455</v>
      </c>
      <c r="JNM101" t="s">
        <v>455</v>
      </c>
      <c r="JNN101" t="s">
        <v>455</v>
      </c>
      <c r="JNO101" t="s">
        <v>455</v>
      </c>
      <c r="JNP101" t="s">
        <v>455</v>
      </c>
      <c r="JNQ101" t="s">
        <v>455</v>
      </c>
      <c r="JNR101" t="s">
        <v>455</v>
      </c>
      <c r="JNS101" t="s">
        <v>455</v>
      </c>
      <c r="JNT101" t="s">
        <v>455</v>
      </c>
      <c r="JNU101" t="s">
        <v>455</v>
      </c>
      <c r="JNV101" t="s">
        <v>455</v>
      </c>
      <c r="JNW101" t="s">
        <v>455</v>
      </c>
      <c r="JNX101" t="s">
        <v>455</v>
      </c>
      <c r="JNY101" t="s">
        <v>455</v>
      </c>
      <c r="JNZ101" t="s">
        <v>455</v>
      </c>
      <c r="JOA101" t="s">
        <v>455</v>
      </c>
      <c r="JOB101" t="s">
        <v>455</v>
      </c>
      <c r="JOC101" t="s">
        <v>455</v>
      </c>
      <c r="JOD101" t="s">
        <v>455</v>
      </c>
      <c r="JOE101" t="s">
        <v>455</v>
      </c>
      <c r="JOF101" t="s">
        <v>455</v>
      </c>
      <c r="JOG101" t="s">
        <v>455</v>
      </c>
      <c r="JOH101" t="s">
        <v>455</v>
      </c>
      <c r="JOI101" t="s">
        <v>455</v>
      </c>
      <c r="JOJ101" t="s">
        <v>455</v>
      </c>
      <c r="JOK101" t="s">
        <v>455</v>
      </c>
      <c r="JOL101" t="s">
        <v>455</v>
      </c>
      <c r="JOM101" t="s">
        <v>455</v>
      </c>
      <c r="JON101" t="s">
        <v>455</v>
      </c>
      <c r="JOO101" t="s">
        <v>455</v>
      </c>
      <c r="JOP101" t="s">
        <v>455</v>
      </c>
      <c r="JOQ101" t="s">
        <v>455</v>
      </c>
      <c r="JOR101" t="s">
        <v>455</v>
      </c>
      <c r="JOS101" t="s">
        <v>455</v>
      </c>
      <c r="JOT101" t="s">
        <v>455</v>
      </c>
      <c r="JOU101" t="s">
        <v>455</v>
      </c>
      <c r="JOV101" t="s">
        <v>455</v>
      </c>
      <c r="JOW101" t="s">
        <v>455</v>
      </c>
      <c r="JOX101" t="s">
        <v>455</v>
      </c>
      <c r="JOY101" t="s">
        <v>455</v>
      </c>
      <c r="JOZ101" t="s">
        <v>455</v>
      </c>
      <c r="JPA101" t="s">
        <v>455</v>
      </c>
      <c r="JPB101" t="s">
        <v>455</v>
      </c>
      <c r="JPC101" t="s">
        <v>455</v>
      </c>
      <c r="JPD101" t="s">
        <v>455</v>
      </c>
      <c r="JPE101" t="s">
        <v>455</v>
      </c>
      <c r="JPF101" t="s">
        <v>455</v>
      </c>
      <c r="JPG101" t="s">
        <v>455</v>
      </c>
      <c r="JPH101" t="s">
        <v>455</v>
      </c>
      <c r="JPI101" t="s">
        <v>455</v>
      </c>
      <c r="JPJ101" t="s">
        <v>455</v>
      </c>
      <c r="JPK101" t="s">
        <v>455</v>
      </c>
      <c r="JPL101" t="s">
        <v>455</v>
      </c>
      <c r="JPM101" t="s">
        <v>455</v>
      </c>
      <c r="JPN101" t="s">
        <v>455</v>
      </c>
      <c r="JPO101" t="s">
        <v>455</v>
      </c>
      <c r="JPP101" t="s">
        <v>455</v>
      </c>
      <c r="JPQ101" t="s">
        <v>455</v>
      </c>
      <c r="JPR101" t="s">
        <v>455</v>
      </c>
      <c r="JPS101" t="s">
        <v>455</v>
      </c>
      <c r="JPT101" t="s">
        <v>455</v>
      </c>
      <c r="JPU101" t="s">
        <v>455</v>
      </c>
      <c r="JPV101" t="s">
        <v>455</v>
      </c>
      <c r="JPW101" t="s">
        <v>455</v>
      </c>
      <c r="JPX101" t="s">
        <v>455</v>
      </c>
      <c r="JPY101" t="s">
        <v>455</v>
      </c>
      <c r="JPZ101" t="s">
        <v>455</v>
      </c>
      <c r="JQA101" t="s">
        <v>455</v>
      </c>
      <c r="JQB101" t="s">
        <v>455</v>
      </c>
      <c r="JQC101" t="s">
        <v>455</v>
      </c>
      <c r="JQD101" t="s">
        <v>455</v>
      </c>
      <c r="JQE101" t="s">
        <v>455</v>
      </c>
      <c r="JQF101" t="s">
        <v>455</v>
      </c>
      <c r="JQG101" t="s">
        <v>455</v>
      </c>
      <c r="JQH101" t="s">
        <v>455</v>
      </c>
      <c r="JQI101" t="s">
        <v>455</v>
      </c>
      <c r="JQJ101" t="s">
        <v>455</v>
      </c>
      <c r="JQK101" t="s">
        <v>455</v>
      </c>
      <c r="JQL101" t="s">
        <v>455</v>
      </c>
      <c r="JQM101" t="s">
        <v>455</v>
      </c>
      <c r="JQN101" t="s">
        <v>455</v>
      </c>
      <c r="JQO101" t="s">
        <v>455</v>
      </c>
      <c r="JQP101" t="s">
        <v>455</v>
      </c>
      <c r="JQQ101" t="s">
        <v>455</v>
      </c>
      <c r="JQR101" t="s">
        <v>455</v>
      </c>
      <c r="JQS101" t="s">
        <v>455</v>
      </c>
      <c r="JQT101" t="s">
        <v>455</v>
      </c>
      <c r="JQU101" t="s">
        <v>455</v>
      </c>
      <c r="JQV101" t="s">
        <v>455</v>
      </c>
      <c r="JQW101" t="s">
        <v>455</v>
      </c>
      <c r="JQX101" t="s">
        <v>455</v>
      </c>
      <c r="JQY101" t="s">
        <v>455</v>
      </c>
      <c r="JQZ101" t="s">
        <v>455</v>
      </c>
      <c r="JRA101" t="s">
        <v>455</v>
      </c>
      <c r="JRB101" t="s">
        <v>455</v>
      </c>
      <c r="JRC101" t="s">
        <v>455</v>
      </c>
      <c r="JRD101" t="s">
        <v>455</v>
      </c>
      <c r="JRE101" t="s">
        <v>455</v>
      </c>
      <c r="JRF101" t="s">
        <v>455</v>
      </c>
      <c r="JRG101" t="s">
        <v>455</v>
      </c>
      <c r="JRH101" t="s">
        <v>455</v>
      </c>
      <c r="JRI101" t="s">
        <v>455</v>
      </c>
      <c r="JRJ101" t="s">
        <v>455</v>
      </c>
      <c r="JRK101" t="s">
        <v>455</v>
      </c>
      <c r="JRL101" t="s">
        <v>455</v>
      </c>
      <c r="JRM101" t="s">
        <v>455</v>
      </c>
      <c r="JRN101" t="s">
        <v>455</v>
      </c>
      <c r="JRO101" t="s">
        <v>455</v>
      </c>
      <c r="JRP101" t="s">
        <v>455</v>
      </c>
      <c r="JRQ101" t="s">
        <v>455</v>
      </c>
      <c r="JRR101" t="s">
        <v>455</v>
      </c>
      <c r="JRS101" t="s">
        <v>455</v>
      </c>
      <c r="JRT101" t="s">
        <v>455</v>
      </c>
      <c r="JRU101" t="s">
        <v>455</v>
      </c>
      <c r="JRV101" t="s">
        <v>455</v>
      </c>
      <c r="JRW101" t="s">
        <v>455</v>
      </c>
      <c r="JRX101" t="s">
        <v>455</v>
      </c>
      <c r="JRY101" t="s">
        <v>455</v>
      </c>
      <c r="JRZ101" t="s">
        <v>455</v>
      </c>
      <c r="JSA101" t="s">
        <v>455</v>
      </c>
      <c r="JSB101" t="s">
        <v>455</v>
      </c>
      <c r="JSC101" t="s">
        <v>455</v>
      </c>
      <c r="JSD101" t="s">
        <v>455</v>
      </c>
      <c r="JSE101" t="s">
        <v>455</v>
      </c>
      <c r="JSF101" t="s">
        <v>455</v>
      </c>
      <c r="JSG101" t="s">
        <v>455</v>
      </c>
      <c r="JSH101" t="s">
        <v>455</v>
      </c>
      <c r="JSI101" t="s">
        <v>455</v>
      </c>
      <c r="JSJ101" t="s">
        <v>455</v>
      </c>
      <c r="JSK101" t="s">
        <v>455</v>
      </c>
      <c r="JSL101" t="s">
        <v>455</v>
      </c>
      <c r="JSM101" t="s">
        <v>455</v>
      </c>
      <c r="JSN101" t="s">
        <v>455</v>
      </c>
      <c r="JSO101" t="s">
        <v>455</v>
      </c>
      <c r="JSP101" t="s">
        <v>455</v>
      </c>
      <c r="JSQ101" t="s">
        <v>455</v>
      </c>
      <c r="JSR101" t="s">
        <v>455</v>
      </c>
      <c r="JSS101" t="s">
        <v>455</v>
      </c>
      <c r="JST101" t="s">
        <v>455</v>
      </c>
      <c r="JSU101" t="s">
        <v>455</v>
      </c>
      <c r="JSV101" t="s">
        <v>455</v>
      </c>
      <c r="JSW101" t="s">
        <v>455</v>
      </c>
      <c r="JSX101" t="s">
        <v>455</v>
      </c>
      <c r="JSY101" t="s">
        <v>455</v>
      </c>
      <c r="JSZ101" t="s">
        <v>455</v>
      </c>
      <c r="JTA101" t="s">
        <v>455</v>
      </c>
      <c r="JTB101" t="s">
        <v>455</v>
      </c>
      <c r="JTC101" t="s">
        <v>455</v>
      </c>
      <c r="JTD101" t="s">
        <v>455</v>
      </c>
      <c r="JTE101" t="s">
        <v>455</v>
      </c>
      <c r="JTF101" t="s">
        <v>455</v>
      </c>
      <c r="JTG101" t="s">
        <v>455</v>
      </c>
      <c r="JTH101" t="s">
        <v>455</v>
      </c>
      <c r="JTI101" t="s">
        <v>455</v>
      </c>
      <c r="JTJ101" t="s">
        <v>455</v>
      </c>
      <c r="JTK101" t="s">
        <v>455</v>
      </c>
      <c r="JTL101" t="s">
        <v>455</v>
      </c>
      <c r="JTM101" t="s">
        <v>455</v>
      </c>
      <c r="JTN101" t="s">
        <v>455</v>
      </c>
      <c r="JTO101" t="s">
        <v>455</v>
      </c>
      <c r="JTP101" t="s">
        <v>455</v>
      </c>
      <c r="JTQ101" t="s">
        <v>455</v>
      </c>
      <c r="JTR101" t="s">
        <v>455</v>
      </c>
      <c r="JTS101" t="s">
        <v>455</v>
      </c>
      <c r="JTT101" t="s">
        <v>455</v>
      </c>
      <c r="JTU101" t="s">
        <v>455</v>
      </c>
      <c r="JTV101" t="s">
        <v>455</v>
      </c>
      <c r="JTW101" t="s">
        <v>455</v>
      </c>
      <c r="JTX101" t="s">
        <v>455</v>
      </c>
      <c r="JTY101" t="s">
        <v>455</v>
      </c>
      <c r="JTZ101" t="s">
        <v>455</v>
      </c>
      <c r="JUA101" t="s">
        <v>455</v>
      </c>
      <c r="JUB101" t="s">
        <v>455</v>
      </c>
      <c r="JUC101" t="s">
        <v>455</v>
      </c>
      <c r="JUD101" t="s">
        <v>455</v>
      </c>
      <c r="JUE101" t="s">
        <v>455</v>
      </c>
      <c r="JUF101" t="s">
        <v>455</v>
      </c>
      <c r="JUG101" t="s">
        <v>455</v>
      </c>
      <c r="JUH101" t="s">
        <v>455</v>
      </c>
      <c r="JUI101" t="s">
        <v>455</v>
      </c>
      <c r="JUJ101" t="s">
        <v>455</v>
      </c>
      <c r="JUK101" t="s">
        <v>455</v>
      </c>
      <c r="JUL101" t="s">
        <v>455</v>
      </c>
      <c r="JUM101" t="s">
        <v>455</v>
      </c>
      <c r="JUN101" t="s">
        <v>455</v>
      </c>
      <c r="JUO101" t="s">
        <v>455</v>
      </c>
      <c r="JUP101" t="s">
        <v>455</v>
      </c>
      <c r="JUQ101" t="s">
        <v>455</v>
      </c>
      <c r="JUR101" t="s">
        <v>455</v>
      </c>
      <c r="JUS101" t="s">
        <v>455</v>
      </c>
      <c r="JUT101" t="s">
        <v>455</v>
      </c>
      <c r="JUU101" t="s">
        <v>455</v>
      </c>
      <c r="JUV101" t="s">
        <v>455</v>
      </c>
      <c r="JUW101" t="s">
        <v>455</v>
      </c>
      <c r="JUX101" t="s">
        <v>455</v>
      </c>
      <c r="JUY101" t="s">
        <v>455</v>
      </c>
      <c r="JUZ101" t="s">
        <v>455</v>
      </c>
      <c r="JVA101" t="s">
        <v>455</v>
      </c>
      <c r="JVB101" t="s">
        <v>455</v>
      </c>
      <c r="JVC101" t="s">
        <v>455</v>
      </c>
      <c r="JVD101" t="s">
        <v>455</v>
      </c>
      <c r="JVE101" t="s">
        <v>455</v>
      </c>
      <c r="JVF101" t="s">
        <v>455</v>
      </c>
      <c r="JVG101" t="s">
        <v>455</v>
      </c>
      <c r="JVH101" t="s">
        <v>455</v>
      </c>
      <c r="JVI101" t="s">
        <v>455</v>
      </c>
      <c r="JVJ101" t="s">
        <v>455</v>
      </c>
      <c r="JVK101" t="s">
        <v>455</v>
      </c>
      <c r="JVL101" t="s">
        <v>455</v>
      </c>
      <c r="JVM101" t="s">
        <v>455</v>
      </c>
      <c r="JVN101" t="s">
        <v>455</v>
      </c>
      <c r="JVO101" t="s">
        <v>455</v>
      </c>
      <c r="JVP101" t="s">
        <v>455</v>
      </c>
      <c r="JVQ101" t="s">
        <v>455</v>
      </c>
      <c r="JVR101" t="s">
        <v>455</v>
      </c>
      <c r="JVS101" t="s">
        <v>455</v>
      </c>
      <c r="JVT101" t="s">
        <v>455</v>
      </c>
      <c r="JVU101" t="s">
        <v>455</v>
      </c>
      <c r="JVV101" t="s">
        <v>455</v>
      </c>
      <c r="JVW101" t="s">
        <v>455</v>
      </c>
      <c r="JVX101" t="s">
        <v>455</v>
      </c>
      <c r="JVY101" t="s">
        <v>455</v>
      </c>
      <c r="JVZ101" t="s">
        <v>455</v>
      </c>
      <c r="JWA101" t="s">
        <v>455</v>
      </c>
      <c r="JWB101" t="s">
        <v>455</v>
      </c>
      <c r="JWC101" t="s">
        <v>455</v>
      </c>
      <c r="JWD101" t="s">
        <v>455</v>
      </c>
      <c r="JWE101" t="s">
        <v>455</v>
      </c>
      <c r="JWF101" t="s">
        <v>455</v>
      </c>
      <c r="JWG101" t="s">
        <v>455</v>
      </c>
      <c r="JWH101" t="s">
        <v>455</v>
      </c>
      <c r="JWI101" t="s">
        <v>455</v>
      </c>
      <c r="JWJ101" t="s">
        <v>455</v>
      </c>
      <c r="JWK101" t="s">
        <v>455</v>
      </c>
      <c r="JWL101" t="s">
        <v>455</v>
      </c>
      <c r="JWM101" t="s">
        <v>455</v>
      </c>
      <c r="JWN101" t="s">
        <v>455</v>
      </c>
      <c r="JWO101" t="s">
        <v>455</v>
      </c>
      <c r="JWP101" t="s">
        <v>455</v>
      </c>
      <c r="JWQ101" t="s">
        <v>455</v>
      </c>
      <c r="JWR101" t="s">
        <v>455</v>
      </c>
      <c r="JWS101" t="s">
        <v>455</v>
      </c>
      <c r="JWT101" t="s">
        <v>455</v>
      </c>
      <c r="JWU101" t="s">
        <v>455</v>
      </c>
      <c r="JWV101" t="s">
        <v>455</v>
      </c>
      <c r="JWW101" t="s">
        <v>455</v>
      </c>
      <c r="JWX101" t="s">
        <v>455</v>
      </c>
      <c r="JWY101" t="s">
        <v>455</v>
      </c>
      <c r="JWZ101" t="s">
        <v>455</v>
      </c>
      <c r="JXA101" t="s">
        <v>455</v>
      </c>
      <c r="JXB101" t="s">
        <v>455</v>
      </c>
      <c r="JXC101" t="s">
        <v>455</v>
      </c>
      <c r="JXD101" t="s">
        <v>455</v>
      </c>
      <c r="JXE101" t="s">
        <v>455</v>
      </c>
      <c r="JXF101" t="s">
        <v>455</v>
      </c>
      <c r="JXG101" t="s">
        <v>455</v>
      </c>
      <c r="JXH101" t="s">
        <v>455</v>
      </c>
      <c r="JXI101" t="s">
        <v>455</v>
      </c>
      <c r="JXJ101" t="s">
        <v>455</v>
      </c>
      <c r="JXK101" t="s">
        <v>455</v>
      </c>
      <c r="JXL101" t="s">
        <v>455</v>
      </c>
      <c r="JXM101" t="s">
        <v>455</v>
      </c>
      <c r="JXN101" t="s">
        <v>455</v>
      </c>
      <c r="JXO101" t="s">
        <v>455</v>
      </c>
      <c r="JXP101" t="s">
        <v>455</v>
      </c>
      <c r="JXQ101" t="s">
        <v>455</v>
      </c>
      <c r="JXR101" t="s">
        <v>455</v>
      </c>
      <c r="JXS101" t="s">
        <v>455</v>
      </c>
      <c r="JXT101" t="s">
        <v>455</v>
      </c>
      <c r="JXU101" t="s">
        <v>455</v>
      </c>
      <c r="JXV101" t="s">
        <v>455</v>
      </c>
      <c r="JXW101" t="s">
        <v>455</v>
      </c>
      <c r="JXX101" t="s">
        <v>455</v>
      </c>
      <c r="JXY101" t="s">
        <v>455</v>
      </c>
      <c r="JXZ101" t="s">
        <v>455</v>
      </c>
      <c r="JYA101" t="s">
        <v>455</v>
      </c>
      <c r="JYB101" t="s">
        <v>455</v>
      </c>
      <c r="JYC101" t="s">
        <v>455</v>
      </c>
      <c r="JYD101" t="s">
        <v>455</v>
      </c>
      <c r="JYE101" t="s">
        <v>455</v>
      </c>
      <c r="JYF101" t="s">
        <v>455</v>
      </c>
      <c r="JYG101" t="s">
        <v>455</v>
      </c>
      <c r="JYH101" t="s">
        <v>455</v>
      </c>
      <c r="JYI101" t="s">
        <v>455</v>
      </c>
      <c r="JYJ101" t="s">
        <v>455</v>
      </c>
      <c r="JYK101" t="s">
        <v>455</v>
      </c>
      <c r="JYL101" t="s">
        <v>455</v>
      </c>
      <c r="JYM101" t="s">
        <v>455</v>
      </c>
      <c r="JYN101" t="s">
        <v>455</v>
      </c>
      <c r="JYO101" t="s">
        <v>455</v>
      </c>
      <c r="JYP101" t="s">
        <v>455</v>
      </c>
      <c r="JYQ101" t="s">
        <v>455</v>
      </c>
      <c r="JYR101" t="s">
        <v>455</v>
      </c>
      <c r="JYS101" t="s">
        <v>455</v>
      </c>
      <c r="JYT101" t="s">
        <v>455</v>
      </c>
      <c r="JYU101" t="s">
        <v>455</v>
      </c>
      <c r="JYV101" t="s">
        <v>455</v>
      </c>
      <c r="JYW101" t="s">
        <v>455</v>
      </c>
      <c r="JYX101" t="s">
        <v>455</v>
      </c>
      <c r="JYY101" t="s">
        <v>455</v>
      </c>
      <c r="JYZ101" t="s">
        <v>455</v>
      </c>
      <c r="JZA101" t="s">
        <v>455</v>
      </c>
      <c r="JZB101" t="s">
        <v>455</v>
      </c>
      <c r="JZC101" t="s">
        <v>455</v>
      </c>
      <c r="JZD101" t="s">
        <v>455</v>
      </c>
      <c r="JZE101" t="s">
        <v>455</v>
      </c>
      <c r="JZF101" t="s">
        <v>455</v>
      </c>
      <c r="JZG101" t="s">
        <v>455</v>
      </c>
      <c r="JZH101" t="s">
        <v>455</v>
      </c>
      <c r="JZI101" t="s">
        <v>455</v>
      </c>
      <c r="JZJ101" t="s">
        <v>455</v>
      </c>
      <c r="JZK101" t="s">
        <v>455</v>
      </c>
      <c r="JZL101" t="s">
        <v>455</v>
      </c>
      <c r="JZM101" t="s">
        <v>455</v>
      </c>
      <c r="JZN101" t="s">
        <v>455</v>
      </c>
      <c r="JZO101" t="s">
        <v>455</v>
      </c>
      <c r="JZP101" t="s">
        <v>455</v>
      </c>
      <c r="JZQ101" t="s">
        <v>455</v>
      </c>
      <c r="JZR101" t="s">
        <v>455</v>
      </c>
      <c r="JZS101" t="s">
        <v>455</v>
      </c>
      <c r="JZT101" t="s">
        <v>455</v>
      </c>
      <c r="JZU101" t="s">
        <v>455</v>
      </c>
      <c r="JZV101" t="s">
        <v>455</v>
      </c>
      <c r="JZW101" t="s">
        <v>455</v>
      </c>
      <c r="JZX101" t="s">
        <v>455</v>
      </c>
      <c r="JZY101" t="s">
        <v>455</v>
      </c>
      <c r="JZZ101" t="s">
        <v>455</v>
      </c>
      <c r="KAA101" t="s">
        <v>455</v>
      </c>
      <c r="KAB101" t="s">
        <v>455</v>
      </c>
      <c r="KAC101" t="s">
        <v>455</v>
      </c>
      <c r="KAD101" t="s">
        <v>455</v>
      </c>
      <c r="KAE101" t="s">
        <v>455</v>
      </c>
      <c r="KAF101" t="s">
        <v>455</v>
      </c>
      <c r="KAG101" t="s">
        <v>455</v>
      </c>
      <c r="KAH101" t="s">
        <v>455</v>
      </c>
      <c r="KAI101" t="s">
        <v>455</v>
      </c>
      <c r="KAJ101" t="s">
        <v>455</v>
      </c>
      <c r="KAK101" t="s">
        <v>455</v>
      </c>
      <c r="KAL101" t="s">
        <v>455</v>
      </c>
      <c r="KAM101" t="s">
        <v>455</v>
      </c>
      <c r="KAN101" t="s">
        <v>455</v>
      </c>
      <c r="KAO101" t="s">
        <v>455</v>
      </c>
      <c r="KAP101" t="s">
        <v>455</v>
      </c>
      <c r="KAQ101" t="s">
        <v>455</v>
      </c>
      <c r="KAR101" t="s">
        <v>455</v>
      </c>
      <c r="KAS101" t="s">
        <v>455</v>
      </c>
      <c r="KAT101" t="s">
        <v>455</v>
      </c>
      <c r="KAU101" t="s">
        <v>455</v>
      </c>
      <c r="KAV101" t="s">
        <v>455</v>
      </c>
      <c r="KAW101" t="s">
        <v>455</v>
      </c>
      <c r="KAX101" t="s">
        <v>455</v>
      </c>
      <c r="KAY101" t="s">
        <v>455</v>
      </c>
      <c r="KAZ101" t="s">
        <v>455</v>
      </c>
      <c r="KBA101" t="s">
        <v>455</v>
      </c>
      <c r="KBB101" t="s">
        <v>455</v>
      </c>
      <c r="KBC101" t="s">
        <v>455</v>
      </c>
      <c r="KBD101" t="s">
        <v>455</v>
      </c>
      <c r="KBE101" t="s">
        <v>455</v>
      </c>
      <c r="KBF101" t="s">
        <v>455</v>
      </c>
      <c r="KBG101" t="s">
        <v>455</v>
      </c>
      <c r="KBH101" t="s">
        <v>455</v>
      </c>
      <c r="KBI101" t="s">
        <v>455</v>
      </c>
      <c r="KBJ101" t="s">
        <v>455</v>
      </c>
      <c r="KBK101" t="s">
        <v>455</v>
      </c>
      <c r="KBL101" t="s">
        <v>455</v>
      </c>
      <c r="KBM101" t="s">
        <v>455</v>
      </c>
      <c r="KBN101" t="s">
        <v>455</v>
      </c>
      <c r="KBO101" t="s">
        <v>455</v>
      </c>
      <c r="KBP101" t="s">
        <v>455</v>
      </c>
      <c r="KBQ101" t="s">
        <v>455</v>
      </c>
      <c r="KBR101" t="s">
        <v>455</v>
      </c>
      <c r="KBS101" t="s">
        <v>455</v>
      </c>
      <c r="KBT101" t="s">
        <v>455</v>
      </c>
      <c r="KBU101" t="s">
        <v>455</v>
      </c>
      <c r="KBV101" t="s">
        <v>455</v>
      </c>
      <c r="KBW101" t="s">
        <v>455</v>
      </c>
      <c r="KBX101" t="s">
        <v>455</v>
      </c>
      <c r="KBY101" t="s">
        <v>455</v>
      </c>
      <c r="KBZ101" t="s">
        <v>455</v>
      </c>
      <c r="KCA101" t="s">
        <v>455</v>
      </c>
      <c r="KCB101" t="s">
        <v>455</v>
      </c>
      <c r="KCC101" t="s">
        <v>455</v>
      </c>
      <c r="KCD101" t="s">
        <v>455</v>
      </c>
      <c r="KCE101" t="s">
        <v>455</v>
      </c>
      <c r="KCF101" t="s">
        <v>455</v>
      </c>
      <c r="KCG101" t="s">
        <v>455</v>
      </c>
      <c r="KCH101" t="s">
        <v>455</v>
      </c>
      <c r="KCI101" t="s">
        <v>455</v>
      </c>
      <c r="KCJ101" t="s">
        <v>455</v>
      </c>
      <c r="KCK101" t="s">
        <v>455</v>
      </c>
      <c r="KCL101" t="s">
        <v>455</v>
      </c>
      <c r="KCM101" t="s">
        <v>455</v>
      </c>
      <c r="KCN101" t="s">
        <v>455</v>
      </c>
      <c r="KCO101" t="s">
        <v>455</v>
      </c>
      <c r="KCP101" t="s">
        <v>455</v>
      </c>
      <c r="KCQ101" t="s">
        <v>455</v>
      </c>
      <c r="KCR101" t="s">
        <v>455</v>
      </c>
      <c r="KCS101" t="s">
        <v>455</v>
      </c>
      <c r="KCT101" t="s">
        <v>455</v>
      </c>
      <c r="KCU101" t="s">
        <v>455</v>
      </c>
      <c r="KCV101" t="s">
        <v>455</v>
      </c>
      <c r="KCW101" t="s">
        <v>455</v>
      </c>
      <c r="KCX101" t="s">
        <v>455</v>
      </c>
      <c r="KCY101" t="s">
        <v>455</v>
      </c>
      <c r="KCZ101" t="s">
        <v>455</v>
      </c>
      <c r="KDA101" t="s">
        <v>455</v>
      </c>
      <c r="KDB101" t="s">
        <v>455</v>
      </c>
      <c r="KDC101" t="s">
        <v>455</v>
      </c>
      <c r="KDD101" t="s">
        <v>455</v>
      </c>
      <c r="KDE101" t="s">
        <v>455</v>
      </c>
      <c r="KDF101" t="s">
        <v>455</v>
      </c>
      <c r="KDG101" t="s">
        <v>455</v>
      </c>
      <c r="KDH101" t="s">
        <v>455</v>
      </c>
      <c r="KDI101" t="s">
        <v>455</v>
      </c>
      <c r="KDJ101" t="s">
        <v>455</v>
      </c>
      <c r="KDK101" t="s">
        <v>455</v>
      </c>
      <c r="KDL101" t="s">
        <v>455</v>
      </c>
      <c r="KDM101" t="s">
        <v>455</v>
      </c>
      <c r="KDN101" t="s">
        <v>455</v>
      </c>
      <c r="KDO101" t="s">
        <v>455</v>
      </c>
      <c r="KDP101" t="s">
        <v>455</v>
      </c>
      <c r="KDQ101" t="s">
        <v>455</v>
      </c>
      <c r="KDR101" t="s">
        <v>455</v>
      </c>
      <c r="KDS101" t="s">
        <v>455</v>
      </c>
      <c r="KDT101" t="s">
        <v>455</v>
      </c>
      <c r="KDU101" t="s">
        <v>455</v>
      </c>
      <c r="KDV101" t="s">
        <v>455</v>
      </c>
      <c r="KDW101" t="s">
        <v>455</v>
      </c>
      <c r="KDX101" t="s">
        <v>455</v>
      </c>
      <c r="KDY101" t="s">
        <v>455</v>
      </c>
      <c r="KDZ101" t="s">
        <v>455</v>
      </c>
      <c r="KEA101" t="s">
        <v>455</v>
      </c>
      <c r="KEB101" t="s">
        <v>455</v>
      </c>
      <c r="KEC101" t="s">
        <v>455</v>
      </c>
      <c r="KED101" t="s">
        <v>455</v>
      </c>
      <c r="KEE101" t="s">
        <v>455</v>
      </c>
      <c r="KEF101" t="s">
        <v>455</v>
      </c>
      <c r="KEG101" t="s">
        <v>455</v>
      </c>
      <c r="KEH101" t="s">
        <v>455</v>
      </c>
      <c r="KEI101" t="s">
        <v>455</v>
      </c>
      <c r="KEJ101" t="s">
        <v>455</v>
      </c>
      <c r="KEK101" t="s">
        <v>455</v>
      </c>
      <c r="KEL101" t="s">
        <v>455</v>
      </c>
      <c r="KEM101" t="s">
        <v>455</v>
      </c>
      <c r="KEN101" t="s">
        <v>455</v>
      </c>
      <c r="KEO101" t="s">
        <v>455</v>
      </c>
      <c r="KEP101" t="s">
        <v>455</v>
      </c>
      <c r="KEQ101" t="s">
        <v>455</v>
      </c>
      <c r="KER101" t="s">
        <v>455</v>
      </c>
      <c r="KES101" t="s">
        <v>455</v>
      </c>
      <c r="KET101" t="s">
        <v>455</v>
      </c>
      <c r="KEU101" t="s">
        <v>455</v>
      </c>
      <c r="KEV101" t="s">
        <v>455</v>
      </c>
      <c r="KEW101" t="s">
        <v>455</v>
      </c>
      <c r="KEX101" t="s">
        <v>455</v>
      </c>
      <c r="KEY101" t="s">
        <v>455</v>
      </c>
      <c r="KEZ101" t="s">
        <v>455</v>
      </c>
      <c r="KFA101" t="s">
        <v>455</v>
      </c>
      <c r="KFB101" t="s">
        <v>455</v>
      </c>
      <c r="KFC101" t="s">
        <v>455</v>
      </c>
      <c r="KFD101" t="s">
        <v>455</v>
      </c>
      <c r="KFE101" t="s">
        <v>455</v>
      </c>
      <c r="KFF101" t="s">
        <v>455</v>
      </c>
      <c r="KFG101" t="s">
        <v>455</v>
      </c>
      <c r="KFH101" t="s">
        <v>455</v>
      </c>
      <c r="KFI101" t="s">
        <v>455</v>
      </c>
      <c r="KFJ101" t="s">
        <v>455</v>
      </c>
      <c r="KFK101" t="s">
        <v>455</v>
      </c>
      <c r="KFL101" t="s">
        <v>455</v>
      </c>
      <c r="KFM101" t="s">
        <v>455</v>
      </c>
      <c r="KFN101" t="s">
        <v>455</v>
      </c>
      <c r="KFO101" t="s">
        <v>455</v>
      </c>
      <c r="KFP101" t="s">
        <v>455</v>
      </c>
      <c r="KFQ101" t="s">
        <v>455</v>
      </c>
      <c r="KFR101" t="s">
        <v>455</v>
      </c>
      <c r="KFS101" t="s">
        <v>455</v>
      </c>
      <c r="KFT101" t="s">
        <v>455</v>
      </c>
      <c r="KFU101" t="s">
        <v>455</v>
      </c>
      <c r="KFV101" t="s">
        <v>455</v>
      </c>
      <c r="KFW101" t="s">
        <v>455</v>
      </c>
      <c r="KFX101" t="s">
        <v>455</v>
      </c>
      <c r="KFY101" t="s">
        <v>455</v>
      </c>
      <c r="KFZ101" t="s">
        <v>455</v>
      </c>
      <c r="KGA101" t="s">
        <v>455</v>
      </c>
      <c r="KGB101" t="s">
        <v>455</v>
      </c>
      <c r="KGC101" t="s">
        <v>455</v>
      </c>
      <c r="KGD101" t="s">
        <v>455</v>
      </c>
      <c r="KGE101" t="s">
        <v>455</v>
      </c>
      <c r="KGF101" t="s">
        <v>455</v>
      </c>
      <c r="KGG101" t="s">
        <v>455</v>
      </c>
      <c r="KGH101" t="s">
        <v>455</v>
      </c>
      <c r="KGI101" t="s">
        <v>455</v>
      </c>
      <c r="KGJ101" t="s">
        <v>455</v>
      </c>
      <c r="KGK101" t="s">
        <v>455</v>
      </c>
      <c r="KGL101" t="s">
        <v>455</v>
      </c>
      <c r="KGM101" t="s">
        <v>455</v>
      </c>
      <c r="KGN101" t="s">
        <v>455</v>
      </c>
      <c r="KGO101" t="s">
        <v>455</v>
      </c>
      <c r="KGP101" t="s">
        <v>455</v>
      </c>
      <c r="KGQ101" t="s">
        <v>455</v>
      </c>
      <c r="KGR101" t="s">
        <v>455</v>
      </c>
      <c r="KGS101" t="s">
        <v>455</v>
      </c>
      <c r="KGT101" t="s">
        <v>455</v>
      </c>
      <c r="KGU101" t="s">
        <v>455</v>
      </c>
      <c r="KGV101" t="s">
        <v>455</v>
      </c>
      <c r="KGW101" t="s">
        <v>455</v>
      </c>
      <c r="KGX101" t="s">
        <v>455</v>
      </c>
      <c r="KGY101" t="s">
        <v>455</v>
      </c>
      <c r="KGZ101" t="s">
        <v>455</v>
      </c>
      <c r="KHA101" t="s">
        <v>455</v>
      </c>
      <c r="KHB101" t="s">
        <v>455</v>
      </c>
      <c r="KHC101" t="s">
        <v>455</v>
      </c>
      <c r="KHD101" t="s">
        <v>455</v>
      </c>
      <c r="KHE101" t="s">
        <v>455</v>
      </c>
      <c r="KHF101" t="s">
        <v>455</v>
      </c>
      <c r="KHG101" t="s">
        <v>455</v>
      </c>
      <c r="KHH101" t="s">
        <v>455</v>
      </c>
      <c r="KHI101" t="s">
        <v>455</v>
      </c>
      <c r="KHJ101" t="s">
        <v>455</v>
      </c>
      <c r="KHK101" t="s">
        <v>455</v>
      </c>
      <c r="KHL101" t="s">
        <v>455</v>
      </c>
      <c r="KHM101" t="s">
        <v>455</v>
      </c>
      <c r="KHN101" t="s">
        <v>455</v>
      </c>
      <c r="KHO101" t="s">
        <v>455</v>
      </c>
      <c r="KHP101" t="s">
        <v>455</v>
      </c>
      <c r="KHQ101" t="s">
        <v>455</v>
      </c>
      <c r="KHR101" t="s">
        <v>455</v>
      </c>
      <c r="KHS101" t="s">
        <v>455</v>
      </c>
      <c r="KHT101" t="s">
        <v>455</v>
      </c>
      <c r="KHU101" t="s">
        <v>455</v>
      </c>
      <c r="KHV101" t="s">
        <v>455</v>
      </c>
      <c r="KHW101" t="s">
        <v>455</v>
      </c>
      <c r="KHX101" t="s">
        <v>455</v>
      </c>
      <c r="KHY101" t="s">
        <v>455</v>
      </c>
      <c r="KHZ101" t="s">
        <v>455</v>
      </c>
      <c r="KIA101" t="s">
        <v>455</v>
      </c>
      <c r="KIB101" t="s">
        <v>455</v>
      </c>
      <c r="KIC101" t="s">
        <v>455</v>
      </c>
      <c r="KID101" t="s">
        <v>455</v>
      </c>
      <c r="KIE101" t="s">
        <v>455</v>
      </c>
      <c r="KIF101" t="s">
        <v>455</v>
      </c>
      <c r="KIG101" t="s">
        <v>455</v>
      </c>
      <c r="KIH101" t="s">
        <v>455</v>
      </c>
      <c r="KII101" t="s">
        <v>455</v>
      </c>
      <c r="KIJ101" t="s">
        <v>455</v>
      </c>
      <c r="KIK101" t="s">
        <v>455</v>
      </c>
      <c r="KIL101" t="s">
        <v>455</v>
      </c>
      <c r="KIM101" t="s">
        <v>455</v>
      </c>
      <c r="KIN101" t="s">
        <v>455</v>
      </c>
      <c r="KIO101" t="s">
        <v>455</v>
      </c>
      <c r="KIP101" t="s">
        <v>455</v>
      </c>
      <c r="KIQ101" t="s">
        <v>455</v>
      </c>
      <c r="KIR101" t="s">
        <v>455</v>
      </c>
      <c r="KIS101" t="s">
        <v>455</v>
      </c>
      <c r="KIT101" t="s">
        <v>455</v>
      </c>
      <c r="KIU101" t="s">
        <v>455</v>
      </c>
      <c r="KIV101" t="s">
        <v>455</v>
      </c>
      <c r="KIW101" t="s">
        <v>455</v>
      </c>
      <c r="KIX101" t="s">
        <v>455</v>
      </c>
      <c r="KIY101" t="s">
        <v>455</v>
      </c>
      <c r="KIZ101" t="s">
        <v>455</v>
      </c>
      <c r="KJA101" t="s">
        <v>455</v>
      </c>
      <c r="KJB101" t="s">
        <v>455</v>
      </c>
      <c r="KJC101" t="s">
        <v>455</v>
      </c>
      <c r="KJD101" t="s">
        <v>455</v>
      </c>
      <c r="KJE101" t="s">
        <v>455</v>
      </c>
      <c r="KJF101" t="s">
        <v>455</v>
      </c>
      <c r="KJG101" t="s">
        <v>455</v>
      </c>
      <c r="KJH101" t="s">
        <v>455</v>
      </c>
      <c r="KJI101" t="s">
        <v>455</v>
      </c>
      <c r="KJJ101" t="s">
        <v>455</v>
      </c>
      <c r="KJK101" t="s">
        <v>455</v>
      </c>
      <c r="KJL101" t="s">
        <v>455</v>
      </c>
      <c r="KJM101" t="s">
        <v>455</v>
      </c>
      <c r="KJN101" t="s">
        <v>455</v>
      </c>
      <c r="KJO101" t="s">
        <v>455</v>
      </c>
      <c r="KJP101" t="s">
        <v>455</v>
      </c>
      <c r="KJQ101" t="s">
        <v>455</v>
      </c>
      <c r="KJR101" t="s">
        <v>455</v>
      </c>
      <c r="KJS101" t="s">
        <v>455</v>
      </c>
      <c r="KJT101" t="s">
        <v>455</v>
      </c>
      <c r="KJU101" t="s">
        <v>455</v>
      </c>
      <c r="KJV101" t="s">
        <v>455</v>
      </c>
      <c r="KJW101" t="s">
        <v>455</v>
      </c>
      <c r="KJX101" t="s">
        <v>455</v>
      </c>
      <c r="KJY101" t="s">
        <v>455</v>
      </c>
      <c r="KJZ101" t="s">
        <v>455</v>
      </c>
      <c r="KKA101" t="s">
        <v>455</v>
      </c>
      <c r="KKB101" t="s">
        <v>455</v>
      </c>
      <c r="KKC101" t="s">
        <v>455</v>
      </c>
      <c r="KKD101" t="s">
        <v>455</v>
      </c>
      <c r="KKE101" t="s">
        <v>455</v>
      </c>
      <c r="KKF101" t="s">
        <v>455</v>
      </c>
      <c r="KKG101" t="s">
        <v>455</v>
      </c>
      <c r="KKH101" t="s">
        <v>455</v>
      </c>
      <c r="KKI101" t="s">
        <v>455</v>
      </c>
      <c r="KKJ101" t="s">
        <v>455</v>
      </c>
      <c r="KKK101" t="s">
        <v>455</v>
      </c>
      <c r="KKL101" t="s">
        <v>455</v>
      </c>
      <c r="KKM101" t="s">
        <v>455</v>
      </c>
      <c r="KKN101" t="s">
        <v>455</v>
      </c>
      <c r="KKO101" t="s">
        <v>455</v>
      </c>
      <c r="KKP101" t="s">
        <v>455</v>
      </c>
      <c r="KKQ101" t="s">
        <v>455</v>
      </c>
      <c r="KKR101" t="s">
        <v>455</v>
      </c>
      <c r="KKS101" t="s">
        <v>455</v>
      </c>
      <c r="KKT101" t="s">
        <v>455</v>
      </c>
      <c r="KKU101" t="s">
        <v>455</v>
      </c>
      <c r="KKV101" t="s">
        <v>455</v>
      </c>
      <c r="KKW101" t="s">
        <v>455</v>
      </c>
      <c r="KKX101" t="s">
        <v>455</v>
      </c>
      <c r="KKY101" t="s">
        <v>455</v>
      </c>
      <c r="KKZ101" t="s">
        <v>455</v>
      </c>
      <c r="KLA101" t="s">
        <v>455</v>
      </c>
      <c r="KLB101" t="s">
        <v>455</v>
      </c>
      <c r="KLC101" t="s">
        <v>455</v>
      </c>
      <c r="KLD101" t="s">
        <v>455</v>
      </c>
      <c r="KLE101" t="s">
        <v>455</v>
      </c>
      <c r="KLF101" t="s">
        <v>455</v>
      </c>
      <c r="KLG101" t="s">
        <v>455</v>
      </c>
      <c r="KLH101" t="s">
        <v>455</v>
      </c>
      <c r="KLI101" t="s">
        <v>455</v>
      </c>
      <c r="KLJ101" t="s">
        <v>455</v>
      </c>
      <c r="KLK101" t="s">
        <v>455</v>
      </c>
      <c r="KLL101" t="s">
        <v>455</v>
      </c>
      <c r="KLM101" t="s">
        <v>455</v>
      </c>
      <c r="KLN101" t="s">
        <v>455</v>
      </c>
      <c r="KLO101" t="s">
        <v>455</v>
      </c>
      <c r="KLP101" t="s">
        <v>455</v>
      </c>
      <c r="KLQ101" t="s">
        <v>455</v>
      </c>
      <c r="KLR101" t="s">
        <v>455</v>
      </c>
      <c r="KLS101" t="s">
        <v>455</v>
      </c>
      <c r="KLT101" t="s">
        <v>455</v>
      </c>
      <c r="KLU101" t="s">
        <v>455</v>
      </c>
      <c r="KLV101" t="s">
        <v>455</v>
      </c>
      <c r="KLW101" t="s">
        <v>455</v>
      </c>
      <c r="KLX101" t="s">
        <v>455</v>
      </c>
      <c r="KLY101" t="s">
        <v>455</v>
      </c>
      <c r="KLZ101" t="s">
        <v>455</v>
      </c>
      <c r="KMA101" t="s">
        <v>455</v>
      </c>
      <c r="KMB101" t="s">
        <v>455</v>
      </c>
      <c r="KMC101" t="s">
        <v>455</v>
      </c>
      <c r="KMD101" t="s">
        <v>455</v>
      </c>
      <c r="KME101" t="s">
        <v>455</v>
      </c>
      <c r="KMF101" t="s">
        <v>455</v>
      </c>
      <c r="KMG101" t="s">
        <v>455</v>
      </c>
      <c r="KMH101" t="s">
        <v>455</v>
      </c>
      <c r="KMI101" t="s">
        <v>455</v>
      </c>
      <c r="KMJ101" t="s">
        <v>455</v>
      </c>
      <c r="KMK101" t="s">
        <v>455</v>
      </c>
      <c r="KML101" t="s">
        <v>455</v>
      </c>
      <c r="KMM101" t="s">
        <v>455</v>
      </c>
      <c r="KMN101" t="s">
        <v>455</v>
      </c>
      <c r="KMO101" t="s">
        <v>455</v>
      </c>
      <c r="KMP101" t="s">
        <v>455</v>
      </c>
      <c r="KMQ101" t="s">
        <v>455</v>
      </c>
      <c r="KMR101" t="s">
        <v>455</v>
      </c>
      <c r="KMS101" t="s">
        <v>455</v>
      </c>
      <c r="KMT101" t="s">
        <v>455</v>
      </c>
      <c r="KMU101" t="s">
        <v>455</v>
      </c>
      <c r="KMV101" t="s">
        <v>455</v>
      </c>
      <c r="KMW101" t="s">
        <v>455</v>
      </c>
      <c r="KMX101" t="s">
        <v>455</v>
      </c>
      <c r="KMY101" t="s">
        <v>455</v>
      </c>
      <c r="KMZ101" t="s">
        <v>455</v>
      </c>
      <c r="KNA101" t="s">
        <v>455</v>
      </c>
      <c r="KNB101" t="s">
        <v>455</v>
      </c>
      <c r="KNC101" t="s">
        <v>455</v>
      </c>
      <c r="KND101" t="s">
        <v>455</v>
      </c>
      <c r="KNE101" t="s">
        <v>455</v>
      </c>
      <c r="KNF101" t="s">
        <v>455</v>
      </c>
      <c r="KNG101" t="s">
        <v>455</v>
      </c>
      <c r="KNH101" t="s">
        <v>455</v>
      </c>
      <c r="KNI101" t="s">
        <v>455</v>
      </c>
      <c r="KNJ101" t="s">
        <v>455</v>
      </c>
      <c r="KNK101" t="s">
        <v>455</v>
      </c>
      <c r="KNL101" t="s">
        <v>455</v>
      </c>
      <c r="KNM101" t="s">
        <v>455</v>
      </c>
      <c r="KNN101" t="s">
        <v>455</v>
      </c>
      <c r="KNO101" t="s">
        <v>455</v>
      </c>
      <c r="KNP101" t="s">
        <v>455</v>
      </c>
      <c r="KNQ101" t="s">
        <v>455</v>
      </c>
      <c r="KNR101" t="s">
        <v>455</v>
      </c>
      <c r="KNS101" t="s">
        <v>455</v>
      </c>
      <c r="KNT101" t="s">
        <v>455</v>
      </c>
      <c r="KNU101" t="s">
        <v>455</v>
      </c>
      <c r="KNV101" t="s">
        <v>455</v>
      </c>
      <c r="KNW101" t="s">
        <v>455</v>
      </c>
      <c r="KNX101" t="s">
        <v>455</v>
      </c>
      <c r="KNY101" t="s">
        <v>455</v>
      </c>
      <c r="KNZ101" t="s">
        <v>455</v>
      </c>
      <c r="KOA101" t="s">
        <v>455</v>
      </c>
      <c r="KOB101" t="s">
        <v>455</v>
      </c>
      <c r="KOC101" t="s">
        <v>455</v>
      </c>
      <c r="KOD101" t="s">
        <v>455</v>
      </c>
      <c r="KOE101" t="s">
        <v>455</v>
      </c>
      <c r="KOF101" t="s">
        <v>455</v>
      </c>
      <c r="KOG101" t="s">
        <v>455</v>
      </c>
      <c r="KOH101" t="s">
        <v>455</v>
      </c>
      <c r="KOI101" t="s">
        <v>455</v>
      </c>
      <c r="KOJ101" t="s">
        <v>455</v>
      </c>
      <c r="KOK101" t="s">
        <v>455</v>
      </c>
      <c r="KOL101" t="s">
        <v>455</v>
      </c>
      <c r="KOM101" t="s">
        <v>455</v>
      </c>
      <c r="KON101" t="s">
        <v>455</v>
      </c>
      <c r="KOO101" t="s">
        <v>455</v>
      </c>
      <c r="KOP101" t="s">
        <v>455</v>
      </c>
      <c r="KOQ101" t="s">
        <v>455</v>
      </c>
      <c r="KOR101" t="s">
        <v>455</v>
      </c>
      <c r="KOS101" t="s">
        <v>455</v>
      </c>
      <c r="KOT101" t="s">
        <v>455</v>
      </c>
      <c r="KOU101" t="s">
        <v>455</v>
      </c>
      <c r="KOV101" t="s">
        <v>455</v>
      </c>
      <c r="KOW101" t="s">
        <v>455</v>
      </c>
      <c r="KOX101" t="s">
        <v>455</v>
      </c>
      <c r="KOY101" t="s">
        <v>455</v>
      </c>
      <c r="KOZ101" t="s">
        <v>455</v>
      </c>
      <c r="KPA101" t="s">
        <v>455</v>
      </c>
      <c r="KPB101" t="s">
        <v>455</v>
      </c>
      <c r="KPC101" t="s">
        <v>455</v>
      </c>
      <c r="KPD101" t="s">
        <v>455</v>
      </c>
      <c r="KPE101" t="s">
        <v>455</v>
      </c>
      <c r="KPF101" t="s">
        <v>455</v>
      </c>
      <c r="KPG101" t="s">
        <v>455</v>
      </c>
      <c r="KPH101" t="s">
        <v>455</v>
      </c>
      <c r="KPI101" t="s">
        <v>455</v>
      </c>
      <c r="KPJ101" t="s">
        <v>455</v>
      </c>
      <c r="KPK101" t="s">
        <v>455</v>
      </c>
      <c r="KPL101" t="s">
        <v>455</v>
      </c>
      <c r="KPM101" t="s">
        <v>455</v>
      </c>
      <c r="KPN101" t="s">
        <v>455</v>
      </c>
      <c r="KPO101" t="s">
        <v>455</v>
      </c>
      <c r="KPP101" t="s">
        <v>455</v>
      </c>
      <c r="KPQ101" t="s">
        <v>455</v>
      </c>
      <c r="KPR101" t="s">
        <v>455</v>
      </c>
      <c r="KPS101" t="s">
        <v>455</v>
      </c>
      <c r="KPT101" t="s">
        <v>455</v>
      </c>
      <c r="KPU101" t="s">
        <v>455</v>
      </c>
      <c r="KPV101" t="s">
        <v>455</v>
      </c>
      <c r="KPW101" t="s">
        <v>455</v>
      </c>
      <c r="KPX101" t="s">
        <v>455</v>
      </c>
      <c r="KPY101" t="s">
        <v>455</v>
      </c>
      <c r="KPZ101" t="s">
        <v>455</v>
      </c>
      <c r="KQA101" t="s">
        <v>455</v>
      </c>
      <c r="KQB101" t="s">
        <v>455</v>
      </c>
      <c r="KQC101" t="s">
        <v>455</v>
      </c>
      <c r="KQD101" t="s">
        <v>455</v>
      </c>
      <c r="KQE101" t="s">
        <v>455</v>
      </c>
      <c r="KQF101" t="s">
        <v>455</v>
      </c>
      <c r="KQG101" t="s">
        <v>455</v>
      </c>
      <c r="KQH101" t="s">
        <v>455</v>
      </c>
      <c r="KQI101" t="s">
        <v>455</v>
      </c>
      <c r="KQJ101" t="s">
        <v>455</v>
      </c>
      <c r="KQK101" t="s">
        <v>455</v>
      </c>
      <c r="KQL101" t="s">
        <v>455</v>
      </c>
      <c r="KQM101" t="s">
        <v>455</v>
      </c>
      <c r="KQN101" t="s">
        <v>455</v>
      </c>
      <c r="KQO101" t="s">
        <v>455</v>
      </c>
      <c r="KQP101" t="s">
        <v>455</v>
      </c>
      <c r="KQQ101" t="s">
        <v>455</v>
      </c>
      <c r="KQR101" t="s">
        <v>455</v>
      </c>
      <c r="KQS101" t="s">
        <v>455</v>
      </c>
      <c r="KQT101" t="s">
        <v>455</v>
      </c>
      <c r="KQU101" t="s">
        <v>455</v>
      </c>
      <c r="KQV101" t="s">
        <v>455</v>
      </c>
      <c r="KQW101" t="s">
        <v>455</v>
      </c>
      <c r="KQX101" t="s">
        <v>455</v>
      </c>
      <c r="KQY101" t="s">
        <v>455</v>
      </c>
      <c r="KQZ101" t="s">
        <v>455</v>
      </c>
      <c r="KRA101" t="s">
        <v>455</v>
      </c>
      <c r="KRB101" t="s">
        <v>455</v>
      </c>
      <c r="KRC101" t="s">
        <v>455</v>
      </c>
      <c r="KRD101" t="s">
        <v>455</v>
      </c>
      <c r="KRE101" t="s">
        <v>455</v>
      </c>
      <c r="KRF101" t="s">
        <v>455</v>
      </c>
      <c r="KRG101" t="s">
        <v>455</v>
      </c>
      <c r="KRH101" t="s">
        <v>455</v>
      </c>
      <c r="KRI101" t="s">
        <v>455</v>
      </c>
      <c r="KRJ101" t="s">
        <v>455</v>
      </c>
      <c r="KRK101" t="s">
        <v>455</v>
      </c>
      <c r="KRL101" t="s">
        <v>455</v>
      </c>
      <c r="KRM101" t="s">
        <v>455</v>
      </c>
      <c r="KRN101" t="s">
        <v>455</v>
      </c>
      <c r="KRO101" t="s">
        <v>455</v>
      </c>
      <c r="KRP101" t="s">
        <v>455</v>
      </c>
      <c r="KRQ101" t="s">
        <v>455</v>
      </c>
      <c r="KRR101" t="s">
        <v>455</v>
      </c>
      <c r="KRS101" t="s">
        <v>455</v>
      </c>
      <c r="KRT101" t="s">
        <v>455</v>
      </c>
      <c r="KRU101" t="s">
        <v>455</v>
      </c>
      <c r="KRV101" t="s">
        <v>455</v>
      </c>
      <c r="KRW101" t="s">
        <v>455</v>
      </c>
      <c r="KRX101" t="s">
        <v>455</v>
      </c>
      <c r="KRY101" t="s">
        <v>455</v>
      </c>
      <c r="KRZ101" t="s">
        <v>455</v>
      </c>
      <c r="KSA101" t="s">
        <v>455</v>
      </c>
      <c r="KSB101" t="s">
        <v>455</v>
      </c>
      <c r="KSC101" t="s">
        <v>455</v>
      </c>
      <c r="KSD101" t="s">
        <v>455</v>
      </c>
      <c r="KSE101" t="s">
        <v>455</v>
      </c>
      <c r="KSF101" t="s">
        <v>455</v>
      </c>
      <c r="KSG101" t="s">
        <v>455</v>
      </c>
      <c r="KSH101" t="s">
        <v>455</v>
      </c>
      <c r="KSI101" t="s">
        <v>455</v>
      </c>
      <c r="KSJ101" t="s">
        <v>455</v>
      </c>
      <c r="KSK101" t="s">
        <v>455</v>
      </c>
      <c r="KSL101" t="s">
        <v>455</v>
      </c>
      <c r="KSM101" t="s">
        <v>455</v>
      </c>
      <c r="KSN101" t="s">
        <v>455</v>
      </c>
      <c r="KSO101" t="s">
        <v>455</v>
      </c>
      <c r="KSP101" t="s">
        <v>455</v>
      </c>
      <c r="KSQ101" t="s">
        <v>455</v>
      </c>
      <c r="KSR101" t="s">
        <v>455</v>
      </c>
      <c r="KSS101" t="s">
        <v>455</v>
      </c>
      <c r="KST101" t="s">
        <v>455</v>
      </c>
      <c r="KSU101" t="s">
        <v>455</v>
      </c>
      <c r="KSV101" t="s">
        <v>455</v>
      </c>
      <c r="KSW101" t="s">
        <v>455</v>
      </c>
      <c r="KSX101" t="s">
        <v>455</v>
      </c>
      <c r="KSY101" t="s">
        <v>455</v>
      </c>
      <c r="KSZ101" t="s">
        <v>455</v>
      </c>
      <c r="KTA101" t="s">
        <v>455</v>
      </c>
      <c r="KTB101" t="s">
        <v>455</v>
      </c>
      <c r="KTC101" t="s">
        <v>455</v>
      </c>
      <c r="KTD101" t="s">
        <v>455</v>
      </c>
      <c r="KTE101" t="s">
        <v>455</v>
      </c>
      <c r="KTF101" t="s">
        <v>455</v>
      </c>
      <c r="KTG101" t="s">
        <v>455</v>
      </c>
      <c r="KTH101" t="s">
        <v>455</v>
      </c>
      <c r="KTI101" t="s">
        <v>455</v>
      </c>
      <c r="KTJ101" t="s">
        <v>455</v>
      </c>
      <c r="KTK101" t="s">
        <v>455</v>
      </c>
      <c r="KTL101" t="s">
        <v>455</v>
      </c>
      <c r="KTM101" t="s">
        <v>455</v>
      </c>
      <c r="KTN101" t="s">
        <v>455</v>
      </c>
      <c r="KTO101" t="s">
        <v>455</v>
      </c>
      <c r="KTP101" t="s">
        <v>455</v>
      </c>
      <c r="KTQ101" t="s">
        <v>455</v>
      </c>
      <c r="KTR101" t="s">
        <v>455</v>
      </c>
      <c r="KTS101" t="s">
        <v>455</v>
      </c>
      <c r="KTT101" t="s">
        <v>455</v>
      </c>
      <c r="KTU101" t="s">
        <v>455</v>
      </c>
      <c r="KTV101" t="s">
        <v>455</v>
      </c>
      <c r="KTW101" t="s">
        <v>455</v>
      </c>
      <c r="KTX101" t="s">
        <v>455</v>
      </c>
      <c r="KTY101" t="s">
        <v>455</v>
      </c>
      <c r="KTZ101" t="s">
        <v>455</v>
      </c>
      <c r="KUA101" t="s">
        <v>455</v>
      </c>
      <c r="KUB101" t="s">
        <v>455</v>
      </c>
      <c r="KUC101" t="s">
        <v>455</v>
      </c>
      <c r="KUD101" t="s">
        <v>455</v>
      </c>
      <c r="KUE101" t="s">
        <v>455</v>
      </c>
      <c r="KUF101" t="s">
        <v>455</v>
      </c>
      <c r="KUG101" t="s">
        <v>455</v>
      </c>
      <c r="KUH101" t="s">
        <v>455</v>
      </c>
      <c r="KUI101" t="s">
        <v>455</v>
      </c>
      <c r="KUJ101" t="s">
        <v>455</v>
      </c>
      <c r="KUK101" t="s">
        <v>455</v>
      </c>
      <c r="KUL101" t="s">
        <v>455</v>
      </c>
      <c r="KUM101" t="s">
        <v>455</v>
      </c>
      <c r="KUN101" t="s">
        <v>455</v>
      </c>
      <c r="KUO101" t="s">
        <v>455</v>
      </c>
      <c r="KUP101" t="s">
        <v>455</v>
      </c>
      <c r="KUQ101" t="s">
        <v>455</v>
      </c>
      <c r="KUR101" t="s">
        <v>455</v>
      </c>
      <c r="KUS101" t="s">
        <v>455</v>
      </c>
      <c r="KUT101" t="s">
        <v>455</v>
      </c>
      <c r="KUU101" t="s">
        <v>455</v>
      </c>
      <c r="KUV101" t="s">
        <v>455</v>
      </c>
      <c r="KUW101" t="s">
        <v>455</v>
      </c>
      <c r="KUX101" t="s">
        <v>455</v>
      </c>
      <c r="KUY101" t="s">
        <v>455</v>
      </c>
      <c r="KUZ101" t="s">
        <v>455</v>
      </c>
      <c r="KVA101" t="s">
        <v>455</v>
      </c>
      <c r="KVB101" t="s">
        <v>455</v>
      </c>
      <c r="KVC101" t="s">
        <v>455</v>
      </c>
      <c r="KVD101" t="s">
        <v>455</v>
      </c>
      <c r="KVE101" t="s">
        <v>455</v>
      </c>
      <c r="KVF101" t="s">
        <v>455</v>
      </c>
      <c r="KVG101" t="s">
        <v>455</v>
      </c>
      <c r="KVH101" t="s">
        <v>455</v>
      </c>
      <c r="KVI101" t="s">
        <v>455</v>
      </c>
      <c r="KVJ101" t="s">
        <v>455</v>
      </c>
      <c r="KVK101" t="s">
        <v>455</v>
      </c>
      <c r="KVL101" t="s">
        <v>455</v>
      </c>
      <c r="KVM101" t="s">
        <v>455</v>
      </c>
      <c r="KVN101" t="s">
        <v>455</v>
      </c>
      <c r="KVO101" t="s">
        <v>455</v>
      </c>
      <c r="KVP101" t="s">
        <v>455</v>
      </c>
      <c r="KVQ101" t="s">
        <v>455</v>
      </c>
      <c r="KVR101" t="s">
        <v>455</v>
      </c>
      <c r="KVS101" t="s">
        <v>455</v>
      </c>
      <c r="KVT101" t="s">
        <v>455</v>
      </c>
      <c r="KVU101" t="s">
        <v>455</v>
      </c>
      <c r="KVV101" t="s">
        <v>455</v>
      </c>
      <c r="KVW101" t="s">
        <v>455</v>
      </c>
      <c r="KVX101" t="s">
        <v>455</v>
      </c>
      <c r="KVY101" t="s">
        <v>455</v>
      </c>
      <c r="KVZ101" t="s">
        <v>455</v>
      </c>
      <c r="KWA101" t="s">
        <v>455</v>
      </c>
      <c r="KWB101" t="s">
        <v>455</v>
      </c>
      <c r="KWC101" t="s">
        <v>455</v>
      </c>
      <c r="KWD101" t="s">
        <v>455</v>
      </c>
      <c r="KWE101" t="s">
        <v>455</v>
      </c>
      <c r="KWF101" t="s">
        <v>455</v>
      </c>
      <c r="KWG101" t="s">
        <v>455</v>
      </c>
      <c r="KWH101" t="s">
        <v>455</v>
      </c>
      <c r="KWI101" t="s">
        <v>455</v>
      </c>
      <c r="KWJ101" t="s">
        <v>455</v>
      </c>
      <c r="KWK101" t="s">
        <v>455</v>
      </c>
      <c r="KWL101" t="s">
        <v>455</v>
      </c>
      <c r="KWM101" t="s">
        <v>455</v>
      </c>
      <c r="KWN101" t="s">
        <v>455</v>
      </c>
      <c r="KWO101" t="s">
        <v>455</v>
      </c>
      <c r="KWP101" t="s">
        <v>455</v>
      </c>
      <c r="KWQ101" t="s">
        <v>455</v>
      </c>
      <c r="KWR101" t="s">
        <v>455</v>
      </c>
      <c r="KWS101" t="s">
        <v>455</v>
      </c>
      <c r="KWT101" t="s">
        <v>455</v>
      </c>
      <c r="KWU101" t="s">
        <v>455</v>
      </c>
      <c r="KWV101" t="s">
        <v>455</v>
      </c>
      <c r="KWW101" t="s">
        <v>455</v>
      </c>
      <c r="KWX101" t="s">
        <v>455</v>
      </c>
      <c r="KWY101" t="s">
        <v>455</v>
      </c>
      <c r="KWZ101" t="s">
        <v>455</v>
      </c>
      <c r="KXA101" t="s">
        <v>455</v>
      </c>
      <c r="KXB101" t="s">
        <v>455</v>
      </c>
      <c r="KXC101" t="s">
        <v>455</v>
      </c>
      <c r="KXD101" t="s">
        <v>455</v>
      </c>
      <c r="KXE101" t="s">
        <v>455</v>
      </c>
      <c r="KXF101" t="s">
        <v>455</v>
      </c>
      <c r="KXG101" t="s">
        <v>455</v>
      </c>
      <c r="KXH101" t="s">
        <v>455</v>
      </c>
      <c r="KXI101" t="s">
        <v>455</v>
      </c>
      <c r="KXJ101" t="s">
        <v>455</v>
      </c>
      <c r="KXK101" t="s">
        <v>455</v>
      </c>
      <c r="KXL101" t="s">
        <v>455</v>
      </c>
      <c r="KXM101" t="s">
        <v>455</v>
      </c>
      <c r="KXN101" t="s">
        <v>455</v>
      </c>
      <c r="KXO101" t="s">
        <v>455</v>
      </c>
      <c r="KXP101" t="s">
        <v>455</v>
      </c>
      <c r="KXQ101" t="s">
        <v>455</v>
      </c>
      <c r="KXR101" t="s">
        <v>455</v>
      </c>
      <c r="KXS101" t="s">
        <v>455</v>
      </c>
      <c r="KXT101" t="s">
        <v>455</v>
      </c>
      <c r="KXU101" t="s">
        <v>455</v>
      </c>
      <c r="KXV101" t="s">
        <v>455</v>
      </c>
      <c r="KXW101" t="s">
        <v>455</v>
      </c>
      <c r="KXX101" t="s">
        <v>455</v>
      </c>
      <c r="KXY101" t="s">
        <v>455</v>
      </c>
      <c r="KXZ101" t="s">
        <v>455</v>
      </c>
      <c r="KYA101" t="s">
        <v>455</v>
      </c>
      <c r="KYB101" t="s">
        <v>455</v>
      </c>
      <c r="KYC101" t="s">
        <v>455</v>
      </c>
      <c r="KYD101" t="s">
        <v>455</v>
      </c>
      <c r="KYE101" t="s">
        <v>455</v>
      </c>
      <c r="KYF101" t="s">
        <v>455</v>
      </c>
      <c r="KYG101" t="s">
        <v>455</v>
      </c>
      <c r="KYH101" t="s">
        <v>455</v>
      </c>
      <c r="KYI101" t="s">
        <v>455</v>
      </c>
      <c r="KYJ101" t="s">
        <v>455</v>
      </c>
      <c r="KYK101" t="s">
        <v>455</v>
      </c>
      <c r="KYL101" t="s">
        <v>455</v>
      </c>
      <c r="KYM101" t="s">
        <v>455</v>
      </c>
      <c r="KYN101" t="s">
        <v>455</v>
      </c>
      <c r="KYO101" t="s">
        <v>455</v>
      </c>
      <c r="KYP101" t="s">
        <v>455</v>
      </c>
      <c r="KYQ101" t="s">
        <v>455</v>
      </c>
      <c r="KYR101" t="s">
        <v>455</v>
      </c>
      <c r="KYS101" t="s">
        <v>455</v>
      </c>
      <c r="KYT101" t="s">
        <v>455</v>
      </c>
      <c r="KYU101" t="s">
        <v>455</v>
      </c>
      <c r="KYV101" t="s">
        <v>455</v>
      </c>
      <c r="KYW101" t="s">
        <v>455</v>
      </c>
      <c r="KYX101" t="s">
        <v>455</v>
      </c>
      <c r="KYY101" t="s">
        <v>455</v>
      </c>
      <c r="KYZ101" t="s">
        <v>455</v>
      </c>
      <c r="KZA101" t="s">
        <v>455</v>
      </c>
      <c r="KZB101" t="s">
        <v>455</v>
      </c>
      <c r="KZC101" t="s">
        <v>455</v>
      </c>
      <c r="KZD101" t="s">
        <v>455</v>
      </c>
      <c r="KZE101" t="s">
        <v>455</v>
      </c>
      <c r="KZF101" t="s">
        <v>455</v>
      </c>
      <c r="KZG101" t="s">
        <v>455</v>
      </c>
      <c r="KZH101" t="s">
        <v>455</v>
      </c>
      <c r="KZI101" t="s">
        <v>455</v>
      </c>
      <c r="KZJ101" t="s">
        <v>455</v>
      </c>
      <c r="KZK101" t="s">
        <v>455</v>
      </c>
      <c r="KZL101" t="s">
        <v>455</v>
      </c>
      <c r="KZM101" t="s">
        <v>455</v>
      </c>
      <c r="KZN101" t="s">
        <v>455</v>
      </c>
      <c r="KZO101" t="s">
        <v>455</v>
      </c>
      <c r="KZP101" t="s">
        <v>455</v>
      </c>
      <c r="KZQ101" t="s">
        <v>455</v>
      </c>
      <c r="KZR101" t="s">
        <v>455</v>
      </c>
      <c r="KZS101" t="s">
        <v>455</v>
      </c>
      <c r="KZT101" t="s">
        <v>455</v>
      </c>
      <c r="KZU101" t="s">
        <v>455</v>
      </c>
      <c r="KZV101" t="s">
        <v>455</v>
      </c>
      <c r="KZW101" t="s">
        <v>455</v>
      </c>
      <c r="KZX101" t="s">
        <v>455</v>
      </c>
      <c r="KZY101" t="s">
        <v>455</v>
      </c>
      <c r="KZZ101" t="s">
        <v>455</v>
      </c>
      <c r="LAA101" t="s">
        <v>455</v>
      </c>
      <c r="LAB101" t="s">
        <v>455</v>
      </c>
      <c r="LAC101" t="s">
        <v>455</v>
      </c>
      <c r="LAD101" t="s">
        <v>455</v>
      </c>
      <c r="LAE101" t="s">
        <v>455</v>
      </c>
      <c r="LAF101" t="s">
        <v>455</v>
      </c>
      <c r="LAG101" t="s">
        <v>455</v>
      </c>
      <c r="LAH101" t="s">
        <v>455</v>
      </c>
      <c r="LAI101" t="s">
        <v>455</v>
      </c>
      <c r="LAJ101" t="s">
        <v>455</v>
      </c>
      <c r="LAK101" t="s">
        <v>455</v>
      </c>
      <c r="LAL101" t="s">
        <v>455</v>
      </c>
      <c r="LAM101" t="s">
        <v>455</v>
      </c>
      <c r="LAN101" t="s">
        <v>455</v>
      </c>
      <c r="LAO101" t="s">
        <v>455</v>
      </c>
      <c r="LAP101" t="s">
        <v>455</v>
      </c>
      <c r="LAQ101" t="s">
        <v>455</v>
      </c>
      <c r="LAR101" t="s">
        <v>455</v>
      </c>
      <c r="LAS101" t="s">
        <v>455</v>
      </c>
      <c r="LAT101" t="s">
        <v>455</v>
      </c>
      <c r="LAU101" t="s">
        <v>455</v>
      </c>
      <c r="LAV101" t="s">
        <v>455</v>
      </c>
      <c r="LAW101" t="s">
        <v>455</v>
      </c>
      <c r="LAX101" t="s">
        <v>455</v>
      </c>
      <c r="LAY101" t="s">
        <v>455</v>
      </c>
      <c r="LAZ101" t="s">
        <v>455</v>
      </c>
      <c r="LBA101" t="s">
        <v>455</v>
      </c>
      <c r="LBB101" t="s">
        <v>455</v>
      </c>
      <c r="LBC101" t="s">
        <v>455</v>
      </c>
      <c r="LBD101" t="s">
        <v>455</v>
      </c>
      <c r="LBE101" t="s">
        <v>455</v>
      </c>
      <c r="LBF101" t="s">
        <v>455</v>
      </c>
      <c r="LBG101" t="s">
        <v>455</v>
      </c>
      <c r="LBH101" t="s">
        <v>455</v>
      </c>
      <c r="LBI101" t="s">
        <v>455</v>
      </c>
      <c r="LBJ101" t="s">
        <v>455</v>
      </c>
      <c r="LBK101" t="s">
        <v>455</v>
      </c>
      <c r="LBL101" t="s">
        <v>455</v>
      </c>
      <c r="LBM101" t="s">
        <v>455</v>
      </c>
      <c r="LBN101" t="s">
        <v>455</v>
      </c>
      <c r="LBO101" t="s">
        <v>455</v>
      </c>
      <c r="LBP101" t="s">
        <v>455</v>
      </c>
      <c r="LBQ101" t="s">
        <v>455</v>
      </c>
      <c r="LBR101" t="s">
        <v>455</v>
      </c>
      <c r="LBS101" t="s">
        <v>455</v>
      </c>
      <c r="LBT101" t="s">
        <v>455</v>
      </c>
      <c r="LBU101" t="s">
        <v>455</v>
      </c>
      <c r="LBV101" t="s">
        <v>455</v>
      </c>
      <c r="LBW101" t="s">
        <v>455</v>
      </c>
      <c r="LBX101" t="s">
        <v>455</v>
      </c>
      <c r="LBY101" t="s">
        <v>455</v>
      </c>
      <c r="LBZ101" t="s">
        <v>455</v>
      </c>
      <c r="LCA101" t="s">
        <v>455</v>
      </c>
      <c r="LCB101" t="s">
        <v>455</v>
      </c>
      <c r="LCC101" t="s">
        <v>455</v>
      </c>
      <c r="LCD101" t="s">
        <v>455</v>
      </c>
      <c r="LCE101" t="s">
        <v>455</v>
      </c>
      <c r="LCF101" t="s">
        <v>455</v>
      </c>
      <c r="LCG101" t="s">
        <v>455</v>
      </c>
      <c r="LCH101" t="s">
        <v>455</v>
      </c>
      <c r="LCI101" t="s">
        <v>455</v>
      </c>
      <c r="LCJ101" t="s">
        <v>455</v>
      </c>
      <c r="LCK101" t="s">
        <v>455</v>
      </c>
      <c r="LCL101" t="s">
        <v>455</v>
      </c>
      <c r="LCM101" t="s">
        <v>455</v>
      </c>
      <c r="LCN101" t="s">
        <v>455</v>
      </c>
      <c r="LCO101" t="s">
        <v>455</v>
      </c>
      <c r="LCP101" t="s">
        <v>455</v>
      </c>
      <c r="LCQ101" t="s">
        <v>455</v>
      </c>
      <c r="LCR101" t="s">
        <v>455</v>
      </c>
      <c r="LCS101" t="s">
        <v>455</v>
      </c>
      <c r="LCT101" t="s">
        <v>455</v>
      </c>
      <c r="LCU101" t="s">
        <v>455</v>
      </c>
      <c r="LCV101" t="s">
        <v>455</v>
      </c>
      <c r="LCW101" t="s">
        <v>455</v>
      </c>
      <c r="LCX101" t="s">
        <v>455</v>
      </c>
      <c r="LCY101" t="s">
        <v>455</v>
      </c>
      <c r="LCZ101" t="s">
        <v>455</v>
      </c>
      <c r="LDA101" t="s">
        <v>455</v>
      </c>
      <c r="LDB101" t="s">
        <v>455</v>
      </c>
      <c r="LDC101" t="s">
        <v>455</v>
      </c>
      <c r="LDD101" t="s">
        <v>455</v>
      </c>
      <c r="LDE101" t="s">
        <v>455</v>
      </c>
      <c r="LDF101" t="s">
        <v>455</v>
      </c>
      <c r="LDG101" t="s">
        <v>455</v>
      </c>
      <c r="LDH101" t="s">
        <v>455</v>
      </c>
      <c r="LDI101" t="s">
        <v>455</v>
      </c>
      <c r="LDJ101" t="s">
        <v>455</v>
      </c>
      <c r="LDK101" t="s">
        <v>455</v>
      </c>
      <c r="LDL101" t="s">
        <v>455</v>
      </c>
      <c r="LDM101" t="s">
        <v>455</v>
      </c>
      <c r="LDN101" t="s">
        <v>455</v>
      </c>
      <c r="LDO101" t="s">
        <v>455</v>
      </c>
      <c r="LDP101" t="s">
        <v>455</v>
      </c>
      <c r="LDQ101" t="s">
        <v>455</v>
      </c>
      <c r="LDR101" t="s">
        <v>455</v>
      </c>
      <c r="LDS101" t="s">
        <v>455</v>
      </c>
      <c r="LDT101" t="s">
        <v>455</v>
      </c>
      <c r="LDU101" t="s">
        <v>455</v>
      </c>
      <c r="LDV101" t="s">
        <v>455</v>
      </c>
      <c r="LDW101" t="s">
        <v>455</v>
      </c>
      <c r="LDX101" t="s">
        <v>455</v>
      </c>
      <c r="LDY101" t="s">
        <v>455</v>
      </c>
      <c r="LDZ101" t="s">
        <v>455</v>
      </c>
      <c r="LEA101" t="s">
        <v>455</v>
      </c>
      <c r="LEB101" t="s">
        <v>455</v>
      </c>
      <c r="LEC101" t="s">
        <v>455</v>
      </c>
      <c r="LED101" t="s">
        <v>455</v>
      </c>
      <c r="LEE101" t="s">
        <v>455</v>
      </c>
      <c r="LEF101" t="s">
        <v>455</v>
      </c>
      <c r="LEG101" t="s">
        <v>455</v>
      </c>
      <c r="LEH101" t="s">
        <v>455</v>
      </c>
      <c r="LEI101" t="s">
        <v>455</v>
      </c>
      <c r="LEJ101" t="s">
        <v>455</v>
      </c>
      <c r="LEK101" t="s">
        <v>455</v>
      </c>
      <c r="LEL101" t="s">
        <v>455</v>
      </c>
      <c r="LEM101" t="s">
        <v>455</v>
      </c>
      <c r="LEN101" t="s">
        <v>455</v>
      </c>
      <c r="LEO101" t="s">
        <v>455</v>
      </c>
      <c r="LEP101" t="s">
        <v>455</v>
      </c>
      <c r="LEQ101" t="s">
        <v>455</v>
      </c>
      <c r="LER101" t="s">
        <v>455</v>
      </c>
      <c r="LES101" t="s">
        <v>455</v>
      </c>
      <c r="LET101" t="s">
        <v>455</v>
      </c>
      <c r="LEU101" t="s">
        <v>455</v>
      </c>
      <c r="LEV101" t="s">
        <v>455</v>
      </c>
      <c r="LEW101" t="s">
        <v>455</v>
      </c>
      <c r="LEX101" t="s">
        <v>455</v>
      </c>
      <c r="LEY101" t="s">
        <v>455</v>
      </c>
      <c r="LEZ101" t="s">
        <v>455</v>
      </c>
      <c r="LFA101" t="s">
        <v>455</v>
      </c>
      <c r="LFB101" t="s">
        <v>455</v>
      </c>
      <c r="LFC101" t="s">
        <v>455</v>
      </c>
      <c r="LFD101" t="s">
        <v>455</v>
      </c>
      <c r="LFE101" t="s">
        <v>455</v>
      </c>
      <c r="LFF101" t="s">
        <v>455</v>
      </c>
      <c r="LFG101" t="s">
        <v>455</v>
      </c>
      <c r="LFH101" t="s">
        <v>455</v>
      </c>
      <c r="LFI101" t="s">
        <v>455</v>
      </c>
      <c r="LFJ101" t="s">
        <v>455</v>
      </c>
      <c r="LFK101" t="s">
        <v>455</v>
      </c>
      <c r="LFL101" t="s">
        <v>455</v>
      </c>
      <c r="LFM101" t="s">
        <v>455</v>
      </c>
      <c r="LFN101" t="s">
        <v>455</v>
      </c>
      <c r="LFO101" t="s">
        <v>455</v>
      </c>
      <c r="LFP101" t="s">
        <v>455</v>
      </c>
      <c r="LFQ101" t="s">
        <v>455</v>
      </c>
      <c r="LFR101" t="s">
        <v>455</v>
      </c>
      <c r="LFS101" t="s">
        <v>455</v>
      </c>
      <c r="LFT101" t="s">
        <v>455</v>
      </c>
      <c r="LFU101" t="s">
        <v>455</v>
      </c>
      <c r="LFV101" t="s">
        <v>455</v>
      </c>
      <c r="LFW101" t="s">
        <v>455</v>
      </c>
      <c r="LFX101" t="s">
        <v>455</v>
      </c>
      <c r="LFY101" t="s">
        <v>455</v>
      </c>
      <c r="LFZ101" t="s">
        <v>455</v>
      </c>
      <c r="LGA101" t="s">
        <v>455</v>
      </c>
      <c r="LGB101" t="s">
        <v>455</v>
      </c>
      <c r="LGC101" t="s">
        <v>455</v>
      </c>
      <c r="LGD101" t="s">
        <v>455</v>
      </c>
      <c r="LGE101" t="s">
        <v>455</v>
      </c>
      <c r="LGF101" t="s">
        <v>455</v>
      </c>
      <c r="LGG101" t="s">
        <v>455</v>
      </c>
      <c r="LGH101" t="s">
        <v>455</v>
      </c>
      <c r="LGI101" t="s">
        <v>455</v>
      </c>
      <c r="LGJ101" t="s">
        <v>455</v>
      </c>
      <c r="LGK101" t="s">
        <v>455</v>
      </c>
      <c r="LGL101" t="s">
        <v>455</v>
      </c>
      <c r="LGM101" t="s">
        <v>455</v>
      </c>
      <c r="LGN101" t="s">
        <v>455</v>
      </c>
      <c r="LGO101" t="s">
        <v>455</v>
      </c>
      <c r="LGP101" t="s">
        <v>455</v>
      </c>
      <c r="LGQ101" t="s">
        <v>455</v>
      </c>
      <c r="LGR101" t="s">
        <v>455</v>
      </c>
      <c r="LGS101" t="s">
        <v>455</v>
      </c>
      <c r="LGT101" t="s">
        <v>455</v>
      </c>
      <c r="LGU101" t="s">
        <v>455</v>
      </c>
      <c r="LGV101" t="s">
        <v>455</v>
      </c>
      <c r="LGW101" t="s">
        <v>455</v>
      </c>
      <c r="LGX101" t="s">
        <v>455</v>
      </c>
      <c r="LGY101" t="s">
        <v>455</v>
      </c>
      <c r="LGZ101" t="s">
        <v>455</v>
      </c>
      <c r="LHA101" t="s">
        <v>455</v>
      </c>
      <c r="LHB101" t="s">
        <v>455</v>
      </c>
      <c r="LHC101" t="s">
        <v>455</v>
      </c>
      <c r="LHD101" t="s">
        <v>455</v>
      </c>
      <c r="LHE101" t="s">
        <v>455</v>
      </c>
      <c r="LHF101" t="s">
        <v>455</v>
      </c>
      <c r="LHG101" t="s">
        <v>455</v>
      </c>
      <c r="LHH101" t="s">
        <v>455</v>
      </c>
      <c r="LHI101" t="s">
        <v>455</v>
      </c>
      <c r="LHJ101" t="s">
        <v>455</v>
      </c>
      <c r="LHK101" t="s">
        <v>455</v>
      </c>
      <c r="LHL101" t="s">
        <v>455</v>
      </c>
      <c r="LHM101" t="s">
        <v>455</v>
      </c>
      <c r="LHN101" t="s">
        <v>455</v>
      </c>
      <c r="LHO101" t="s">
        <v>455</v>
      </c>
      <c r="LHP101" t="s">
        <v>455</v>
      </c>
      <c r="LHQ101" t="s">
        <v>455</v>
      </c>
      <c r="LHR101" t="s">
        <v>455</v>
      </c>
      <c r="LHS101" t="s">
        <v>455</v>
      </c>
      <c r="LHT101" t="s">
        <v>455</v>
      </c>
      <c r="LHU101" t="s">
        <v>455</v>
      </c>
      <c r="LHV101" t="s">
        <v>455</v>
      </c>
      <c r="LHW101" t="s">
        <v>455</v>
      </c>
      <c r="LHX101" t="s">
        <v>455</v>
      </c>
      <c r="LHY101" t="s">
        <v>455</v>
      </c>
      <c r="LHZ101" t="s">
        <v>455</v>
      </c>
      <c r="LIA101" t="s">
        <v>455</v>
      </c>
      <c r="LIB101" t="s">
        <v>455</v>
      </c>
      <c r="LIC101" t="s">
        <v>455</v>
      </c>
      <c r="LID101" t="s">
        <v>455</v>
      </c>
      <c r="LIE101" t="s">
        <v>455</v>
      </c>
      <c r="LIF101" t="s">
        <v>455</v>
      </c>
      <c r="LIG101" t="s">
        <v>455</v>
      </c>
      <c r="LIH101" t="s">
        <v>455</v>
      </c>
      <c r="LII101" t="s">
        <v>455</v>
      </c>
      <c r="LIJ101" t="s">
        <v>455</v>
      </c>
      <c r="LIK101" t="s">
        <v>455</v>
      </c>
      <c r="LIL101" t="s">
        <v>455</v>
      </c>
      <c r="LIM101" t="s">
        <v>455</v>
      </c>
      <c r="LIN101" t="s">
        <v>455</v>
      </c>
      <c r="LIO101" t="s">
        <v>455</v>
      </c>
      <c r="LIP101" t="s">
        <v>455</v>
      </c>
      <c r="LIQ101" t="s">
        <v>455</v>
      </c>
      <c r="LIR101" t="s">
        <v>455</v>
      </c>
      <c r="LIS101" t="s">
        <v>455</v>
      </c>
      <c r="LIT101" t="s">
        <v>455</v>
      </c>
      <c r="LIU101" t="s">
        <v>455</v>
      </c>
      <c r="LIV101" t="s">
        <v>455</v>
      </c>
      <c r="LIW101" t="s">
        <v>455</v>
      </c>
      <c r="LIX101" t="s">
        <v>455</v>
      </c>
      <c r="LIY101" t="s">
        <v>455</v>
      </c>
      <c r="LIZ101" t="s">
        <v>455</v>
      </c>
      <c r="LJA101" t="s">
        <v>455</v>
      </c>
      <c r="LJB101" t="s">
        <v>455</v>
      </c>
      <c r="LJC101" t="s">
        <v>455</v>
      </c>
      <c r="LJD101" t="s">
        <v>455</v>
      </c>
      <c r="LJE101" t="s">
        <v>455</v>
      </c>
      <c r="LJF101" t="s">
        <v>455</v>
      </c>
      <c r="LJG101" t="s">
        <v>455</v>
      </c>
      <c r="LJH101" t="s">
        <v>455</v>
      </c>
      <c r="LJI101" t="s">
        <v>455</v>
      </c>
      <c r="LJJ101" t="s">
        <v>455</v>
      </c>
      <c r="LJK101" t="s">
        <v>455</v>
      </c>
      <c r="LJL101" t="s">
        <v>455</v>
      </c>
      <c r="LJM101" t="s">
        <v>455</v>
      </c>
      <c r="LJN101" t="s">
        <v>455</v>
      </c>
      <c r="LJO101" t="s">
        <v>455</v>
      </c>
      <c r="LJP101" t="s">
        <v>455</v>
      </c>
      <c r="LJQ101" t="s">
        <v>455</v>
      </c>
      <c r="LJR101" t="s">
        <v>455</v>
      </c>
      <c r="LJS101" t="s">
        <v>455</v>
      </c>
      <c r="LJT101" t="s">
        <v>455</v>
      </c>
      <c r="LJU101" t="s">
        <v>455</v>
      </c>
      <c r="LJV101" t="s">
        <v>455</v>
      </c>
      <c r="LJW101" t="s">
        <v>455</v>
      </c>
      <c r="LJX101" t="s">
        <v>455</v>
      </c>
      <c r="LJY101" t="s">
        <v>455</v>
      </c>
      <c r="LJZ101" t="s">
        <v>455</v>
      </c>
      <c r="LKA101" t="s">
        <v>455</v>
      </c>
      <c r="LKB101" t="s">
        <v>455</v>
      </c>
      <c r="LKC101" t="s">
        <v>455</v>
      </c>
      <c r="LKD101" t="s">
        <v>455</v>
      </c>
      <c r="LKE101" t="s">
        <v>455</v>
      </c>
      <c r="LKF101" t="s">
        <v>455</v>
      </c>
      <c r="LKG101" t="s">
        <v>455</v>
      </c>
      <c r="LKH101" t="s">
        <v>455</v>
      </c>
      <c r="LKI101" t="s">
        <v>455</v>
      </c>
      <c r="LKJ101" t="s">
        <v>455</v>
      </c>
      <c r="LKK101" t="s">
        <v>455</v>
      </c>
      <c r="LKL101" t="s">
        <v>455</v>
      </c>
      <c r="LKM101" t="s">
        <v>455</v>
      </c>
      <c r="LKN101" t="s">
        <v>455</v>
      </c>
      <c r="LKO101" t="s">
        <v>455</v>
      </c>
      <c r="LKP101" t="s">
        <v>455</v>
      </c>
      <c r="LKQ101" t="s">
        <v>455</v>
      </c>
      <c r="LKR101" t="s">
        <v>455</v>
      </c>
      <c r="LKS101" t="s">
        <v>455</v>
      </c>
      <c r="LKT101" t="s">
        <v>455</v>
      </c>
      <c r="LKU101" t="s">
        <v>455</v>
      </c>
      <c r="LKV101" t="s">
        <v>455</v>
      </c>
      <c r="LKW101" t="s">
        <v>455</v>
      </c>
      <c r="LKX101" t="s">
        <v>455</v>
      </c>
      <c r="LKY101" t="s">
        <v>455</v>
      </c>
      <c r="LKZ101" t="s">
        <v>455</v>
      </c>
      <c r="LLA101" t="s">
        <v>455</v>
      </c>
      <c r="LLB101" t="s">
        <v>455</v>
      </c>
      <c r="LLC101" t="s">
        <v>455</v>
      </c>
      <c r="LLD101" t="s">
        <v>455</v>
      </c>
      <c r="LLE101" t="s">
        <v>455</v>
      </c>
      <c r="LLF101" t="s">
        <v>455</v>
      </c>
      <c r="LLG101" t="s">
        <v>455</v>
      </c>
      <c r="LLH101" t="s">
        <v>455</v>
      </c>
      <c r="LLI101" t="s">
        <v>455</v>
      </c>
      <c r="LLJ101" t="s">
        <v>455</v>
      </c>
      <c r="LLK101" t="s">
        <v>455</v>
      </c>
      <c r="LLL101" t="s">
        <v>455</v>
      </c>
      <c r="LLM101" t="s">
        <v>455</v>
      </c>
      <c r="LLN101" t="s">
        <v>455</v>
      </c>
      <c r="LLO101" t="s">
        <v>455</v>
      </c>
      <c r="LLP101" t="s">
        <v>455</v>
      </c>
      <c r="LLQ101" t="s">
        <v>455</v>
      </c>
      <c r="LLR101" t="s">
        <v>455</v>
      </c>
      <c r="LLS101" t="s">
        <v>455</v>
      </c>
      <c r="LLT101" t="s">
        <v>455</v>
      </c>
      <c r="LLU101" t="s">
        <v>455</v>
      </c>
      <c r="LLV101" t="s">
        <v>455</v>
      </c>
      <c r="LLW101" t="s">
        <v>455</v>
      </c>
      <c r="LLX101" t="s">
        <v>455</v>
      </c>
      <c r="LLY101" t="s">
        <v>455</v>
      </c>
      <c r="LLZ101" t="s">
        <v>455</v>
      </c>
      <c r="LMA101" t="s">
        <v>455</v>
      </c>
      <c r="LMB101" t="s">
        <v>455</v>
      </c>
      <c r="LMC101" t="s">
        <v>455</v>
      </c>
      <c r="LMD101" t="s">
        <v>455</v>
      </c>
      <c r="LME101" t="s">
        <v>455</v>
      </c>
      <c r="LMF101" t="s">
        <v>455</v>
      </c>
      <c r="LMG101" t="s">
        <v>455</v>
      </c>
      <c r="LMH101" t="s">
        <v>455</v>
      </c>
      <c r="LMI101" t="s">
        <v>455</v>
      </c>
      <c r="LMJ101" t="s">
        <v>455</v>
      </c>
      <c r="LMK101" t="s">
        <v>455</v>
      </c>
      <c r="LML101" t="s">
        <v>455</v>
      </c>
      <c r="LMM101" t="s">
        <v>455</v>
      </c>
      <c r="LMN101" t="s">
        <v>455</v>
      </c>
      <c r="LMO101" t="s">
        <v>455</v>
      </c>
      <c r="LMP101" t="s">
        <v>455</v>
      </c>
      <c r="LMQ101" t="s">
        <v>455</v>
      </c>
      <c r="LMR101" t="s">
        <v>455</v>
      </c>
      <c r="LMS101" t="s">
        <v>455</v>
      </c>
      <c r="LMT101" t="s">
        <v>455</v>
      </c>
      <c r="LMU101" t="s">
        <v>455</v>
      </c>
      <c r="LMV101" t="s">
        <v>455</v>
      </c>
      <c r="LMW101" t="s">
        <v>455</v>
      </c>
      <c r="LMX101" t="s">
        <v>455</v>
      </c>
      <c r="LMY101" t="s">
        <v>455</v>
      </c>
      <c r="LMZ101" t="s">
        <v>455</v>
      </c>
      <c r="LNA101" t="s">
        <v>455</v>
      </c>
      <c r="LNB101" t="s">
        <v>455</v>
      </c>
      <c r="LNC101" t="s">
        <v>455</v>
      </c>
      <c r="LND101" t="s">
        <v>455</v>
      </c>
      <c r="LNE101" t="s">
        <v>455</v>
      </c>
      <c r="LNF101" t="s">
        <v>455</v>
      </c>
      <c r="LNG101" t="s">
        <v>455</v>
      </c>
      <c r="LNH101" t="s">
        <v>455</v>
      </c>
      <c r="LNI101" t="s">
        <v>455</v>
      </c>
      <c r="LNJ101" t="s">
        <v>455</v>
      </c>
      <c r="LNK101" t="s">
        <v>455</v>
      </c>
      <c r="LNL101" t="s">
        <v>455</v>
      </c>
      <c r="LNM101" t="s">
        <v>455</v>
      </c>
      <c r="LNN101" t="s">
        <v>455</v>
      </c>
      <c r="LNO101" t="s">
        <v>455</v>
      </c>
      <c r="LNP101" t="s">
        <v>455</v>
      </c>
      <c r="LNQ101" t="s">
        <v>455</v>
      </c>
      <c r="LNR101" t="s">
        <v>455</v>
      </c>
      <c r="LNS101" t="s">
        <v>455</v>
      </c>
      <c r="LNT101" t="s">
        <v>455</v>
      </c>
      <c r="LNU101" t="s">
        <v>455</v>
      </c>
      <c r="LNV101" t="s">
        <v>455</v>
      </c>
      <c r="LNW101" t="s">
        <v>455</v>
      </c>
      <c r="LNX101" t="s">
        <v>455</v>
      </c>
      <c r="LNY101" t="s">
        <v>455</v>
      </c>
      <c r="LNZ101" t="s">
        <v>455</v>
      </c>
      <c r="LOA101" t="s">
        <v>455</v>
      </c>
      <c r="LOB101" t="s">
        <v>455</v>
      </c>
      <c r="LOC101" t="s">
        <v>455</v>
      </c>
      <c r="LOD101" t="s">
        <v>455</v>
      </c>
      <c r="LOE101" t="s">
        <v>455</v>
      </c>
      <c r="LOF101" t="s">
        <v>455</v>
      </c>
      <c r="LOG101" t="s">
        <v>455</v>
      </c>
      <c r="LOH101" t="s">
        <v>455</v>
      </c>
      <c r="LOI101" t="s">
        <v>455</v>
      </c>
      <c r="LOJ101" t="s">
        <v>455</v>
      </c>
      <c r="LOK101" t="s">
        <v>455</v>
      </c>
      <c r="LOL101" t="s">
        <v>455</v>
      </c>
      <c r="LOM101" t="s">
        <v>455</v>
      </c>
      <c r="LON101" t="s">
        <v>455</v>
      </c>
      <c r="LOO101" t="s">
        <v>455</v>
      </c>
      <c r="LOP101" t="s">
        <v>455</v>
      </c>
      <c r="LOQ101" t="s">
        <v>455</v>
      </c>
      <c r="LOR101" t="s">
        <v>455</v>
      </c>
      <c r="LOS101" t="s">
        <v>455</v>
      </c>
      <c r="LOT101" t="s">
        <v>455</v>
      </c>
      <c r="LOU101" t="s">
        <v>455</v>
      </c>
      <c r="LOV101" t="s">
        <v>455</v>
      </c>
      <c r="LOW101" t="s">
        <v>455</v>
      </c>
      <c r="LOX101" t="s">
        <v>455</v>
      </c>
      <c r="LOY101" t="s">
        <v>455</v>
      </c>
      <c r="LOZ101" t="s">
        <v>455</v>
      </c>
      <c r="LPA101" t="s">
        <v>455</v>
      </c>
      <c r="LPB101" t="s">
        <v>455</v>
      </c>
      <c r="LPC101" t="s">
        <v>455</v>
      </c>
      <c r="LPD101" t="s">
        <v>455</v>
      </c>
      <c r="LPE101" t="s">
        <v>455</v>
      </c>
      <c r="LPF101" t="s">
        <v>455</v>
      </c>
      <c r="LPG101" t="s">
        <v>455</v>
      </c>
      <c r="LPH101" t="s">
        <v>455</v>
      </c>
      <c r="LPI101" t="s">
        <v>455</v>
      </c>
      <c r="LPJ101" t="s">
        <v>455</v>
      </c>
      <c r="LPK101" t="s">
        <v>455</v>
      </c>
      <c r="LPL101" t="s">
        <v>455</v>
      </c>
      <c r="LPM101" t="s">
        <v>455</v>
      </c>
      <c r="LPN101" t="s">
        <v>455</v>
      </c>
      <c r="LPO101" t="s">
        <v>455</v>
      </c>
      <c r="LPP101" t="s">
        <v>455</v>
      </c>
      <c r="LPQ101" t="s">
        <v>455</v>
      </c>
      <c r="LPR101" t="s">
        <v>455</v>
      </c>
      <c r="LPS101" t="s">
        <v>455</v>
      </c>
      <c r="LPT101" t="s">
        <v>455</v>
      </c>
      <c r="LPU101" t="s">
        <v>455</v>
      </c>
      <c r="LPV101" t="s">
        <v>455</v>
      </c>
      <c r="LPW101" t="s">
        <v>455</v>
      </c>
      <c r="LPX101" t="s">
        <v>455</v>
      </c>
      <c r="LPY101" t="s">
        <v>455</v>
      </c>
      <c r="LPZ101" t="s">
        <v>455</v>
      </c>
      <c r="LQA101" t="s">
        <v>455</v>
      </c>
      <c r="LQB101" t="s">
        <v>455</v>
      </c>
      <c r="LQC101" t="s">
        <v>455</v>
      </c>
      <c r="LQD101" t="s">
        <v>455</v>
      </c>
      <c r="LQE101" t="s">
        <v>455</v>
      </c>
      <c r="LQF101" t="s">
        <v>455</v>
      </c>
      <c r="LQG101" t="s">
        <v>455</v>
      </c>
      <c r="LQH101" t="s">
        <v>455</v>
      </c>
      <c r="LQI101" t="s">
        <v>455</v>
      </c>
      <c r="LQJ101" t="s">
        <v>455</v>
      </c>
      <c r="LQK101" t="s">
        <v>455</v>
      </c>
      <c r="LQL101" t="s">
        <v>455</v>
      </c>
      <c r="LQM101" t="s">
        <v>455</v>
      </c>
      <c r="LQN101" t="s">
        <v>455</v>
      </c>
      <c r="LQO101" t="s">
        <v>455</v>
      </c>
      <c r="LQP101" t="s">
        <v>455</v>
      </c>
      <c r="LQQ101" t="s">
        <v>455</v>
      </c>
      <c r="LQR101" t="s">
        <v>455</v>
      </c>
      <c r="LQS101" t="s">
        <v>455</v>
      </c>
      <c r="LQT101" t="s">
        <v>455</v>
      </c>
      <c r="LQU101" t="s">
        <v>455</v>
      </c>
      <c r="LQV101" t="s">
        <v>455</v>
      </c>
      <c r="LQW101" t="s">
        <v>455</v>
      </c>
      <c r="LQX101" t="s">
        <v>455</v>
      </c>
      <c r="LQY101" t="s">
        <v>455</v>
      </c>
      <c r="LQZ101" t="s">
        <v>455</v>
      </c>
      <c r="LRA101" t="s">
        <v>455</v>
      </c>
      <c r="LRB101" t="s">
        <v>455</v>
      </c>
      <c r="LRC101" t="s">
        <v>455</v>
      </c>
      <c r="LRD101" t="s">
        <v>455</v>
      </c>
      <c r="LRE101" t="s">
        <v>455</v>
      </c>
      <c r="LRF101" t="s">
        <v>455</v>
      </c>
      <c r="LRG101" t="s">
        <v>455</v>
      </c>
      <c r="LRH101" t="s">
        <v>455</v>
      </c>
      <c r="LRI101" t="s">
        <v>455</v>
      </c>
      <c r="LRJ101" t="s">
        <v>455</v>
      </c>
      <c r="LRK101" t="s">
        <v>455</v>
      </c>
      <c r="LRL101" t="s">
        <v>455</v>
      </c>
      <c r="LRM101" t="s">
        <v>455</v>
      </c>
      <c r="LRN101" t="s">
        <v>455</v>
      </c>
      <c r="LRO101" t="s">
        <v>455</v>
      </c>
      <c r="LRP101" t="s">
        <v>455</v>
      </c>
      <c r="LRQ101" t="s">
        <v>455</v>
      </c>
      <c r="LRR101" t="s">
        <v>455</v>
      </c>
      <c r="LRS101" t="s">
        <v>455</v>
      </c>
      <c r="LRT101" t="s">
        <v>455</v>
      </c>
      <c r="LRU101" t="s">
        <v>455</v>
      </c>
      <c r="LRV101" t="s">
        <v>455</v>
      </c>
      <c r="LRW101" t="s">
        <v>455</v>
      </c>
      <c r="LRX101" t="s">
        <v>455</v>
      </c>
      <c r="LRY101" t="s">
        <v>455</v>
      </c>
      <c r="LRZ101" t="s">
        <v>455</v>
      </c>
      <c r="LSA101" t="s">
        <v>455</v>
      </c>
      <c r="LSB101" t="s">
        <v>455</v>
      </c>
      <c r="LSC101" t="s">
        <v>455</v>
      </c>
      <c r="LSD101" t="s">
        <v>455</v>
      </c>
      <c r="LSE101" t="s">
        <v>455</v>
      </c>
      <c r="LSF101" t="s">
        <v>455</v>
      </c>
      <c r="LSG101" t="s">
        <v>455</v>
      </c>
      <c r="LSH101" t="s">
        <v>455</v>
      </c>
      <c r="LSI101" t="s">
        <v>455</v>
      </c>
      <c r="LSJ101" t="s">
        <v>455</v>
      </c>
      <c r="LSK101" t="s">
        <v>455</v>
      </c>
      <c r="LSL101" t="s">
        <v>455</v>
      </c>
      <c r="LSM101" t="s">
        <v>455</v>
      </c>
      <c r="LSN101" t="s">
        <v>455</v>
      </c>
      <c r="LSO101" t="s">
        <v>455</v>
      </c>
      <c r="LSP101" t="s">
        <v>455</v>
      </c>
      <c r="LSQ101" t="s">
        <v>455</v>
      </c>
      <c r="LSR101" t="s">
        <v>455</v>
      </c>
      <c r="LSS101" t="s">
        <v>455</v>
      </c>
      <c r="LST101" t="s">
        <v>455</v>
      </c>
      <c r="LSU101" t="s">
        <v>455</v>
      </c>
      <c r="LSV101" t="s">
        <v>455</v>
      </c>
      <c r="LSW101" t="s">
        <v>455</v>
      </c>
      <c r="LSX101" t="s">
        <v>455</v>
      </c>
      <c r="LSY101" t="s">
        <v>455</v>
      </c>
      <c r="LSZ101" t="s">
        <v>455</v>
      </c>
      <c r="LTA101" t="s">
        <v>455</v>
      </c>
      <c r="LTB101" t="s">
        <v>455</v>
      </c>
      <c r="LTC101" t="s">
        <v>455</v>
      </c>
      <c r="LTD101" t="s">
        <v>455</v>
      </c>
      <c r="LTE101" t="s">
        <v>455</v>
      </c>
      <c r="LTF101" t="s">
        <v>455</v>
      </c>
      <c r="LTG101" t="s">
        <v>455</v>
      </c>
      <c r="LTH101" t="s">
        <v>455</v>
      </c>
      <c r="LTI101" t="s">
        <v>455</v>
      </c>
      <c r="LTJ101" t="s">
        <v>455</v>
      </c>
      <c r="LTK101" t="s">
        <v>455</v>
      </c>
      <c r="LTL101" t="s">
        <v>455</v>
      </c>
      <c r="LTM101" t="s">
        <v>455</v>
      </c>
      <c r="LTN101" t="s">
        <v>455</v>
      </c>
      <c r="LTO101" t="s">
        <v>455</v>
      </c>
      <c r="LTP101" t="s">
        <v>455</v>
      </c>
      <c r="LTQ101" t="s">
        <v>455</v>
      </c>
      <c r="LTR101" t="s">
        <v>455</v>
      </c>
      <c r="LTS101" t="s">
        <v>455</v>
      </c>
      <c r="LTT101" t="s">
        <v>455</v>
      </c>
      <c r="LTU101" t="s">
        <v>455</v>
      </c>
      <c r="LTV101" t="s">
        <v>455</v>
      </c>
      <c r="LTW101" t="s">
        <v>455</v>
      </c>
      <c r="LTX101" t="s">
        <v>455</v>
      </c>
      <c r="LTY101" t="s">
        <v>455</v>
      </c>
      <c r="LTZ101" t="s">
        <v>455</v>
      </c>
      <c r="LUA101" t="s">
        <v>455</v>
      </c>
      <c r="LUB101" t="s">
        <v>455</v>
      </c>
      <c r="LUC101" t="s">
        <v>455</v>
      </c>
      <c r="LUD101" t="s">
        <v>455</v>
      </c>
      <c r="LUE101" t="s">
        <v>455</v>
      </c>
      <c r="LUF101" t="s">
        <v>455</v>
      </c>
      <c r="LUG101" t="s">
        <v>455</v>
      </c>
      <c r="LUH101" t="s">
        <v>455</v>
      </c>
      <c r="LUI101" t="s">
        <v>455</v>
      </c>
      <c r="LUJ101" t="s">
        <v>455</v>
      </c>
      <c r="LUK101" t="s">
        <v>455</v>
      </c>
      <c r="LUL101" t="s">
        <v>455</v>
      </c>
      <c r="LUM101" t="s">
        <v>455</v>
      </c>
      <c r="LUN101" t="s">
        <v>455</v>
      </c>
      <c r="LUO101" t="s">
        <v>455</v>
      </c>
      <c r="LUP101" t="s">
        <v>455</v>
      </c>
      <c r="LUQ101" t="s">
        <v>455</v>
      </c>
      <c r="LUR101" t="s">
        <v>455</v>
      </c>
      <c r="LUS101" t="s">
        <v>455</v>
      </c>
      <c r="LUT101" t="s">
        <v>455</v>
      </c>
      <c r="LUU101" t="s">
        <v>455</v>
      </c>
      <c r="LUV101" t="s">
        <v>455</v>
      </c>
      <c r="LUW101" t="s">
        <v>455</v>
      </c>
      <c r="LUX101" t="s">
        <v>455</v>
      </c>
      <c r="LUY101" t="s">
        <v>455</v>
      </c>
      <c r="LUZ101" t="s">
        <v>455</v>
      </c>
      <c r="LVA101" t="s">
        <v>455</v>
      </c>
      <c r="LVB101" t="s">
        <v>455</v>
      </c>
      <c r="LVC101" t="s">
        <v>455</v>
      </c>
      <c r="LVD101" t="s">
        <v>455</v>
      </c>
      <c r="LVE101" t="s">
        <v>455</v>
      </c>
      <c r="LVF101" t="s">
        <v>455</v>
      </c>
      <c r="LVG101" t="s">
        <v>455</v>
      </c>
      <c r="LVH101" t="s">
        <v>455</v>
      </c>
      <c r="LVI101" t="s">
        <v>455</v>
      </c>
      <c r="LVJ101" t="s">
        <v>455</v>
      </c>
      <c r="LVK101" t="s">
        <v>455</v>
      </c>
      <c r="LVL101" t="s">
        <v>455</v>
      </c>
      <c r="LVM101" t="s">
        <v>455</v>
      </c>
      <c r="LVN101" t="s">
        <v>455</v>
      </c>
      <c r="LVO101" t="s">
        <v>455</v>
      </c>
      <c r="LVP101" t="s">
        <v>455</v>
      </c>
      <c r="LVQ101" t="s">
        <v>455</v>
      </c>
      <c r="LVR101" t="s">
        <v>455</v>
      </c>
      <c r="LVS101" t="s">
        <v>455</v>
      </c>
      <c r="LVT101" t="s">
        <v>455</v>
      </c>
      <c r="LVU101" t="s">
        <v>455</v>
      </c>
      <c r="LVV101" t="s">
        <v>455</v>
      </c>
      <c r="LVW101" t="s">
        <v>455</v>
      </c>
      <c r="LVX101" t="s">
        <v>455</v>
      </c>
      <c r="LVY101" t="s">
        <v>455</v>
      </c>
      <c r="LVZ101" t="s">
        <v>455</v>
      </c>
      <c r="LWA101" t="s">
        <v>455</v>
      </c>
      <c r="LWB101" t="s">
        <v>455</v>
      </c>
      <c r="LWC101" t="s">
        <v>455</v>
      </c>
      <c r="LWD101" t="s">
        <v>455</v>
      </c>
      <c r="LWE101" t="s">
        <v>455</v>
      </c>
      <c r="LWF101" t="s">
        <v>455</v>
      </c>
      <c r="LWG101" t="s">
        <v>455</v>
      </c>
      <c r="LWH101" t="s">
        <v>455</v>
      </c>
      <c r="LWI101" t="s">
        <v>455</v>
      </c>
      <c r="LWJ101" t="s">
        <v>455</v>
      </c>
      <c r="LWK101" t="s">
        <v>455</v>
      </c>
      <c r="LWL101" t="s">
        <v>455</v>
      </c>
      <c r="LWM101" t="s">
        <v>455</v>
      </c>
      <c r="LWN101" t="s">
        <v>455</v>
      </c>
      <c r="LWO101" t="s">
        <v>455</v>
      </c>
      <c r="LWP101" t="s">
        <v>455</v>
      </c>
      <c r="LWQ101" t="s">
        <v>455</v>
      </c>
      <c r="LWR101" t="s">
        <v>455</v>
      </c>
      <c r="LWS101" t="s">
        <v>455</v>
      </c>
      <c r="LWT101" t="s">
        <v>455</v>
      </c>
      <c r="LWU101" t="s">
        <v>455</v>
      </c>
      <c r="LWV101" t="s">
        <v>455</v>
      </c>
      <c r="LWW101" t="s">
        <v>455</v>
      </c>
      <c r="LWX101" t="s">
        <v>455</v>
      </c>
      <c r="LWY101" t="s">
        <v>455</v>
      </c>
      <c r="LWZ101" t="s">
        <v>455</v>
      </c>
      <c r="LXA101" t="s">
        <v>455</v>
      </c>
      <c r="LXB101" t="s">
        <v>455</v>
      </c>
      <c r="LXC101" t="s">
        <v>455</v>
      </c>
      <c r="LXD101" t="s">
        <v>455</v>
      </c>
      <c r="LXE101" t="s">
        <v>455</v>
      </c>
      <c r="LXF101" t="s">
        <v>455</v>
      </c>
      <c r="LXG101" t="s">
        <v>455</v>
      </c>
      <c r="LXH101" t="s">
        <v>455</v>
      </c>
      <c r="LXI101" t="s">
        <v>455</v>
      </c>
      <c r="LXJ101" t="s">
        <v>455</v>
      </c>
      <c r="LXK101" t="s">
        <v>455</v>
      </c>
      <c r="LXL101" t="s">
        <v>455</v>
      </c>
      <c r="LXM101" t="s">
        <v>455</v>
      </c>
      <c r="LXN101" t="s">
        <v>455</v>
      </c>
      <c r="LXO101" t="s">
        <v>455</v>
      </c>
      <c r="LXP101" t="s">
        <v>455</v>
      </c>
      <c r="LXQ101" t="s">
        <v>455</v>
      </c>
      <c r="LXR101" t="s">
        <v>455</v>
      </c>
      <c r="LXS101" t="s">
        <v>455</v>
      </c>
      <c r="LXT101" t="s">
        <v>455</v>
      </c>
      <c r="LXU101" t="s">
        <v>455</v>
      </c>
      <c r="LXV101" t="s">
        <v>455</v>
      </c>
      <c r="LXW101" t="s">
        <v>455</v>
      </c>
      <c r="LXX101" t="s">
        <v>455</v>
      </c>
      <c r="LXY101" t="s">
        <v>455</v>
      </c>
      <c r="LXZ101" t="s">
        <v>455</v>
      </c>
      <c r="LYA101" t="s">
        <v>455</v>
      </c>
      <c r="LYB101" t="s">
        <v>455</v>
      </c>
      <c r="LYC101" t="s">
        <v>455</v>
      </c>
      <c r="LYD101" t="s">
        <v>455</v>
      </c>
      <c r="LYE101" t="s">
        <v>455</v>
      </c>
      <c r="LYF101" t="s">
        <v>455</v>
      </c>
      <c r="LYG101" t="s">
        <v>455</v>
      </c>
      <c r="LYH101" t="s">
        <v>455</v>
      </c>
      <c r="LYI101" t="s">
        <v>455</v>
      </c>
      <c r="LYJ101" t="s">
        <v>455</v>
      </c>
      <c r="LYK101" t="s">
        <v>455</v>
      </c>
      <c r="LYL101" t="s">
        <v>455</v>
      </c>
      <c r="LYM101" t="s">
        <v>455</v>
      </c>
      <c r="LYN101" t="s">
        <v>455</v>
      </c>
      <c r="LYO101" t="s">
        <v>455</v>
      </c>
      <c r="LYP101" t="s">
        <v>455</v>
      </c>
      <c r="LYQ101" t="s">
        <v>455</v>
      </c>
      <c r="LYR101" t="s">
        <v>455</v>
      </c>
      <c r="LYS101" t="s">
        <v>455</v>
      </c>
      <c r="LYT101" t="s">
        <v>455</v>
      </c>
      <c r="LYU101" t="s">
        <v>455</v>
      </c>
      <c r="LYV101" t="s">
        <v>455</v>
      </c>
      <c r="LYW101" t="s">
        <v>455</v>
      </c>
      <c r="LYX101" t="s">
        <v>455</v>
      </c>
      <c r="LYY101" t="s">
        <v>455</v>
      </c>
      <c r="LYZ101" t="s">
        <v>455</v>
      </c>
      <c r="LZA101" t="s">
        <v>455</v>
      </c>
      <c r="LZB101" t="s">
        <v>455</v>
      </c>
      <c r="LZC101" t="s">
        <v>455</v>
      </c>
      <c r="LZD101" t="s">
        <v>455</v>
      </c>
      <c r="LZE101" t="s">
        <v>455</v>
      </c>
      <c r="LZF101" t="s">
        <v>455</v>
      </c>
      <c r="LZG101" t="s">
        <v>455</v>
      </c>
      <c r="LZH101" t="s">
        <v>455</v>
      </c>
      <c r="LZI101" t="s">
        <v>455</v>
      </c>
      <c r="LZJ101" t="s">
        <v>455</v>
      </c>
      <c r="LZK101" t="s">
        <v>455</v>
      </c>
      <c r="LZL101" t="s">
        <v>455</v>
      </c>
      <c r="LZM101" t="s">
        <v>455</v>
      </c>
      <c r="LZN101" t="s">
        <v>455</v>
      </c>
      <c r="LZO101" t="s">
        <v>455</v>
      </c>
      <c r="LZP101" t="s">
        <v>455</v>
      </c>
      <c r="LZQ101" t="s">
        <v>455</v>
      </c>
      <c r="LZR101" t="s">
        <v>455</v>
      </c>
      <c r="LZS101" t="s">
        <v>455</v>
      </c>
      <c r="LZT101" t="s">
        <v>455</v>
      </c>
      <c r="LZU101" t="s">
        <v>455</v>
      </c>
      <c r="LZV101" t="s">
        <v>455</v>
      </c>
      <c r="LZW101" t="s">
        <v>455</v>
      </c>
      <c r="LZX101" t="s">
        <v>455</v>
      </c>
      <c r="LZY101" t="s">
        <v>455</v>
      </c>
      <c r="LZZ101" t="s">
        <v>455</v>
      </c>
      <c r="MAA101" t="s">
        <v>455</v>
      </c>
      <c r="MAB101" t="s">
        <v>455</v>
      </c>
      <c r="MAC101" t="s">
        <v>455</v>
      </c>
      <c r="MAD101" t="s">
        <v>455</v>
      </c>
      <c r="MAE101" t="s">
        <v>455</v>
      </c>
      <c r="MAF101" t="s">
        <v>455</v>
      </c>
      <c r="MAG101" t="s">
        <v>455</v>
      </c>
      <c r="MAH101" t="s">
        <v>455</v>
      </c>
      <c r="MAI101" t="s">
        <v>455</v>
      </c>
      <c r="MAJ101" t="s">
        <v>455</v>
      </c>
      <c r="MAK101" t="s">
        <v>455</v>
      </c>
      <c r="MAL101" t="s">
        <v>455</v>
      </c>
      <c r="MAM101" t="s">
        <v>455</v>
      </c>
      <c r="MAN101" t="s">
        <v>455</v>
      </c>
      <c r="MAO101" t="s">
        <v>455</v>
      </c>
      <c r="MAP101" t="s">
        <v>455</v>
      </c>
      <c r="MAQ101" t="s">
        <v>455</v>
      </c>
      <c r="MAR101" t="s">
        <v>455</v>
      </c>
      <c r="MAS101" t="s">
        <v>455</v>
      </c>
      <c r="MAT101" t="s">
        <v>455</v>
      </c>
      <c r="MAU101" t="s">
        <v>455</v>
      </c>
      <c r="MAV101" t="s">
        <v>455</v>
      </c>
      <c r="MAW101" t="s">
        <v>455</v>
      </c>
      <c r="MAX101" t="s">
        <v>455</v>
      </c>
      <c r="MAY101" t="s">
        <v>455</v>
      </c>
      <c r="MAZ101" t="s">
        <v>455</v>
      </c>
      <c r="MBA101" t="s">
        <v>455</v>
      </c>
      <c r="MBB101" t="s">
        <v>455</v>
      </c>
      <c r="MBC101" t="s">
        <v>455</v>
      </c>
      <c r="MBD101" t="s">
        <v>455</v>
      </c>
      <c r="MBE101" t="s">
        <v>455</v>
      </c>
      <c r="MBF101" t="s">
        <v>455</v>
      </c>
      <c r="MBG101" t="s">
        <v>455</v>
      </c>
      <c r="MBH101" t="s">
        <v>455</v>
      </c>
      <c r="MBI101" t="s">
        <v>455</v>
      </c>
      <c r="MBJ101" t="s">
        <v>455</v>
      </c>
      <c r="MBK101" t="s">
        <v>455</v>
      </c>
      <c r="MBL101" t="s">
        <v>455</v>
      </c>
      <c r="MBM101" t="s">
        <v>455</v>
      </c>
      <c r="MBN101" t="s">
        <v>455</v>
      </c>
      <c r="MBO101" t="s">
        <v>455</v>
      </c>
      <c r="MBP101" t="s">
        <v>455</v>
      </c>
      <c r="MBQ101" t="s">
        <v>455</v>
      </c>
      <c r="MBR101" t="s">
        <v>455</v>
      </c>
      <c r="MBS101" t="s">
        <v>455</v>
      </c>
      <c r="MBT101" t="s">
        <v>455</v>
      </c>
      <c r="MBU101" t="s">
        <v>455</v>
      </c>
      <c r="MBV101" t="s">
        <v>455</v>
      </c>
      <c r="MBW101" t="s">
        <v>455</v>
      </c>
      <c r="MBX101" t="s">
        <v>455</v>
      </c>
      <c r="MBY101" t="s">
        <v>455</v>
      </c>
      <c r="MBZ101" t="s">
        <v>455</v>
      </c>
      <c r="MCA101" t="s">
        <v>455</v>
      </c>
      <c r="MCB101" t="s">
        <v>455</v>
      </c>
      <c r="MCC101" t="s">
        <v>455</v>
      </c>
      <c r="MCD101" t="s">
        <v>455</v>
      </c>
      <c r="MCE101" t="s">
        <v>455</v>
      </c>
      <c r="MCF101" t="s">
        <v>455</v>
      </c>
      <c r="MCG101" t="s">
        <v>455</v>
      </c>
      <c r="MCH101" t="s">
        <v>455</v>
      </c>
      <c r="MCI101" t="s">
        <v>455</v>
      </c>
      <c r="MCJ101" t="s">
        <v>455</v>
      </c>
      <c r="MCK101" t="s">
        <v>455</v>
      </c>
      <c r="MCL101" t="s">
        <v>455</v>
      </c>
      <c r="MCM101" t="s">
        <v>455</v>
      </c>
      <c r="MCN101" t="s">
        <v>455</v>
      </c>
      <c r="MCO101" t="s">
        <v>455</v>
      </c>
      <c r="MCP101" t="s">
        <v>455</v>
      </c>
      <c r="MCQ101" t="s">
        <v>455</v>
      </c>
      <c r="MCR101" t="s">
        <v>455</v>
      </c>
      <c r="MCS101" t="s">
        <v>455</v>
      </c>
      <c r="MCT101" t="s">
        <v>455</v>
      </c>
      <c r="MCU101" t="s">
        <v>455</v>
      </c>
      <c r="MCV101" t="s">
        <v>455</v>
      </c>
      <c r="MCW101" t="s">
        <v>455</v>
      </c>
      <c r="MCX101" t="s">
        <v>455</v>
      </c>
      <c r="MCY101" t="s">
        <v>455</v>
      </c>
      <c r="MCZ101" t="s">
        <v>455</v>
      </c>
      <c r="MDA101" t="s">
        <v>455</v>
      </c>
      <c r="MDB101" t="s">
        <v>455</v>
      </c>
      <c r="MDC101" t="s">
        <v>455</v>
      </c>
      <c r="MDD101" t="s">
        <v>455</v>
      </c>
      <c r="MDE101" t="s">
        <v>455</v>
      </c>
      <c r="MDF101" t="s">
        <v>455</v>
      </c>
      <c r="MDG101" t="s">
        <v>455</v>
      </c>
      <c r="MDH101" t="s">
        <v>455</v>
      </c>
      <c r="MDI101" t="s">
        <v>455</v>
      </c>
      <c r="MDJ101" t="s">
        <v>455</v>
      </c>
      <c r="MDK101" t="s">
        <v>455</v>
      </c>
      <c r="MDL101" t="s">
        <v>455</v>
      </c>
      <c r="MDM101" t="s">
        <v>455</v>
      </c>
      <c r="MDN101" t="s">
        <v>455</v>
      </c>
      <c r="MDO101" t="s">
        <v>455</v>
      </c>
      <c r="MDP101" t="s">
        <v>455</v>
      </c>
      <c r="MDQ101" t="s">
        <v>455</v>
      </c>
      <c r="MDR101" t="s">
        <v>455</v>
      </c>
      <c r="MDS101" t="s">
        <v>455</v>
      </c>
      <c r="MDT101" t="s">
        <v>455</v>
      </c>
      <c r="MDU101" t="s">
        <v>455</v>
      </c>
      <c r="MDV101" t="s">
        <v>455</v>
      </c>
      <c r="MDW101" t="s">
        <v>455</v>
      </c>
      <c r="MDX101" t="s">
        <v>455</v>
      </c>
      <c r="MDY101" t="s">
        <v>455</v>
      </c>
      <c r="MDZ101" t="s">
        <v>455</v>
      </c>
      <c r="MEA101" t="s">
        <v>455</v>
      </c>
      <c r="MEB101" t="s">
        <v>455</v>
      </c>
      <c r="MEC101" t="s">
        <v>455</v>
      </c>
      <c r="MED101" t="s">
        <v>455</v>
      </c>
      <c r="MEE101" t="s">
        <v>455</v>
      </c>
      <c r="MEF101" t="s">
        <v>455</v>
      </c>
      <c r="MEG101" t="s">
        <v>455</v>
      </c>
      <c r="MEH101" t="s">
        <v>455</v>
      </c>
      <c r="MEI101" t="s">
        <v>455</v>
      </c>
      <c r="MEJ101" t="s">
        <v>455</v>
      </c>
      <c r="MEK101" t="s">
        <v>455</v>
      </c>
      <c r="MEL101" t="s">
        <v>455</v>
      </c>
      <c r="MEM101" t="s">
        <v>455</v>
      </c>
      <c r="MEN101" t="s">
        <v>455</v>
      </c>
      <c r="MEO101" t="s">
        <v>455</v>
      </c>
      <c r="MEP101" t="s">
        <v>455</v>
      </c>
      <c r="MEQ101" t="s">
        <v>455</v>
      </c>
      <c r="MER101" t="s">
        <v>455</v>
      </c>
      <c r="MES101" t="s">
        <v>455</v>
      </c>
      <c r="MET101" t="s">
        <v>455</v>
      </c>
      <c r="MEU101" t="s">
        <v>455</v>
      </c>
      <c r="MEV101" t="s">
        <v>455</v>
      </c>
      <c r="MEW101" t="s">
        <v>455</v>
      </c>
      <c r="MEX101" t="s">
        <v>455</v>
      </c>
      <c r="MEY101" t="s">
        <v>455</v>
      </c>
      <c r="MEZ101" t="s">
        <v>455</v>
      </c>
      <c r="MFA101" t="s">
        <v>455</v>
      </c>
      <c r="MFB101" t="s">
        <v>455</v>
      </c>
      <c r="MFC101" t="s">
        <v>455</v>
      </c>
      <c r="MFD101" t="s">
        <v>455</v>
      </c>
      <c r="MFE101" t="s">
        <v>455</v>
      </c>
      <c r="MFF101" t="s">
        <v>455</v>
      </c>
      <c r="MFG101" t="s">
        <v>455</v>
      </c>
      <c r="MFH101" t="s">
        <v>455</v>
      </c>
      <c r="MFI101" t="s">
        <v>455</v>
      </c>
      <c r="MFJ101" t="s">
        <v>455</v>
      </c>
      <c r="MFK101" t="s">
        <v>455</v>
      </c>
      <c r="MFL101" t="s">
        <v>455</v>
      </c>
      <c r="MFM101" t="s">
        <v>455</v>
      </c>
      <c r="MFN101" t="s">
        <v>455</v>
      </c>
      <c r="MFO101" t="s">
        <v>455</v>
      </c>
      <c r="MFP101" t="s">
        <v>455</v>
      </c>
      <c r="MFQ101" t="s">
        <v>455</v>
      </c>
      <c r="MFR101" t="s">
        <v>455</v>
      </c>
      <c r="MFS101" t="s">
        <v>455</v>
      </c>
      <c r="MFT101" t="s">
        <v>455</v>
      </c>
      <c r="MFU101" t="s">
        <v>455</v>
      </c>
      <c r="MFV101" t="s">
        <v>455</v>
      </c>
      <c r="MFW101" t="s">
        <v>455</v>
      </c>
      <c r="MFX101" t="s">
        <v>455</v>
      </c>
      <c r="MFY101" t="s">
        <v>455</v>
      </c>
      <c r="MFZ101" t="s">
        <v>455</v>
      </c>
      <c r="MGA101" t="s">
        <v>455</v>
      </c>
      <c r="MGB101" t="s">
        <v>455</v>
      </c>
      <c r="MGC101" t="s">
        <v>455</v>
      </c>
      <c r="MGD101" t="s">
        <v>455</v>
      </c>
      <c r="MGE101" t="s">
        <v>455</v>
      </c>
      <c r="MGF101" t="s">
        <v>455</v>
      </c>
      <c r="MGG101" t="s">
        <v>455</v>
      </c>
      <c r="MGH101" t="s">
        <v>455</v>
      </c>
      <c r="MGI101" t="s">
        <v>455</v>
      </c>
      <c r="MGJ101" t="s">
        <v>455</v>
      </c>
      <c r="MGK101" t="s">
        <v>455</v>
      </c>
      <c r="MGL101" t="s">
        <v>455</v>
      </c>
      <c r="MGM101" t="s">
        <v>455</v>
      </c>
      <c r="MGN101" t="s">
        <v>455</v>
      </c>
      <c r="MGO101" t="s">
        <v>455</v>
      </c>
      <c r="MGP101" t="s">
        <v>455</v>
      </c>
      <c r="MGQ101" t="s">
        <v>455</v>
      </c>
      <c r="MGR101" t="s">
        <v>455</v>
      </c>
      <c r="MGS101" t="s">
        <v>455</v>
      </c>
      <c r="MGT101" t="s">
        <v>455</v>
      </c>
      <c r="MGU101" t="s">
        <v>455</v>
      </c>
      <c r="MGV101" t="s">
        <v>455</v>
      </c>
      <c r="MGW101" t="s">
        <v>455</v>
      </c>
      <c r="MGX101" t="s">
        <v>455</v>
      </c>
      <c r="MGY101" t="s">
        <v>455</v>
      </c>
      <c r="MGZ101" t="s">
        <v>455</v>
      </c>
      <c r="MHA101" t="s">
        <v>455</v>
      </c>
      <c r="MHB101" t="s">
        <v>455</v>
      </c>
      <c r="MHC101" t="s">
        <v>455</v>
      </c>
      <c r="MHD101" t="s">
        <v>455</v>
      </c>
      <c r="MHE101" t="s">
        <v>455</v>
      </c>
      <c r="MHF101" t="s">
        <v>455</v>
      </c>
      <c r="MHG101" t="s">
        <v>455</v>
      </c>
      <c r="MHH101" t="s">
        <v>455</v>
      </c>
      <c r="MHI101" t="s">
        <v>455</v>
      </c>
      <c r="MHJ101" t="s">
        <v>455</v>
      </c>
      <c r="MHK101" t="s">
        <v>455</v>
      </c>
      <c r="MHL101" t="s">
        <v>455</v>
      </c>
      <c r="MHM101" t="s">
        <v>455</v>
      </c>
      <c r="MHN101" t="s">
        <v>455</v>
      </c>
      <c r="MHO101" t="s">
        <v>455</v>
      </c>
      <c r="MHP101" t="s">
        <v>455</v>
      </c>
      <c r="MHQ101" t="s">
        <v>455</v>
      </c>
      <c r="MHR101" t="s">
        <v>455</v>
      </c>
      <c r="MHS101" t="s">
        <v>455</v>
      </c>
      <c r="MHT101" t="s">
        <v>455</v>
      </c>
      <c r="MHU101" t="s">
        <v>455</v>
      </c>
      <c r="MHV101" t="s">
        <v>455</v>
      </c>
      <c r="MHW101" t="s">
        <v>455</v>
      </c>
      <c r="MHX101" t="s">
        <v>455</v>
      </c>
      <c r="MHY101" t="s">
        <v>455</v>
      </c>
      <c r="MHZ101" t="s">
        <v>455</v>
      </c>
      <c r="MIA101" t="s">
        <v>455</v>
      </c>
      <c r="MIB101" t="s">
        <v>455</v>
      </c>
      <c r="MIC101" t="s">
        <v>455</v>
      </c>
      <c r="MID101" t="s">
        <v>455</v>
      </c>
      <c r="MIE101" t="s">
        <v>455</v>
      </c>
      <c r="MIF101" t="s">
        <v>455</v>
      </c>
      <c r="MIG101" t="s">
        <v>455</v>
      </c>
      <c r="MIH101" t="s">
        <v>455</v>
      </c>
      <c r="MII101" t="s">
        <v>455</v>
      </c>
      <c r="MIJ101" t="s">
        <v>455</v>
      </c>
      <c r="MIK101" t="s">
        <v>455</v>
      </c>
      <c r="MIL101" t="s">
        <v>455</v>
      </c>
      <c r="MIM101" t="s">
        <v>455</v>
      </c>
      <c r="MIN101" t="s">
        <v>455</v>
      </c>
      <c r="MIO101" t="s">
        <v>455</v>
      </c>
      <c r="MIP101" t="s">
        <v>455</v>
      </c>
      <c r="MIQ101" t="s">
        <v>455</v>
      </c>
      <c r="MIR101" t="s">
        <v>455</v>
      </c>
      <c r="MIS101" t="s">
        <v>455</v>
      </c>
      <c r="MIT101" t="s">
        <v>455</v>
      </c>
      <c r="MIU101" t="s">
        <v>455</v>
      </c>
      <c r="MIV101" t="s">
        <v>455</v>
      </c>
      <c r="MIW101" t="s">
        <v>455</v>
      </c>
      <c r="MIX101" t="s">
        <v>455</v>
      </c>
      <c r="MIY101" t="s">
        <v>455</v>
      </c>
      <c r="MIZ101" t="s">
        <v>455</v>
      </c>
      <c r="MJA101" t="s">
        <v>455</v>
      </c>
      <c r="MJB101" t="s">
        <v>455</v>
      </c>
      <c r="MJC101" t="s">
        <v>455</v>
      </c>
      <c r="MJD101" t="s">
        <v>455</v>
      </c>
      <c r="MJE101" t="s">
        <v>455</v>
      </c>
      <c r="MJF101" t="s">
        <v>455</v>
      </c>
      <c r="MJG101" t="s">
        <v>455</v>
      </c>
      <c r="MJH101" t="s">
        <v>455</v>
      </c>
      <c r="MJI101" t="s">
        <v>455</v>
      </c>
      <c r="MJJ101" t="s">
        <v>455</v>
      </c>
      <c r="MJK101" t="s">
        <v>455</v>
      </c>
      <c r="MJL101" t="s">
        <v>455</v>
      </c>
      <c r="MJM101" t="s">
        <v>455</v>
      </c>
      <c r="MJN101" t="s">
        <v>455</v>
      </c>
      <c r="MJO101" t="s">
        <v>455</v>
      </c>
      <c r="MJP101" t="s">
        <v>455</v>
      </c>
      <c r="MJQ101" t="s">
        <v>455</v>
      </c>
      <c r="MJR101" t="s">
        <v>455</v>
      </c>
      <c r="MJS101" t="s">
        <v>455</v>
      </c>
      <c r="MJT101" t="s">
        <v>455</v>
      </c>
      <c r="MJU101" t="s">
        <v>455</v>
      </c>
      <c r="MJV101" t="s">
        <v>455</v>
      </c>
      <c r="MJW101" t="s">
        <v>455</v>
      </c>
      <c r="MJX101" t="s">
        <v>455</v>
      </c>
      <c r="MJY101" t="s">
        <v>455</v>
      </c>
      <c r="MJZ101" t="s">
        <v>455</v>
      </c>
      <c r="MKA101" t="s">
        <v>455</v>
      </c>
      <c r="MKB101" t="s">
        <v>455</v>
      </c>
      <c r="MKC101" t="s">
        <v>455</v>
      </c>
      <c r="MKD101" t="s">
        <v>455</v>
      </c>
      <c r="MKE101" t="s">
        <v>455</v>
      </c>
      <c r="MKF101" t="s">
        <v>455</v>
      </c>
      <c r="MKG101" t="s">
        <v>455</v>
      </c>
      <c r="MKH101" t="s">
        <v>455</v>
      </c>
      <c r="MKI101" t="s">
        <v>455</v>
      </c>
      <c r="MKJ101" t="s">
        <v>455</v>
      </c>
      <c r="MKK101" t="s">
        <v>455</v>
      </c>
      <c r="MKL101" t="s">
        <v>455</v>
      </c>
      <c r="MKM101" t="s">
        <v>455</v>
      </c>
      <c r="MKN101" t="s">
        <v>455</v>
      </c>
      <c r="MKO101" t="s">
        <v>455</v>
      </c>
      <c r="MKP101" t="s">
        <v>455</v>
      </c>
      <c r="MKQ101" t="s">
        <v>455</v>
      </c>
      <c r="MKR101" t="s">
        <v>455</v>
      </c>
      <c r="MKS101" t="s">
        <v>455</v>
      </c>
      <c r="MKT101" t="s">
        <v>455</v>
      </c>
      <c r="MKU101" t="s">
        <v>455</v>
      </c>
      <c r="MKV101" t="s">
        <v>455</v>
      </c>
      <c r="MKW101" t="s">
        <v>455</v>
      </c>
      <c r="MKX101" t="s">
        <v>455</v>
      </c>
      <c r="MKY101" t="s">
        <v>455</v>
      </c>
      <c r="MKZ101" t="s">
        <v>455</v>
      </c>
      <c r="MLA101" t="s">
        <v>455</v>
      </c>
      <c r="MLB101" t="s">
        <v>455</v>
      </c>
      <c r="MLC101" t="s">
        <v>455</v>
      </c>
      <c r="MLD101" t="s">
        <v>455</v>
      </c>
      <c r="MLE101" t="s">
        <v>455</v>
      </c>
      <c r="MLF101" t="s">
        <v>455</v>
      </c>
      <c r="MLG101" t="s">
        <v>455</v>
      </c>
      <c r="MLH101" t="s">
        <v>455</v>
      </c>
      <c r="MLI101" t="s">
        <v>455</v>
      </c>
      <c r="MLJ101" t="s">
        <v>455</v>
      </c>
      <c r="MLK101" t="s">
        <v>455</v>
      </c>
      <c r="MLL101" t="s">
        <v>455</v>
      </c>
      <c r="MLM101" t="s">
        <v>455</v>
      </c>
      <c r="MLN101" t="s">
        <v>455</v>
      </c>
      <c r="MLO101" t="s">
        <v>455</v>
      </c>
      <c r="MLP101" t="s">
        <v>455</v>
      </c>
      <c r="MLQ101" t="s">
        <v>455</v>
      </c>
      <c r="MLR101" t="s">
        <v>455</v>
      </c>
      <c r="MLS101" t="s">
        <v>455</v>
      </c>
      <c r="MLT101" t="s">
        <v>455</v>
      </c>
      <c r="MLU101" t="s">
        <v>455</v>
      </c>
      <c r="MLV101" t="s">
        <v>455</v>
      </c>
      <c r="MLW101" t="s">
        <v>455</v>
      </c>
      <c r="MLX101" t="s">
        <v>455</v>
      </c>
      <c r="MLY101" t="s">
        <v>455</v>
      </c>
      <c r="MLZ101" t="s">
        <v>455</v>
      </c>
      <c r="MMA101" t="s">
        <v>455</v>
      </c>
      <c r="MMB101" t="s">
        <v>455</v>
      </c>
      <c r="MMC101" t="s">
        <v>455</v>
      </c>
      <c r="MMD101" t="s">
        <v>455</v>
      </c>
      <c r="MME101" t="s">
        <v>455</v>
      </c>
      <c r="MMF101" t="s">
        <v>455</v>
      </c>
      <c r="MMG101" t="s">
        <v>455</v>
      </c>
      <c r="MMH101" t="s">
        <v>455</v>
      </c>
      <c r="MMI101" t="s">
        <v>455</v>
      </c>
      <c r="MMJ101" t="s">
        <v>455</v>
      </c>
      <c r="MMK101" t="s">
        <v>455</v>
      </c>
      <c r="MML101" t="s">
        <v>455</v>
      </c>
      <c r="MMM101" t="s">
        <v>455</v>
      </c>
      <c r="MMN101" t="s">
        <v>455</v>
      </c>
      <c r="MMO101" t="s">
        <v>455</v>
      </c>
      <c r="MMP101" t="s">
        <v>455</v>
      </c>
      <c r="MMQ101" t="s">
        <v>455</v>
      </c>
      <c r="MMR101" t="s">
        <v>455</v>
      </c>
      <c r="MMS101" t="s">
        <v>455</v>
      </c>
      <c r="MMT101" t="s">
        <v>455</v>
      </c>
      <c r="MMU101" t="s">
        <v>455</v>
      </c>
      <c r="MMV101" t="s">
        <v>455</v>
      </c>
      <c r="MMW101" t="s">
        <v>455</v>
      </c>
      <c r="MMX101" t="s">
        <v>455</v>
      </c>
      <c r="MMY101" t="s">
        <v>455</v>
      </c>
      <c r="MMZ101" t="s">
        <v>455</v>
      </c>
      <c r="MNA101" t="s">
        <v>455</v>
      </c>
      <c r="MNB101" t="s">
        <v>455</v>
      </c>
      <c r="MNC101" t="s">
        <v>455</v>
      </c>
      <c r="MND101" t="s">
        <v>455</v>
      </c>
      <c r="MNE101" t="s">
        <v>455</v>
      </c>
      <c r="MNF101" t="s">
        <v>455</v>
      </c>
      <c r="MNG101" t="s">
        <v>455</v>
      </c>
      <c r="MNH101" t="s">
        <v>455</v>
      </c>
      <c r="MNI101" t="s">
        <v>455</v>
      </c>
      <c r="MNJ101" t="s">
        <v>455</v>
      </c>
      <c r="MNK101" t="s">
        <v>455</v>
      </c>
      <c r="MNL101" t="s">
        <v>455</v>
      </c>
      <c r="MNM101" t="s">
        <v>455</v>
      </c>
      <c r="MNN101" t="s">
        <v>455</v>
      </c>
      <c r="MNO101" t="s">
        <v>455</v>
      </c>
      <c r="MNP101" t="s">
        <v>455</v>
      </c>
      <c r="MNQ101" t="s">
        <v>455</v>
      </c>
      <c r="MNR101" t="s">
        <v>455</v>
      </c>
      <c r="MNS101" t="s">
        <v>455</v>
      </c>
      <c r="MNT101" t="s">
        <v>455</v>
      </c>
      <c r="MNU101" t="s">
        <v>455</v>
      </c>
      <c r="MNV101" t="s">
        <v>455</v>
      </c>
      <c r="MNW101" t="s">
        <v>455</v>
      </c>
      <c r="MNX101" t="s">
        <v>455</v>
      </c>
      <c r="MNY101" t="s">
        <v>455</v>
      </c>
      <c r="MNZ101" t="s">
        <v>455</v>
      </c>
      <c r="MOA101" t="s">
        <v>455</v>
      </c>
      <c r="MOB101" t="s">
        <v>455</v>
      </c>
      <c r="MOC101" t="s">
        <v>455</v>
      </c>
      <c r="MOD101" t="s">
        <v>455</v>
      </c>
      <c r="MOE101" t="s">
        <v>455</v>
      </c>
      <c r="MOF101" t="s">
        <v>455</v>
      </c>
      <c r="MOG101" t="s">
        <v>455</v>
      </c>
      <c r="MOH101" t="s">
        <v>455</v>
      </c>
      <c r="MOI101" t="s">
        <v>455</v>
      </c>
      <c r="MOJ101" t="s">
        <v>455</v>
      </c>
      <c r="MOK101" t="s">
        <v>455</v>
      </c>
      <c r="MOL101" t="s">
        <v>455</v>
      </c>
      <c r="MOM101" t="s">
        <v>455</v>
      </c>
      <c r="MON101" t="s">
        <v>455</v>
      </c>
      <c r="MOO101" t="s">
        <v>455</v>
      </c>
      <c r="MOP101" t="s">
        <v>455</v>
      </c>
      <c r="MOQ101" t="s">
        <v>455</v>
      </c>
      <c r="MOR101" t="s">
        <v>455</v>
      </c>
      <c r="MOS101" t="s">
        <v>455</v>
      </c>
      <c r="MOT101" t="s">
        <v>455</v>
      </c>
      <c r="MOU101" t="s">
        <v>455</v>
      </c>
      <c r="MOV101" t="s">
        <v>455</v>
      </c>
      <c r="MOW101" t="s">
        <v>455</v>
      </c>
      <c r="MOX101" t="s">
        <v>455</v>
      </c>
      <c r="MOY101" t="s">
        <v>455</v>
      </c>
      <c r="MOZ101" t="s">
        <v>455</v>
      </c>
      <c r="MPA101" t="s">
        <v>455</v>
      </c>
      <c r="MPB101" t="s">
        <v>455</v>
      </c>
      <c r="MPC101" t="s">
        <v>455</v>
      </c>
      <c r="MPD101" t="s">
        <v>455</v>
      </c>
      <c r="MPE101" t="s">
        <v>455</v>
      </c>
      <c r="MPF101" t="s">
        <v>455</v>
      </c>
      <c r="MPG101" t="s">
        <v>455</v>
      </c>
      <c r="MPH101" t="s">
        <v>455</v>
      </c>
      <c r="MPI101" t="s">
        <v>455</v>
      </c>
      <c r="MPJ101" t="s">
        <v>455</v>
      </c>
      <c r="MPK101" t="s">
        <v>455</v>
      </c>
      <c r="MPL101" t="s">
        <v>455</v>
      </c>
      <c r="MPM101" t="s">
        <v>455</v>
      </c>
      <c r="MPN101" t="s">
        <v>455</v>
      </c>
      <c r="MPO101" t="s">
        <v>455</v>
      </c>
      <c r="MPP101" t="s">
        <v>455</v>
      </c>
      <c r="MPQ101" t="s">
        <v>455</v>
      </c>
      <c r="MPR101" t="s">
        <v>455</v>
      </c>
      <c r="MPS101" t="s">
        <v>455</v>
      </c>
      <c r="MPT101" t="s">
        <v>455</v>
      </c>
      <c r="MPU101" t="s">
        <v>455</v>
      </c>
      <c r="MPV101" t="s">
        <v>455</v>
      </c>
      <c r="MPW101" t="s">
        <v>455</v>
      </c>
      <c r="MPX101" t="s">
        <v>455</v>
      </c>
      <c r="MPY101" t="s">
        <v>455</v>
      </c>
      <c r="MPZ101" t="s">
        <v>455</v>
      </c>
      <c r="MQA101" t="s">
        <v>455</v>
      </c>
      <c r="MQB101" t="s">
        <v>455</v>
      </c>
      <c r="MQC101" t="s">
        <v>455</v>
      </c>
      <c r="MQD101" t="s">
        <v>455</v>
      </c>
      <c r="MQE101" t="s">
        <v>455</v>
      </c>
      <c r="MQF101" t="s">
        <v>455</v>
      </c>
      <c r="MQG101" t="s">
        <v>455</v>
      </c>
      <c r="MQH101" t="s">
        <v>455</v>
      </c>
      <c r="MQI101" t="s">
        <v>455</v>
      </c>
      <c r="MQJ101" t="s">
        <v>455</v>
      </c>
      <c r="MQK101" t="s">
        <v>455</v>
      </c>
      <c r="MQL101" t="s">
        <v>455</v>
      </c>
      <c r="MQM101" t="s">
        <v>455</v>
      </c>
      <c r="MQN101" t="s">
        <v>455</v>
      </c>
      <c r="MQO101" t="s">
        <v>455</v>
      </c>
      <c r="MQP101" t="s">
        <v>455</v>
      </c>
      <c r="MQQ101" t="s">
        <v>455</v>
      </c>
      <c r="MQR101" t="s">
        <v>455</v>
      </c>
      <c r="MQS101" t="s">
        <v>455</v>
      </c>
      <c r="MQT101" t="s">
        <v>455</v>
      </c>
      <c r="MQU101" t="s">
        <v>455</v>
      </c>
      <c r="MQV101" t="s">
        <v>455</v>
      </c>
      <c r="MQW101" t="s">
        <v>455</v>
      </c>
      <c r="MQX101" t="s">
        <v>455</v>
      </c>
      <c r="MQY101" t="s">
        <v>455</v>
      </c>
      <c r="MQZ101" t="s">
        <v>455</v>
      </c>
      <c r="MRA101" t="s">
        <v>455</v>
      </c>
      <c r="MRB101" t="s">
        <v>455</v>
      </c>
      <c r="MRC101" t="s">
        <v>455</v>
      </c>
      <c r="MRD101" t="s">
        <v>455</v>
      </c>
      <c r="MRE101" t="s">
        <v>455</v>
      </c>
      <c r="MRF101" t="s">
        <v>455</v>
      </c>
      <c r="MRG101" t="s">
        <v>455</v>
      </c>
      <c r="MRH101" t="s">
        <v>455</v>
      </c>
      <c r="MRI101" t="s">
        <v>455</v>
      </c>
      <c r="MRJ101" t="s">
        <v>455</v>
      </c>
      <c r="MRK101" t="s">
        <v>455</v>
      </c>
      <c r="MRL101" t="s">
        <v>455</v>
      </c>
      <c r="MRM101" t="s">
        <v>455</v>
      </c>
      <c r="MRN101" t="s">
        <v>455</v>
      </c>
      <c r="MRO101" t="s">
        <v>455</v>
      </c>
      <c r="MRP101" t="s">
        <v>455</v>
      </c>
      <c r="MRQ101" t="s">
        <v>455</v>
      </c>
      <c r="MRR101" t="s">
        <v>455</v>
      </c>
      <c r="MRS101" t="s">
        <v>455</v>
      </c>
      <c r="MRT101" t="s">
        <v>455</v>
      </c>
      <c r="MRU101" t="s">
        <v>455</v>
      </c>
      <c r="MRV101" t="s">
        <v>455</v>
      </c>
      <c r="MRW101" t="s">
        <v>455</v>
      </c>
      <c r="MRX101" t="s">
        <v>455</v>
      </c>
      <c r="MRY101" t="s">
        <v>455</v>
      </c>
      <c r="MRZ101" t="s">
        <v>455</v>
      </c>
      <c r="MSA101" t="s">
        <v>455</v>
      </c>
      <c r="MSB101" t="s">
        <v>455</v>
      </c>
      <c r="MSC101" t="s">
        <v>455</v>
      </c>
      <c r="MSD101" t="s">
        <v>455</v>
      </c>
      <c r="MSE101" t="s">
        <v>455</v>
      </c>
      <c r="MSF101" t="s">
        <v>455</v>
      </c>
      <c r="MSG101" t="s">
        <v>455</v>
      </c>
      <c r="MSH101" t="s">
        <v>455</v>
      </c>
      <c r="MSI101" t="s">
        <v>455</v>
      </c>
      <c r="MSJ101" t="s">
        <v>455</v>
      </c>
      <c r="MSK101" t="s">
        <v>455</v>
      </c>
      <c r="MSL101" t="s">
        <v>455</v>
      </c>
      <c r="MSM101" t="s">
        <v>455</v>
      </c>
      <c r="MSN101" t="s">
        <v>455</v>
      </c>
      <c r="MSO101" t="s">
        <v>455</v>
      </c>
      <c r="MSP101" t="s">
        <v>455</v>
      </c>
      <c r="MSQ101" t="s">
        <v>455</v>
      </c>
      <c r="MSR101" t="s">
        <v>455</v>
      </c>
      <c r="MSS101" t="s">
        <v>455</v>
      </c>
      <c r="MST101" t="s">
        <v>455</v>
      </c>
      <c r="MSU101" t="s">
        <v>455</v>
      </c>
      <c r="MSV101" t="s">
        <v>455</v>
      </c>
      <c r="MSW101" t="s">
        <v>455</v>
      </c>
      <c r="MSX101" t="s">
        <v>455</v>
      </c>
      <c r="MSY101" t="s">
        <v>455</v>
      </c>
      <c r="MSZ101" t="s">
        <v>455</v>
      </c>
      <c r="MTA101" t="s">
        <v>455</v>
      </c>
      <c r="MTB101" t="s">
        <v>455</v>
      </c>
      <c r="MTC101" t="s">
        <v>455</v>
      </c>
      <c r="MTD101" t="s">
        <v>455</v>
      </c>
      <c r="MTE101" t="s">
        <v>455</v>
      </c>
      <c r="MTF101" t="s">
        <v>455</v>
      </c>
      <c r="MTG101" t="s">
        <v>455</v>
      </c>
      <c r="MTH101" t="s">
        <v>455</v>
      </c>
      <c r="MTI101" t="s">
        <v>455</v>
      </c>
      <c r="MTJ101" t="s">
        <v>455</v>
      </c>
      <c r="MTK101" t="s">
        <v>455</v>
      </c>
      <c r="MTL101" t="s">
        <v>455</v>
      </c>
      <c r="MTM101" t="s">
        <v>455</v>
      </c>
      <c r="MTN101" t="s">
        <v>455</v>
      </c>
      <c r="MTO101" t="s">
        <v>455</v>
      </c>
      <c r="MTP101" t="s">
        <v>455</v>
      </c>
      <c r="MTQ101" t="s">
        <v>455</v>
      </c>
      <c r="MTR101" t="s">
        <v>455</v>
      </c>
      <c r="MTS101" t="s">
        <v>455</v>
      </c>
      <c r="MTT101" t="s">
        <v>455</v>
      </c>
      <c r="MTU101" t="s">
        <v>455</v>
      </c>
      <c r="MTV101" t="s">
        <v>455</v>
      </c>
      <c r="MTW101" t="s">
        <v>455</v>
      </c>
      <c r="MTX101" t="s">
        <v>455</v>
      </c>
      <c r="MTY101" t="s">
        <v>455</v>
      </c>
      <c r="MTZ101" t="s">
        <v>455</v>
      </c>
      <c r="MUA101" t="s">
        <v>455</v>
      </c>
      <c r="MUB101" t="s">
        <v>455</v>
      </c>
      <c r="MUC101" t="s">
        <v>455</v>
      </c>
      <c r="MUD101" t="s">
        <v>455</v>
      </c>
      <c r="MUE101" t="s">
        <v>455</v>
      </c>
      <c r="MUF101" t="s">
        <v>455</v>
      </c>
      <c r="MUG101" t="s">
        <v>455</v>
      </c>
      <c r="MUH101" t="s">
        <v>455</v>
      </c>
      <c r="MUI101" t="s">
        <v>455</v>
      </c>
      <c r="MUJ101" t="s">
        <v>455</v>
      </c>
      <c r="MUK101" t="s">
        <v>455</v>
      </c>
      <c r="MUL101" t="s">
        <v>455</v>
      </c>
      <c r="MUM101" t="s">
        <v>455</v>
      </c>
      <c r="MUN101" t="s">
        <v>455</v>
      </c>
      <c r="MUO101" t="s">
        <v>455</v>
      </c>
      <c r="MUP101" t="s">
        <v>455</v>
      </c>
      <c r="MUQ101" t="s">
        <v>455</v>
      </c>
      <c r="MUR101" t="s">
        <v>455</v>
      </c>
      <c r="MUS101" t="s">
        <v>455</v>
      </c>
      <c r="MUT101" t="s">
        <v>455</v>
      </c>
      <c r="MUU101" t="s">
        <v>455</v>
      </c>
      <c r="MUV101" t="s">
        <v>455</v>
      </c>
      <c r="MUW101" t="s">
        <v>455</v>
      </c>
      <c r="MUX101" t="s">
        <v>455</v>
      </c>
      <c r="MUY101" t="s">
        <v>455</v>
      </c>
      <c r="MUZ101" t="s">
        <v>455</v>
      </c>
      <c r="MVA101" t="s">
        <v>455</v>
      </c>
      <c r="MVB101" t="s">
        <v>455</v>
      </c>
      <c r="MVC101" t="s">
        <v>455</v>
      </c>
      <c r="MVD101" t="s">
        <v>455</v>
      </c>
      <c r="MVE101" t="s">
        <v>455</v>
      </c>
      <c r="MVF101" t="s">
        <v>455</v>
      </c>
      <c r="MVG101" t="s">
        <v>455</v>
      </c>
      <c r="MVH101" t="s">
        <v>455</v>
      </c>
      <c r="MVI101" t="s">
        <v>455</v>
      </c>
      <c r="MVJ101" t="s">
        <v>455</v>
      </c>
      <c r="MVK101" t="s">
        <v>455</v>
      </c>
      <c r="MVL101" t="s">
        <v>455</v>
      </c>
      <c r="MVM101" t="s">
        <v>455</v>
      </c>
      <c r="MVN101" t="s">
        <v>455</v>
      </c>
      <c r="MVO101" t="s">
        <v>455</v>
      </c>
      <c r="MVP101" t="s">
        <v>455</v>
      </c>
      <c r="MVQ101" t="s">
        <v>455</v>
      </c>
      <c r="MVR101" t="s">
        <v>455</v>
      </c>
      <c r="MVS101" t="s">
        <v>455</v>
      </c>
      <c r="MVT101" t="s">
        <v>455</v>
      </c>
      <c r="MVU101" t="s">
        <v>455</v>
      </c>
      <c r="MVV101" t="s">
        <v>455</v>
      </c>
      <c r="MVW101" t="s">
        <v>455</v>
      </c>
      <c r="MVX101" t="s">
        <v>455</v>
      </c>
      <c r="MVY101" t="s">
        <v>455</v>
      </c>
      <c r="MVZ101" t="s">
        <v>455</v>
      </c>
      <c r="MWA101" t="s">
        <v>455</v>
      </c>
      <c r="MWB101" t="s">
        <v>455</v>
      </c>
      <c r="MWC101" t="s">
        <v>455</v>
      </c>
      <c r="MWD101" t="s">
        <v>455</v>
      </c>
      <c r="MWE101" t="s">
        <v>455</v>
      </c>
      <c r="MWF101" t="s">
        <v>455</v>
      </c>
      <c r="MWG101" t="s">
        <v>455</v>
      </c>
      <c r="MWH101" t="s">
        <v>455</v>
      </c>
      <c r="MWI101" t="s">
        <v>455</v>
      </c>
      <c r="MWJ101" t="s">
        <v>455</v>
      </c>
      <c r="MWK101" t="s">
        <v>455</v>
      </c>
      <c r="MWL101" t="s">
        <v>455</v>
      </c>
      <c r="MWM101" t="s">
        <v>455</v>
      </c>
      <c r="MWN101" t="s">
        <v>455</v>
      </c>
      <c r="MWO101" t="s">
        <v>455</v>
      </c>
      <c r="MWP101" t="s">
        <v>455</v>
      </c>
      <c r="MWQ101" t="s">
        <v>455</v>
      </c>
      <c r="MWR101" t="s">
        <v>455</v>
      </c>
      <c r="MWS101" t="s">
        <v>455</v>
      </c>
      <c r="MWT101" t="s">
        <v>455</v>
      </c>
      <c r="MWU101" t="s">
        <v>455</v>
      </c>
      <c r="MWV101" t="s">
        <v>455</v>
      </c>
      <c r="MWW101" t="s">
        <v>455</v>
      </c>
      <c r="MWX101" t="s">
        <v>455</v>
      </c>
      <c r="MWY101" t="s">
        <v>455</v>
      </c>
      <c r="MWZ101" t="s">
        <v>455</v>
      </c>
      <c r="MXA101" t="s">
        <v>455</v>
      </c>
      <c r="MXB101" t="s">
        <v>455</v>
      </c>
      <c r="MXC101" t="s">
        <v>455</v>
      </c>
      <c r="MXD101" t="s">
        <v>455</v>
      </c>
      <c r="MXE101" t="s">
        <v>455</v>
      </c>
      <c r="MXF101" t="s">
        <v>455</v>
      </c>
      <c r="MXG101" t="s">
        <v>455</v>
      </c>
      <c r="MXH101" t="s">
        <v>455</v>
      </c>
      <c r="MXI101" t="s">
        <v>455</v>
      </c>
      <c r="MXJ101" t="s">
        <v>455</v>
      </c>
      <c r="MXK101" t="s">
        <v>455</v>
      </c>
      <c r="MXL101" t="s">
        <v>455</v>
      </c>
      <c r="MXM101" t="s">
        <v>455</v>
      </c>
      <c r="MXN101" t="s">
        <v>455</v>
      </c>
      <c r="MXO101" t="s">
        <v>455</v>
      </c>
      <c r="MXP101" t="s">
        <v>455</v>
      </c>
      <c r="MXQ101" t="s">
        <v>455</v>
      </c>
      <c r="MXR101" t="s">
        <v>455</v>
      </c>
      <c r="MXS101" t="s">
        <v>455</v>
      </c>
      <c r="MXT101" t="s">
        <v>455</v>
      </c>
      <c r="MXU101" t="s">
        <v>455</v>
      </c>
      <c r="MXV101" t="s">
        <v>455</v>
      </c>
      <c r="MXW101" t="s">
        <v>455</v>
      </c>
      <c r="MXX101" t="s">
        <v>455</v>
      </c>
      <c r="MXY101" t="s">
        <v>455</v>
      </c>
      <c r="MXZ101" t="s">
        <v>455</v>
      </c>
      <c r="MYA101" t="s">
        <v>455</v>
      </c>
      <c r="MYB101" t="s">
        <v>455</v>
      </c>
      <c r="MYC101" t="s">
        <v>455</v>
      </c>
      <c r="MYD101" t="s">
        <v>455</v>
      </c>
      <c r="MYE101" t="s">
        <v>455</v>
      </c>
      <c r="MYF101" t="s">
        <v>455</v>
      </c>
      <c r="MYG101" t="s">
        <v>455</v>
      </c>
      <c r="MYH101" t="s">
        <v>455</v>
      </c>
      <c r="MYI101" t="s">
        <v>455</v>
      </c>
      <c r="MYJ101" t="s">
        <v>455</v>
      </c>
      <c r="MYK101" t="s">
        <v>455</v>
      </c>
      <c r="MYL101" t="s">
        <v>455</v>
      </c>
      <c r="MYM101" t="s">
        <v>455</v>
      </c>
      <c r="MYN101" t="s">
        <v>455</v>
      </c>
      <c r="MYO101" t="s">
        <v>455</v>
      </c>
      <c r="MYP101" t="s">
        <v>455</v>
      </c>
      <c r="MYQ101" t="s">
        <v>455</v>
      </c>
      <c r="MYR101" t="s">
        <v>455</v>
      </c>
      <c r="MYS101" t="s">
        <v>455</v>
      </c>
      <c r="MYT101" t="s">
        <v>455</v>
      </c>
      <c r="MYU101" t="s">
        <v>455</v>
      </c>
      <c r="MYV101" t="s">
        <v>455</v>
      </c>
      <c r="MYW101" t="s">
        <v>455</v>
      </c>
      <c r="MYX101" t="s">
        <v>455</v>
      </c>
      <c r="MYY101" t="s">
        <v>455</v>
      </c>
      <c r="MYZ101" t="s">
        <v>455</v>
      </c>
      <c r="MZA101" t="s">
        <v>455</v>
      </c>
      <c r="MZB101" t="s">
        <v>455</v>
      </c>
      <c r="MZC101" t="s">
        <v>455</v>
      </c>
      <c r="MZD101" t="s">
        <v>455</v>
      </c>
      <c r="MZE101" t="s">
        <v>455</v>
      </c>
      <c r="MZF101" t="s">
        <v>455</v>
      </c>
      <c r="MZG101" t="s">
        <v>455</v>
      </c>
      <c r="MZH101" t="s">
        <v>455</v>
      </c>
      <c r="MZI101" t="s">
        <v>455</v>
      </c>
      <c r="MZJ101" t="s">
        <v>455</v>
      </c>
      <c r="MZK101" t="s">
        <v>455</v>
      </c>
      <c r="MZL101" t="s">
        <v>455</v>
      </c>
      <c r="MZM101" t="s">
        <v>455</v>
      </c>
      <c r="MZN101" t="s">
        <v>455</v>
      </c>
      <c r="MZO101" t="s">
        <v>455</v>
      </c>
      <c r="MZP101" t="s">
        <v>455</v>
      </c>
      <c r="MZQ101" t="s">
        <v>455</v>
      </c>
      <c r="MZR101" t="s">
        <v>455</v>
      </c>
      <c r="MZS101" t="s">
        <v>455</v>
      </c>
      <c r="MZT101" t="s">
        <v>455</v>
      </c>
      <c r="MZU101" t="s">
        <v>455</v>
      </c>
      <c r="MZV101" t="s">
        <v>455</v>
      </c>
      <c r="MZW101" t="s">
        <v>455</v>
      </c>
      <c r="MZX101" t="s">
        <v>455</v>
      </c>
      <c r="MZY101" t="s">
        <v>455</v>
      </c>
      <c r="MZZ101" t="s">
        <v>455</v>
      </c>
      <c r="NAA101" t="s">
        <v>455</v>
      </c>
      <c r="NAB101" t="s">
        <v>455</v>
      </c>
      <c r="NAC101" t="s">
        <v>455</v>
      </c>
      <c r="NAD101" t="s">
        <v>455</v>
      </c>
      <c r="NAE101" t="s">
        <v>455</v>
      </c>
      <c r="NAF101" t="s">
        <v>455</v>
      </c>
      <c r="NAG101" t="s">
        <v>455</v>
      </c>
      <c r="NAH101" t="s">
        <v>455</v>
      </c>
      <c r="NAI101" t="s">
        <v>455</v>
      </c>
      <c r="NAJ101" t="s">
        <v>455</v>
      </c>
      <c r="NAK101" t="s">
        <v>455</v>
      </c>
      <c r="NAL101" t="s">
        <v>455</v>
      </c>
      <c r="NAM101" t="s">
        <v>455</v>
      </c>
      <c r="NAN101" t="s">
        <v>455</v>
      </c>
      <c r="NAO101" t="s">
        <v>455</v>
      </c>
      <c r="NAP101" t="s">
        <v>455</v>
      </c>
      <c r="NAQ101" t="s">
        <v>455</v>
      </c>
      <c r="NAR101" t="s">
        <v>455</v>
      </c>
      <c r="NAS101" t="s">
        <v>455</v>
      </c>
      <c r="NAT101" t="s">
        <v>455</v>
      </c>
      <c r="NAU101" t="s">
        <v>455</v>
      </c>
      <c r="NAV101" t="s">
        <v>455</v>
      </c>
      <c r="NAW101" t="s">
        <v>455</v>
      </c>
      <c r="NAX101" t="s">
        <v>455</v>
      </c>
      <c r="NAY101" t="s">
        <v>455</v>
      </c>
      <c r="NAZ101" t="s">
        <v>455</v>
      </c>
      <c r="NBA101" t="s">
        <v>455</v>
      </c>
      <c r="NBB101" t="s">
        <v>455</v>
      </c>
      <c r="NBC101" t="s">
        <v>455</v>
      </c>
      <c r="NBD101" t="s">
        <v>455</v>
      </c>
      <c r="NBE101" t="s">
        <v>455</v>
      </c>
      <c r="NBF101" t="s">
        <v>455</v>
      </c>
      <c r="NBG101" t="s">
        <v>455</v>
      </c>
      <c r="NBH101" t="s">
        <v>455</v>
      </c>
      <c r="NBI101" t="s">
        <v>455</v>
      </c>
      <c r="NBJ101" t="s">
        <v>455</v>
      </c>
      <c r="NBK101" t="s">
        <v>455</v>
      </c>
      <c r="NBL101" t="s">
        <v>455</v>
      </c>
      <c r="NBM101" t="s">
        <v>455</v>
      </c>
      <c r="NBN101" t="s">
        <v>455</v>
      </c>
      <c r="NBO101" t="s">
        <v>455</v>
      </c>
      <c r="NBP101" t="s">
        <v>455</v>
      </c>
      <c r="NBQ101" t="s">
        <v>455</v>
      </c>
      <c r="NBR101" t="s">
        <v>455</v>
      </c>
      <c r="NBS101" t="s">
        <v>455</v>
      </c>
      <c r="NBT101" t="s">
        <v>455</v>
      </c>
      <c r="NBU101" t="s">
        <v>455</v>
      </c>
      <c r="NBV101" t="s">
        <v>455</v>
      </c>
      <c r="NBW101" t="s">
        <v>455</v>
      </c>
      <c r="NBX101" t="s">
        <v>455</v>
      </c>
      <c r="NBY101" t="s">
        <v>455</v>
      </c>
      <c r="NBZ101" t="s">
        <v>455</v>
      </c>
      <c r="NCA101" t="s">
        <v>455</v>
      </c>
      <c r="NCB101" t="s">
        <v>455</v>
      </c>
      <c r="NCC101" t="s">
        <v>455</v>
      </c>
      <c r="NCD101" t="s">
        <v>455</v>
      </c>
      <c r="NCE101" t="s">
        <v>455</v>
      </c>
      <c r="NCF101" t="s">
        <v>455</v>
      </c>
      <c r="NCG101" t="s">
        <v>455</v>
      </c>
      <c r="NCH101" t="s">
        <v>455</v>
      </c>
      <c r="NCI101" t="s">
        <v>455</v>
      </c>
      <c r="NCJ101" t="s">
        <v>455</v>
      </c>
      <c r="NCK101" t="s">
        <v>455</v>
      </c>
      <c r="NCL101" t="s">
        <v>455</v>
      </c>
      <c r="NCM101" t="s">
        <v>455</v>
      </c>
      <c r="NCN101" t="s">
        <v>455</v>
      </c>
      <c r="NCO101" t="s">
        <v>455</v>
      </c>
      <c r="NCP101" t="s">
        <v>455</v>
      </c>
      <c r="NCQ101" t="s">
        <v>455</v>
      </c>
      <c r="NCR101" t="s">
        <v>455</v>
      </c>
      <c r="NCS101" t="s">
        <v>455</v>
      </c>
      <c r="NCT101" t="s">
        <v>455</v>
      </c>
      <c r="NCU101" t="s">
        <v>455</v>
      </c>
      <c r="NCV101" t="s">
        <v>455</v>
      </c>
      <c r="NCW101" t="s">
        <v>455</v>
      </c>
      <c r="NCX101" t="s">
        <v>455</v>
      </c>
      <c r="NCY101" t="s">
        <v>455</v>
      </c>
      <c r="NCZ101" t="s">
        <v>455</v>
      </c>
      <c r="NDA101" t="s">
        <v>455</v>
      </c>
      <c r="NDB101" t="s">
        <v>455</v>
      </c>
      <c r="NDC101" t="s">
        <v>455</v>
      </c>
      <c r="NDD101" t="s">
        <v>455</v>
      </c>
      <c r="NDE101" t="s">
        <v>455</v>
      </c>
      <c r="NDF101" t="s">
        <v>455</v>
      </c>
      <c r="NDG101" t="s">
        <v>455</v>
      </c>
      <c r="NDH101" t="s">
        <v>455</v>
      </c>
      <c r="NDI101" t="s">
        <v>455</v>
      </c>
      <c r="NDJ101" t="s">
        <v>455</v>
      </c>
      <c r="NDK101" t="s">
        <v>455</v>
      </c>
      <c r="NDL101" t="s">
        <v>455</v>
      </c>
      <c r="NDM101" t="s">
        <v>455</v>
      </c>
      <c r="NDN101" t="s">
        <v>455</v>
      </c>
      <c r="NDO101" t="s">
        <v>455</v>
      </c>
      <c r="NDP101" t="s">
        <v>455</v>
      </c>
      <c r="NDQ101" t="s">
        <v>455</v>
      </c>
      <c r="NDR101" t="s">
        <v>455</v>
      </c>
      <c r="NDS101" t="s">
        <v>455</v>
      </c>
      <c r="NDT101" t="s">
        <v>455</v>
      </c>
      <c r="NDU101" t="s">
        <v>455</v>
      </c>
      <c r="NDV101" t="s">
        <v>455</v>
      </c>
      <c r="NDW101" t="s">
        <v>455</v>
      </c>
      <c r="NDX101" t="s">
        <v>455</v>
      </c>
      <c r="NDY101" t="s">
        <v>455</v>
      </c>
      <c r="NDZ101" t="s">
        <v>455</v>
      </c>
      <c r="NEA101" t="s">
        <v>455</v>
      </c>
      <c r="NEB101" t="s">
        <v>455</v>
      </c>
      <c r="NEC101" t="s">
        <v>455</v>
      </c>
      <c r="NED101" t="s">
        <v>455</v>
      </c>
      <c r="NEE101" t="s">
        <v>455</v>
      </c>
      <c r="NEF101" t="s">
        <v>455</v>
      </c>
      <c r="NEG101" t="s">
        <v>455</v>
      </c>
      <c r="NEH101" t="s">
        <v>455</v>
      </c>
      <c r="NEI101" t="s">
        <v>455</v>
      </c>
      <c r="NEJ101" t="s">
        <v>455</v>
      </c>
      <c r="NEK101" t="s">
        <v>455</v>
      </c>
      <c r="NEL101" t="s">
        <v>455</v>
      </c>
      <c r="NEM101" t="s">
        <v>455</v>
      </c>
      <c r="NEN101" t="s">
        <v>455</v>
      </c>
      <c r="NEO101" t="s">
        <v>455</v>
      </c>
      <c r="NEP101" t="s">
        <v>455</v>
      </c>
      <c r="NEQ101" t="s">
        <v>455</v>
      </c>
      <c r="NER101" t="s">
        <v>455</v>
      </c>
      <c r="NES101" t="s">
        <v>455</v>
      </c>
      <c r="NET101" t="s">
        <v>455</v>
      </c>
      <c r="NEU101" t="s">
        <v>455</v>
      </c>
      <c r="NEV101" t="s">
        <v>455</v>
      </c>
      <c r="NEW101" t="s">
        <v>455</v>
      </c>
      <c r="NEX101" t="s">
        <v>455</v>
      </c>
      <c r="NEY101" t="s">
        <v>455</v>
      </c>
      <c r="NEZ101" t="s">
        <v>455</v>
      </c>
      <c r="NFA101" t="s">
        <v>455</v>
      </c>
      <c r="NFB101" t="s">
        <v>455</v>
      </c>
      <c r="NFC101" t="s">
        <v>455</v>
      </c>
      <c r="NFD101" t="s">
        <v>455</v>
      </c>
      <c r="NFE101" t="s">
        <v>455</v>
      </c>
      <c r="NFF101" t="s">
        <v>455</v>
      </c>
      <c r="NFG101" t="s">
        <v>455</v>
      </c>
      <c r="NFH101" t="s">
        <v>455</v>
      </c>
      <c r="NFI101" t="s">
        <v>455</v>
      </c>
      <c r="NFJ101" t="s">
        <v>455</v>
      </c>
      <c r="NFK101" t="s">
        <v>455</v>
      </c>
      <c r="NFL101" t="s">
        <v>455</v>
      </c>
      <c r="NFM101" t="s">
        <v>455</v>
      </c>
      <c r="NFN101" t="s">
        <v>455</v>
      </c>
      <c r="NFO101" t="s">
        <v>455</v>
      </c>
      <c r="NFP101" t="s">
        <v>455</v>
      </c>
      <c r="NFQ101" t="s">
        <v>455</v>
      </c>
      <c r="NFR101" t="s">
        <v>455</v>
      </c>
      <c r="NFS101" t="s">
        <v>455</v>
      </c>
      <c r="NFT101" t="s">
        <v>455</v>
      </c>
      <c r="NFU101" t="s">
        <v>455</v>
      </c>
      <c r="NFV101" t="s">
        <v>455</v>
      </c>
      <c r="NFW101" t="s">
        <v>455</v>
      </c>
      <c r="NFX101" t="s">
        <v>455</v>
      </c>
      <c r="NFY101" t="s">
        <v>455</v>
      </c>
      <c r="NFZ101" t="s">
        <v>455</v>
      </c>
      <c r="NGA101" t="s">
        <v>455</v>
      </c>
      <c r="NGB101" t="s">
        <v>455</v>
      </c>
      <c r="NGC101" t="s">
        <v>455</v>
      </c>
      <c r="NGD101" t="s">
        <v>455</v>
      </c>
      <c r="NGE101" t="s">
        <v>455</v>
      </c>
      <c r="NGF101" t="s">
        <v>455</v>
      </c>
      <c r="NGG101" t="s">
        <v>455</v>
      </c>
      <c r="NGH101" t="s">
        <v>455</v>
      </c>
      <c r="NGI101" t="s">
        <v>455</v>
      </c>
      <c r="NGJ101" t="s">
        <v>455</v>
      </c>
      <c r="NGK101" t="s">
        <v>455</v>
      </c>
      <c r="NGL101" t="s">
        <v>455</v>
      </c>
      <c r="NGM101" t="s">
        <v>455</v>
      </c>
      <c r="NGN101" t="s">
        <v>455</v>
      </c>
      <c r="NGO101" t="s">
        <v>455</v>
      </c>
      <c r="NGP101" t="s">
        <v>455</v>
      </c>
      <c r="NGQ101" t="s">
        <v>455</v>
      </c>
      <c r="NGR101" t="s">
        <v>455</v>
      </c>
      <c r="NGS101" t="s">
        <v>455</v>
      </c>
      <c r="NGT101" t="s">
        <v>455</v>
      </c>
      <c r="NGU101" t="s">
        <v>455</v>
      </c>
      <c r="NGV101" t="s">
        <v>455</v>
      </c>
      <c r="NGW101" t="s">
        <v>455</v>
      </c>
      <c r="NGX101" t="s">
        <v>455</v>
      </c>
      <c r="NGY101" t="s">
        <v>455</v>
      </c>
      <c r="NGZ101" t="s">
        <v>455</v>
      </c>
      <c r="NHA101" t="s">
        <v>455</v>
      </c>
      <c r="NHB101" t="s">
        <v>455</v>
      </c>
      <c r="NHC101" t="s">
        <v>455</v>
      </c>
      <c r="NHD101" t="s">
        <v>455</v>
      </c>
      <c r="NHE101" t="s">
        <v>455</v>
      </c>
      <c r="NHF101" t="s">
        <v>455</v>
      </c>
      <c r="NHG101" t="s">
        <v>455</v>
      </c>
      <c r="NHH101" t="s">
        <v>455</v>
      </c>
      <c r="NHI101" t="s">
        <v>455</v>
      </c>
      <c r="NHJ101" t="s">
        <v>455</v>
      </c>
      <c r="NHK101" t="s">
        <v>455</v>
      </c>
      <c r="NHL101" t="s">
        <v>455</v>
      </c>
      <c r="NHM101" t="s">
        <v>455</v>
      </c>
      <c r="NHN101" t="s">
        <v>455</v>
      </c>
      <c r="NHO101" t="s">
        <v>455</v>
      </c>
      <c r="NHP101" t="s">
        <v>455</v>
      </c>
      <c r="NHQ101" t="s">
        <v>455</v>
      </c>
      <c r="NHR101" t="s">
        <v>455</v>
      </c>
      <c r="NHS101" t="s">
        <v>455</v>
      </c>
      <c r="NHT101" t="s">
        <v>455</v>
      </c>
      <c r="NHU101" t="s">
        <v>455</v>
      </c>
      <c r="NHV101" t="s">
        <v>455</v>
      </c>
      <c r="NHW101" t="s">
        <v>455</v>
      </c>
      <c r="NHX101" t="s">
        <v>455</v>
      </c>
      <c r="NHY101" t="s">
        <v>455</v>
      </c>
      <c r="NHZ101" t="s">
        <v>455</v>
      </c>
      <c r="NIA101" t="s">
        <v>455</v>
      </c>
      <c r="NIB101" t="s">
        <v>455</v>
      </c>
      <c r="NIC101" t="s">
        <v>455</v>
      </c>
      <c r="NID101" t="s">
        <v>455</v>
      </c>
      <c r="NIE101" t="s">
        <v>455</v>
      </c>
      <c r="NIF101" t="s">
        <v>455</v>
      </c>
      <c r="NIG101" t="s">
        <v>455</v>
      </c>
      <c r="NIH101" t="s">
        <v>455</v>
      </c>
      <c r="NII101" t="s">
        <v>455</v>
      </c>
      <c r="NIJ101" t="s">
        <v>455</v>
      </c>
      <c r="NIK101" t="s">
        <v>455</v>
      </c>
      <c r="NIL101" t="s">
        <v>455</v>
      </c>
      <c r="NIM101" t="s">
        <v>455</v>
      </c>
      <c r="NIN101" t="s">
        <v>455</v>
      </c>
      <c r="NIO101" t="s">
        <v>455</v>
      </c>
      <c r="NIP101" t="s">
        <v>455</v>
      </c>
      <c r="NIQ101" t="s">
        <v>455</v>
      </c>
      <c r="NIR101" t="s">
        <v>455</v>
      </c>
      <c r="NIS101" t="s">
        <v>455</v>
      </c>
      <c r="NIT101" t="s">
        <v>455</v>
      </c>
      <c r="NIU101" t="s">
        <v>455</v>
      </c>
      <c r="NIV101" t="s">
        <v>455</v>
      </c>
      <c r="NIW101" t="s">
        <v>455</v>
      </c>
      <c r="NIX101" t="s">
        <v>455</v>
      </c>
      <c r="NIY101" t="s">
        <v>455</v>
      </c>
      <c r="NIZ101" t="s">
        <v>455</v>
      </c>
      <c r="NJA101" t="s">
        <v>455</v>
      </c>
      <c r="NJB101" t="s">
        <v>455</v>
      </c>
      <c r="NJC101" t="s">
        <v>455</v>
      </c>
      <c r="NJD101" t="s">
        <v>455</v>
      </c>
      <c r="NJE101" t="s">
        <v>455</v>
      </c>
      <c r="NJF101" t="s">
        <v>455</v>
      </c>
      <c r="NJG101" t="s">
        <v>455</v>
      </c>
      <c r="NJH101" t="s">
        <v>455</v>
      </c>
      <c r="NJI101" t="s">
        <v>455</v>
      </c>
      <c r="NJJ101" t="s">
        <v>455</v>
      </c>
      <c r="NJK101" t="s">
        <v>455</v>
      </c>
      <c r="NJL101" t="s">
        <v>455</v>
      </c>
      <c r="NJM101" t="s">
        <v>455</v>
      </c>
      <c r="NJN101" t="s">
        <v>455</v>
      </c>
      <c r="NJO101" t="s">
        <v>455</v>
      </c>
      <c r="NJP101" t="s">
        <v>455</v>
      </c>
      <c r="NJQ101" t="s">
        <v>455</v>
      </c>
      <c r="NJR101" t="s">
        <v>455</v>
      </c>
      <c r="NJS101" t="s">
        <v>455</v>
      </c>
      <c r="NJT101" t="s">
        <v>455</v>
      </c>
      <c r="NJU101" t="s">
        <v>455</v>
      </c>
      <c r="NJV101" t="s">
        <v>455</v>
      </c>
      <c r="NJW101" t="s">
        <v>455</v>
      </c>
      <c r="NJX101" t="s">
        <v>455</v>
      </c>
      <c r="NJY101" t="s">
        <v>455</v>
      </c>
      <c r="NJZ101" t="s">
        <v>455</v>
      </c>
      <c r="NKA101" t="s">
        <v>455</v>
      </c>
      <c r="NKB101" t="s">
        <v>455</v>
      </c>
      <c r="NKC101" t="s">
        <v>455</v>
      </c>
      <c r="NKD101" t="s">
        <v>455</v>
      </c>
      <c r="NKE101" t="s">
        <v>455</v>
      </c>
      <c r="NKF101" t="s">
        <v>455</v>
      </c>
      <c r="NKG101" t="s">
        <v>455</v>
      </c>
      <c r="NKH101" t="s">
        <v>455</v>
      </c>
      <c r="NKI101" t="s">
        <v>455</v>
      </c>
      <c r="NKJ101" t="s">
        <v>455</v>
      </c>
      <c r="NKK101" t="s">
        <v>455</v>
      </c>
      <c r="NKL101" t="s">
        <v>455</v>
      </c>
      <c r="NKM101" t="s">
        <v>455</v>
      </c>
      <c r="NKN101" t="s">
        <v>455</v>
      </c>
      <c r="NKO101" t="s">
        <v>455</v>
      </c>
      <c r="NKP101" t="s">
        <v>455</v>
      </c>
      <c r="NKQ101" t="s">
        <v>455</v>
      </c>
      <c r="NKR101" t="s">
        <v>455</v>
      </c>
      <c r="NKS101" t="s">
        <v>455</v>
      </c>
      <c r="NKT101" t="s">
        <v>455</v>
      </c>
      <c r="NKU101" t="s">
        <v>455</v>
      </c>
      <c r="NKV101" t="s">
        <v>455</v>
      </c>
      <c r="NKW101" t="s">
        <v>455</v>
      </c>
      <c r="NKX101" t="s">
        <v>455</v>
      </c>
      <c r="NKY101" t="s">
        <v>455</v>
      </c>
      <c r="NKZ101" t="s">
        <v>455</v>
      </c>
      <c r="NLA101" t="s">
        <v>455</v>
      </c>
      <c r="NLB101" t="s">
        <v>455</v>
      </c>
      <c r="NLC101" t="s">
        <v>455</v>
      </c>
      <c r="NLD101" t="s">
        <v>455</v>
      </c>
      <c r="NLE101" t="s">
        <v>455</v>
      </c>
      <c r="NLF101" t="s">
        <v>455</v>
      </c>
      <c r="NLG101" t="s">
        <v>455</v>
      </c>
      <c r="NLH101" t="s">
        <v>455</v>
      </c>
      <c r="NLI101" t="s">
        <v>455</v>
      </c>
      <c r="NLJ101" t="s">
        <v>455</v>
      </c>
      <c r="NLK101" t="s">
        <v>455</v>
      </c>
      <c r="NLL101" t="s">
        <v>455</v>
      </c>
      <c r="NLM101" t="s">
        <v>455</v>
      </c>
      <c r="NLN101" t="s">
        <v>455</v>
      </c>
      <c r="NLO101" t="s">
        <v>455</v>
      </c>
      <c r="NLP101" t="s">
        <v>455</v>
      </c>
      <c r="NLQ101" t="s">
        <v>455</v>
      </c>
      <c r="NLR101" t="s">
        <v>455</v>
      </c>
      <c r="NLS101" t="s">
        <v>455</v>
      </c>
      <c r="NLT101" t="s">
        <v>455</v>
      </c>
      <c r="NLU101" t="s">
        <v>455</v>
      </c>
      <c r="NLV101" t="s">
        <v>455</v>
      </c>
      <c r="NLW101" t="s">
        <v>455</v>
      </c>
      <c r="NLX101" t="s">
        <v>455</v>
      </c>
      <c r="NLY101" t="s">
        <v>455</v>
      </c>
      <c r="NLZ101" t="s">
        <v>455</v>
      </c>
      <c r="NMA101" t="s">
        <v>455</v>
      </c>
      <c r="NMB101" t="s">
        <v>455</v>
      </c>
      <c r="NMC101" t="s">
        <v>455</v>
      </c>
      <c r="NMD101" t="s">
        <v>455</v>
      </c>
      <c r="NME101" t="s">
        <v>455</v>
      </c>
      <c r="NMF101" t="s">
        <v>455</v>
      </c>
      <c r="NMG101" t="s">
        <v>455</v>
      </c>
      <c r="NMH101" t="s">
        <v>455</v>
      </c>
      <c r="NMI101" t="s">
        <v>455</v>
      </c>
      <c r="NMJ101" t="s">
        <v>455</v>
      </c>
      <c r="NMK101" t="s">
        <v>455</v>
      </c>
      <c r="NML101" t="s">
        <v>455</v>
      </c>
      <c r="NMM101" t="s">
        <v>455</v>
      </c>
      <c r="NMN101" t="s">
        <v>455</v>
      </c>
      <c r="NMO101" t="s">
        <v>455</v>
      </c>
      <c r="NMP101" t="s">
        <v>455</v>
      </c>
      <c r="NMQ101" t="s">
        <v>455</v>
      </c>
      <c r="NMR101" t="s">
        <v>455</v>
      </c>
      <c r="NMS101" t="s">
        <v>455</v>
      </c>
      <c r="NMT101" t="s">
        <v>455</v>
      </c>
      <c r="NMU101" t="s">
        <v>455</v>
      </c>
      <c r="NMV101" t="s">
        <v>455</v>
      </c>
      <c r="NMW101" t="s">
        <v>455</v>
      </c>
      <c r="NMX101" t="s">
        <v>455</v>
      </c>
      <c r="NMY101" t="s">
        <v>455</v>
      </c>
      <c r="NMZ101" t="s">
        <v>455</v>
      </c>
      <c r="NNA101" t="s">
        <v>455</v>
      </c>
      <c r="NNB101" t="s">
        <v>455</v>
      </c>
      <c r="NNC101" t="s">
        <v>455</v>
      </c>
      <c r="NND101" t="s">
        <v>455</v>
      </c>
      <c r="NNE101" t="s">
        <v>455</v>
      </c>
      <c r="NNF101" t="s">
        <v>455</v>
      </c>
      <c r="NNG101" t="s">
        <v>455</v>
      </c>
      <c r="NNH101" t="s">
        <v>455</v>
      </c>
      <c r="NNI101" t="s">
        <v>455</v>
      </c>
      <c r="NNJ101" t="s">
        <v>455</v>
      </c>
      <c r="NNK101" t="s">
        <v>455</v>
      </c>
      <c r="NNL101" t="s">
        <v>455</v>
      </c>
      <c r="NNM101" t="s">
        <v>455</v>
      </c>
      <c r="NNN101" t="s">
        <v>455</v>
      </c>
      <c r="NNO101" t="s">
        <v>455</v>
      </c>
      <c r="NNP101" t="s">
        <v>455</v>
      </c>
      <c r="NNQ101" t="s">
        <v>455</v>
      </c>
      <c r="NNR101" t="s">
        <v>455</v>
      </c>
      <c r="NNS101" t="s">
        <v>455</v>
      </c>
      <c r="NNT101" t="s">
        <v>455</v>
      </c>
      <c r="NNU101" t="s">
        <v>455</v>
      </c>
      <c r="NNV101" t="s">
        <v>455</v>
      </c>
      <c r="NNW101" t="s">
        <v>455</v>
      </c>
      <c r="NNX101" t="s">
        <v>455</v>
      </c>
      <c r="NNY101" t="s">
        <v>455</v>
      </c>
      <c r="NNZ101" t="s">
        <v>455</v>
      </c>
      <c r="NOA101" t="s">
        <v>455</v>
      </c>
      <c r="NOB101" t="s">
        <v>455</v>
      </c>
      <c r="NOC101" t="s">
        <v>455</v>
      </c>
      <c r="NOD101" t="s">
        <v>455</v>
      </c>
      <c r="NOE101" t="s">
        <v>455</v>
      </c>
      <c r="NOF101" t="s">
        <v>455</v>
      </c>
      <c r="NOG101" t="s">
        <v>455</v>
      </c>
      <c r="NOH101" t="s">
        <v>455</v>
      </c>
      <c r="NOI101" t="s">
        <v>455</v>
      </c>
      <c r="NOJ101" t="s">
        <v>455</v>
      </c>
      <c r="NOK101" t="s">
        <v>455</v>
      </c>
      <c r="NOL101" t="s">
        <v>455</v>
      </c>
      <c r="NOM101" t="s">
        <v>455</v>
      </c>
      <c r="NON101" t="s">
        <v>455</v>
      </c>
      <c r="NOO101" t="s">
        <v>455</v>
      </c>
      <c r="NOP101" t="s">
        <v>455</v>
      </c>
      <c r="NOQ101" t="s">
        <v>455</v>
      </c>
      <c r="NOR101" t="s">
        <v>455</v>
      </c>
      <c r="NOS101" t="s">
        <v>455</v>
      </c>
      <c r="NOT101" t="s">
        <v>455</v>
      </c>
      <c r="NOU101" t="s">
        <v>455</v>
      </c>
      <c r="NOV101" t="s">
        <v>455</v>
      </c>
      <c r="NOW101" t="s">
        <v>455</v>
      </c>
      <c r="NOX101" t="s">
        <v>455</v>
      </c>
      <c r="NOY101" t="s">
        <v>455</v>
      </c>
      <c r="NOZ101" t="s">
        <v>455</v>
      </c>
      <c r="NPA101" t="s">
        <v>455</v>
      </c>
      <c r="NPB101" t="s">
        <v>455</v>
      </c>
      <c r="NPC101" t="s">
        <v>455</v>
      </c>
      <c r="NPD101" t="s">
        <v>455</v>
      </c>
      <c r="NPE101" t="s">
        <v>455</v>
      </c>
      <c r="NPF101" t="s">
        <v>455</v>
      </c>
      <c r="NPG101" t="s">
        <v>455</v>
      </c>
      <c r="NPH101" t="s">
        <v>455</v>
      </c>
      <c r="NPI101" t="s">
        <v>455</v>
      </c>
      <c r="NPJ101" t="s">
        <v>455</v>
      </c>
      <c r="NPK101" t="s">
        <v>455</v>
      </c>
      <c r="NPL101" t="s">
        <v>455</v>
      </c>
      <c r="NPM101" t="s">
        <v>455</v>
      </c>
      <c r="NPN101" t="s">
        <v>455</v>
      </c>
      <c r="NPO101" t="s">
        <v>455</v>
      </c>
      <c r="NPP101" t="s">
        <v>455</v>
      </c>
      <c r="NPQ101" t="s">
        <v>455</v>
      </c>
      <c r="NPR101" t="s">
        <v>455</v>
      </c>
      <c r="NPS101" t="s">
        <v>455</v>
      </c>
      <c r="NPT101" t="s">
        <v>455</v>
      </c>
      <c r="NPU101" t="s">
        <v>455</v>
      </c>
      <c r="NPV101" t="s">
        <v>455</v>
      </c>
      <c r="NPW101" t="s">
        <v>455</v>
      </c>
      <c r="NPX101" t="s">
        <v>455</v>
      </c>
      <c r="NPY101" t="s">
        <v>455</v>
      </c>
      <c r="NPZ101" t="s">
        <v>455</v>
      </c>
      <c r="NQA101" t="s">
        <v>455</v>
      </c>
      <c r="NQB101" t="s">
        <v>455</v>
      </c>
      <c r="NQC101" t="s">
        <v>455</v>
      </c>
      <c r="NQD101" t="s">
        <v>455</v>
      </c>
      <c r="NQE101" t="s">
        <v>455</v>
      </c>
      <c r="NQF101" t="s">
        <v>455</v>
      </c>
      <c r="NQG101" t="s">
        <v>455</v>
      </c>
      <c r="NQH101" t="s">
        <v>455</v>
      </c>
      <c r="NQI101" t="s">
        <v>455</v>
      </c>
      <c r="NQJ101" t="s">
        <v>455</v>
      </c>
      <c r="NQK101" t="s">
        <v>455</v>
      </c>
      <c r="NQL101" t="s">
        <v>455</v>
      </c>
      <c r="NQM101" t="s">
        <v>455</v>
      </c>
      <c r="NQN101" t="s">
        <v>455</v>
      </c>
      <c r="NQO101" t="s">
        <v>455</v>
      </c>
      <c r="NQP101" t="s">
        <v>455</v>
      </c>
      <c r="NQQ101" t="s">
        <v>455</v>
      </c>
      <c r="NQR101" t="s">
        <v>455</v>
      </c>
      <c r="NQS101" t="s">
        <v>455</v>
      </c>
      <c r="NQT101" t="s">
        <v>455</v>
      </c>
      <c r="NQU101" t="s">
        <v>455</v>
      </c>
      <c r="NQV101" t="s">
        <v>455</v>
      </c>
      <c r="NQW101" t="s">
        <v>455</v>
      </c>
      <c r="NQX101" t="s">
        <v>455</v>
      </c>
      <c r="NQY101" t="s">
        <v>455</v>
      </c>
      <c r="NQZ101" t="s">
        <v>455</v>
      </c>
      <c r="NRA101" t="s">
        <v>455</v>
      </c>
      <c r="NRB101" t="s">
        <v>455</v>
      </c>
      <c r="NRC101" t="s">
        <v>455</v>
      </c>
      <c r="NRD101" t="s">
        <v>455</v>
      </c>
      <c r="NRE101" t="s">
        <v>455</v>
      </c>
      <c r="NRF101" t="s">
        <v>455</v>
      </c>
      <c r="NRG101" t="s">
        <v>455</v>
      </c>
      <c r="NRH101" t="s">
        <v>455</v>
      </c>
      <c r="NRI101" t="s">
        <v>455</v>
      </c>
      <c r="NRJ101" t="s">
        <v>455</v>
      </c>
      <c r="NRK101" t="s">
        <v>455</v>
      </c>
      <c r="NRL101" t="s">
        <v>455</v>
      </c>
      <c r="NRM101" t="s">
        <v>455</v>
      </c>
      <c r="NRN101" t="s">
        <v>455</v>
      </c>
      <c r="NRO101" t="s">
        <v>455</v>
      </c>
      <c r="NRP101" t="s">
        <v>455</v>
      </c>
      <c r="NRQ101" t="s">
        <v>455</v>
      </c>
      <c r="NRR101" t="s">
        <v>455</v>
      </c>
      <c r="NRS101" t="s">
        <v>455</v>
      </c>
      <c r="NRT101" t="s">
        <v>455</v>
      </c>
      <c r="NRU101" t="s">
        <v>455</v>
      </c>
      <c r="NRV101" t="s">
        <v>455</v>
      </c>
      <c r="NRW101" t="s">
        <v>455</v>
      </c>
      <c r="NRX101" t="s">
        <v>455</v>
      </c>
      <c r="NRY101" t="s">
        <v>455</v>
      </c>
      <c r="NRZ101" t="s">
        <v>455</v>
      </c>
      <c r="NSA101" t="s">
        <v>455</v>
      </c>
      <c r="NSB101" t="s">
        <v>455</v>
      </c>
      <c r="NSC101" t="s">
        <v>455</v>
      </c>
      <c r="NSD101" t="s">
        <v>455</v>
      </c>
      <c r="NSE101" t="s">
        <v>455</v>
      </c>
      <c r="NSF101" t="s">
        <v>455</v>
      </c>
      <c r="NSG101" t="s">
        <v>455</v>
      </c>
      <c r="NSH101" t="s">
        <v>455</v>
      </c>
      <c r="NSI101" t="s">
        <v>455</v>
      </c>
      <c r="NSJ101" t="s">
        <v>455</v>
      </c>
      <c r="NSK101" t="s">
        <v>455</v>
      </c>
      <c r="NSL101" t="s">
        <v>455</v>
      </c>
      <c r="NSM101" t="s">
        <v>455</v>
      </c>
      <c r="NSN101" t="s">
        <v>455</v>
      </c>
      <c r="NSO101" t="s">
        <v>455</v>
      </c>
      <c r="NSP101" t="s">
        <v>455</v>
      </c>
      <c r="NSQ101" t="s">
        <v>455</v>
      </c>
      <c r="NSR101" t="s">
        <v>455</v>
      </c>
      <c r="NSS101" t="s">
        <v>455</v>
      </c>
      <c r="NST101" t="s">
        <v>455</v>
      </c>
      <c r="NSU101" t="s">
        <v>455</v>
      </c>
      <c r="NSV101" t="s">
        <v>455</v>
      </c>
      <c r="NSW101" t="s">
        <v>455</v>
      </c>
      <c r="NSX101" t="s">
        <v>455</v>
      </c>
      <c r="NSY101" t="s">
        <v>455</v>
      </c>
      <c r="NSZ101" t="s">
        <v>455</v>
      </c>
      <c r="NTA101" t="s">
        <v>455</v>
      </c>
      <c r="NTB101" t="s">
        <v>455</v>
      </c>
      <c r="NTC101" t="s">
        <v>455</v>
      </c>
      <c r="NTD101" t="s">
        <v>455</v>
      </c>
      <c r="NTE101" t="s">
        <v>455</v>
      </c>
      <c r="NTF101" t="s">
        <v>455</v>
      </c>
      <c r="NTG101" t="s">
        <v>455</v>
      </c>
      <c r="NTH101" t="s">
        <v>455</v>
      </c>
      <c r="NTI101" t="s">
        <v>455</v>
      </c>
      <c r="NTJ101" t="s">
        <v>455</v>
      </c>
      <c r="NTK101" t="s">
        <v>455</v>
      </c>
      <c r="NTL101" t="s">
        <v>455</v>
      </c>
      <c r="NTM101" t="s">
        <v>455</v>
      </c>
      <c r="NTN101" t="s">
        <v>455</v>
      </c>
      <c r="NTO101" t="s">
        <v>455</v>
      </c>
      <c r="NTP101" t="s">
        <v>455</v>
      </c>
      <c r="NTQ101" t="s">
        <v>455</v>
      </c>
      <c r="NTR101" t="s">
        <v>455</v>
      </c>
      <c r="NTS101" t="s">
        <v>455</v>
      </c>
      <c r="NTT101" t="s">
        <v>455</v>
      </c>
      <c r="NTU101" t="s">
        <v>455</v>
      </c>
      <c r="NTV101" t="s">
        <v>455</v>
      </c>
      <c r="NTW101" t="s">
        <v>455</v>
      </c>
      <c r="NTX101" t="s">
        <v>455</v>
      </c>
      <c r="NTY101" t="s">
        <v>455</v>
      </c>
      <c r="NTZ101" t="s">
        <v>455</v>
      </c>
      <c r="NUA101" t="s">
        <v>455</v>
      </c>
      <c r="NUB101" t="s">
        <v>455</v>
      </c>
      <c r="NUC101" t="s">
        <v>455</v>
      </c>
      <c r="NUD101" t="s">
        <v>455</v>
      </c>
      <c r="NUE101" t="s">
        <v>455</v>
      </c>
      <c r="NUF101" t="s">
        <v>455</v>
      </c>
      <c r="NUG101" t="s">
        <v>455</v>
      </c>
      <c r="NUH101" t="s">
        <v>455</v>
      </c>
      <c r="NUI101" t="s">
        <v>455</v>
      </c>
      <c r="NUJ101" t="s">
        <v>455</v>
      </c>
      <c r="NUK101" t="s">
        <v>455</v>
      </c>
      <c r="NUL101" t="s">
        <v>455</v>
      </c>
      <c r="NUM101" t="s">
        <v>455</v>
      </c>
      <c r="NUN101" t="s">
        <v>455</v>
      </c>
      <c r="NUO101" t="s">
        <v>455</v>
      </c>
      <c r="NUP101" t="s">
        <v>455</v>
      </c>
      <c r="NUQ101" t="s">
        <v>455</v>
      </c>
      <c r="NUR101" t="s">
        <v>455</v>
      </c>
      <c r="NUS101" t="s">
        <v>455</v>
      </c>
      <c r="NUT101" t="s">
        <v>455</v>
      </c>
      <c r="NUU101" t="s">
        <v>455</v>
      </c>
      <c r="NUV101" t="s">
        <v>455</v>
      </c>
      <c r="NUW101" t="s">
        <v>455</v>
      </c>
      <c r="NUX101" t="s">
        <v>455</v>
      </c>
      <c r="NUY101" t="s">
        <v>455</v>
      </c>
      <c r="NUZ101" t="s">
        <v>455</v>
      </c>
      <c r="NVA101" t="s">
        <v>455</v>
      </c>
      <c r="NVB101" t="s">
        <v>455</v>
      </c>
      <c r="NVC101" t="s">
        <v>455</v>
      </c>
      <c r="NVD101" t="s">
        <v>455</v>
      </c>
      <c r="NVE101" t="s">
        <v>455</v>
      </c>
      <c r="NVF101" t="s">
        <v>455</v>
      </c>
      <c r="NVG101" t="s">
        <v>455</v>
      </c>
      <c r="NVH101" t="s">
        <v>455</v>
      </c>
      <c r="NVI101" t="s">
        <v>455</v>
      </c>
      <c r="NVJ101" t="s">
        <v>455</v>
      </c>
      <c r="NVK101" t="s">
        <v>455</v>
      </c>
      <c r="NVL101" t="s">
        <v>455</v>
      </c>
      <c r="NVM101" t="s">
        <v>455</v>
      </c>
      <c r="NVN101" t="s">
        <v>455</v>
      </c>
      <c r="NVO101" t="s">
        <v>455</v>
      </c>
      <c r="NVP101" t="s">
        <v>455</v>
      </c>
      <c r="NVQ101" t="s">
        <v>455</v>
      </c>
      <c r="NVR101" t="s">
        <v>455</v>
      </c>
      <c r="NVS101" t="s">
        <v>455</v>
      </c>
      <c r="NVT101" t="s">
        <v>455</v>
      </c>
      <c r="NVU101" t="s">
        <v>455</v>
      </c>
      <c r="NVV101" t="s">
        <v>455</v>
      </c>
      <c r="NVW101" t="s">
        <v>455</v>
      </c>
      <c r="NVX101" t="s">
        <v>455</v>
      </c>
      <c r="NVY101" t="s">
        <v>455</v>
      </c>
      <c r="NVZ101" t="s">
        <v>455</v>
      </c>
      <c r="NWA101" t="s">
        <v>455</v>
      </c>
      <c r="NWB101" t="s">
        <v>455</v>
      </c>
      <c r="NWC101" t="s">
        <v>455</v>
      </c>
      <c r="NWD101" t="s">
        <v>455</v>
      </c>
      <c r="NWE101" t="s">
        <v>455</v>
      </c>
      <c r="NWF101" t="s">
        <v>455</v>
      </c>
      <c r="NWG101" t="s">
        <v>455</v>
      </c>
      <c r="NWH101" t="s">
        <v>455</v>
      </c>
      <c r="NWI101" t="s">
        <v>455</v>
      </c>
      <c r="NWJ101" t="s">
        <v>455</v>
      </c>
      <c r="NWK101" t="s">
        <v>455</v>
      </c>
      <c r="NWL101" t="s">
        <v>455</v>
      </c>
      <c r="NWM101" t="s">
        <v>455</v>
      </c>
      <c r="NWN101" t="s">
        <v>455</v>
      </c>
      <c r="NWO101" t="s">
        <v>455</v>
      </c>
      <c r="NWP101" t="s">
        <v>455</v>
      </c>
      <c r="NWQ101" t="s">
        <v>455</v>
      </c>
      <c r="NWR101" t="s">
        <v>455</v>
      </c>
      <c r="NWS101" t="s">
        <v>455</v>
      </c>
      <c r="NWT101" t="s">
        <v>455</v>
      </c>
      <c r="NWU101" t="s">
        <v>455</v>
      </c>
      <c r="NWV101" t="s">
        <v>455</v>
      </c>
      <c r="NWW101" t="s">
        <v>455</v>
      </c>
      <c r="NWX101" t="s">
        <v>455</v>
      </c>
      <c r="NWY101" t="s">
        <v>455</v>
      </c>
      <c r="NWZ101" t="s">
        <v>455</v>
      </c>
      <c r="NXA101" t="s">
        <v>455</v>
      </c>
      <c r="NXB101" t="s">
        <v>455</v>
      </c>
      <c r="NXC101" t="s">
        <v>455</v>
      </c>
      <c r="NXD101" t="s">
        <v>455</v>
      </c>
      <c r="NXE101" t="s">
        <v>455</v>
      </c>
      <c r="NXF101" t="s">
        <v>455</v>
      </c>
      <c r="NXG101" t="s">
        <v>455</v>
      </c>
      <c r="NXH101" t="s">
        <v>455</v>
      </c>
      <c r="NXI101" t="s">
        <v>455</v>
      </c>
      <c r="NXJ101" t="s">
        <v>455</v>
      </c>
      <c r="NXK101" t="s">
        <v>455</v>
      </c>
      <c r="NXL101" t="s">
        <v>455</v>
      </c>
      <c r="NXM101" t="s">
        <v>455</v>
      </c>
      <c r="NXN101" t="s">
        <v>455</v>
      </c>
      <c r="NXO101" t="s">
        <v>455</v>
      </c>
      <c r="NXP101" t="s">
        <v>455</v>
      </c>
      <c r="NXQ101" t="s">
        <v>455</v>
      </c>
      <c r="NXR101" t="s">
        <v>455</v>
      </c>
      <c r="NXS101" t="s">
        <v>455</v>
      </c>
      <c r="NXT101" t="s">
        <v>455</v>
      </c>
      <c r="NXU101" t="s">
        <v>455</v>
      </c>
      <c r="NXV101" t="s">
        <v>455</v>
      </c>
      <c r="NXW101" t="s">
        <v>455</v>
      </c>
      <c r="NXX101" t="s">
        <v>455</v>
      </c>
      <c r="NXY101" t="s">
        <v>455</v>
      </c>
      <c r="NXZ101" t="s">
        <v>455</v>
      </c>
      <c r="NYA101" t="s">
        <v>455</v>
      </c>
      <c r="NYB101" t="s">
        <v>455</v>
      </c>
      <c r="NYC101" t="s">
        <v>455</v>
      </c>
      <c r="NYD101" t="s">
        <v>455</v>
      </c>
      <c r="NYE101" t="s">
        <v>455</v>
      </c>
      <c r="NYF101" t="s">
        <v>455</v>
      </c>
      <c r="NYG101" t="s">
        <v>455</v>
      </c>
      <c r="NYH101" t="s">
        <v>455</v>
      </c>
      <c r="NYI101" t="s">
        <v>455</v>
      </c>
      <c r="NYJ101" t="s">
        <v>455</v>
      </c>
      <c r="NYK101" t="s">
        <v>455</v>
      </c>
      <c r="NYL101" t="s">
        <v>455</v>
      </c>
      <c r="NYM101" t="s">
        <v>455</v>
      </c>
      <c r="NYN101" t="s">
        <v>455</v>
      </c>
      <c r="NYO101" t="s">
        <v>455</v>
      </c>
      <c r="NYP101" t="s">
        <v>455</v>
      </c>
      <c r="NYQ101" t="s">
        <v>455</v>
      </c>
      <c r="NYR101" t="s">
        <v>455</v>
      </c>
      <c r="NYS101" t="s">
        <v>455</v>
      </c>
      <c r="NYT101" t="s">
        <v>455</v>
      </c>
      <c r="NYU101" t="s">
        <v>455</v>
      </c>
      <c r="NYV101" t="s">
        <v>455</v>
      </c>
      <c r="NYW101" t="s">
        <v>455</v>
      </c>
      <c r="NYX101" t="s">
        <v>455</v>
      </c>
      <c r="NYY101" t="s">
        <v>455</v>
      </c>
      <c r="NYZ101" t="s">
        <v>455</v>
      </c>
      <c r="NZA101" t="s">
        <v>455</v>
      </c>
      <c r="NZB101" t="s">
        <v>455</v>
      </c>
      <c r="NZC101" t="s">
        <v>455</v>
      </c>
      <c r="NZD101" t="s">
        <v>455</v>
      </c>
      <c r="NZE101" t="s">
        <v>455</v>
      </c>
      <c r="NZF101" t="s">
        <v>455</v>
      </c>
      <c r="NZG101" t="s">
        <v>455</v>
      </c>
      <c r="NZH101" t="s">
        <v>455</v>
      </c>
      <c r="NZI101" t="s">
        <v>455</v>
      </c>
      <c r="NZJ101" t="s">
        <v>455</v>
      </c>
      <c r="NZK101" t="s">
        <v>455</v>
      </c>
      <c r="NZL101" t="s">
        <v>455</v>
      </c>
      <c r="NZM101" t="s">
        <v>455</v>
      </c>
      <c r="NZN101" t="s">
        <v>455</v>
      </c>
      <c r="NZO101" t="s">
        <v>455</v>
      </c>
      <c r="NZP101" t="s">
        <v>455</v>
      </c>
      <c r="NZQ101" t="s">
        <v>455</v>
      </c>
      <c r="NZR101" t="s">
        <v>455</v>
      </c>
      <c r="NZS101" t="s">
        <v>455</v>
      </c>
      <c r="NZT101" t="s">
        <v>455</v>
      </c>
      <c r="NZU101" t="s">
        <v>455</v>
      </c>
      <c r="NZV101" t="s">
        <v>455</v>
      </c>
      <c r="NZW101" t="s">
        <v>455</v>
      </c>
      <c r="NZX101" t="s">
        <v>455</v>
      </c>
      <c r="NZY101" t="s">
        <v>455</v>
      </c>
      <c r="NZZ101" t="s">
        <v>455</v>
      </c>
      <c r="OAA101" t="s">
        <v>455</v>
      </c>
      <c r="OAB101" t="s">
        <v>455</v>
      </c>
      <c r="OAC101" t="s">
        <v>455</v>
      </c>
      <c r="OAD101" t="s">
        <v>455</v>
      </c>
      <c r="OAE101" t="s">
        <v>455</v>
      </c>
      <c r="OAF101" t="s">
        <v>455</v>
      </c>
      <c r="OAG101" t="s">
        <v>455</v>
      </c>
      <c r="OAH101" t="s">
        <v>455</v>
      </c>
      <c r="OAI101" t="s">
        <v>455</v>
      </c>
      <c r="OAJ101" t="s">
        <v>455</v>
      </c>
      <c r="OAK101" t="s">
        <v>455</v>
      </c>
      <c r="OAL101" t="s">
        <v>455</v>
      </c>
      <c r="OAM101" t="s">
        <v>455</v>
      </c>
      <c r="OAN101" t="s">
        <v>455</v>
      </c>
      <c r="OAO101" t="s">
        <v>455</v>
      </c>
      <c r="OAP101" t="s">
        <v>455</v>
      </c>
      <c r="OAQ101" t="s">
        <v>455</v>
      </c>
      <c r="OAR101" t="s">
        <v>455</v>
      </c>
      <c r="OAS101" t="s">
        <v>455</v>
      </c>
      <c r="OAT101" t="s">
        <v>455</v>
      </c>
      <c r="OAU101" t="s">
        <v>455</v>
      </c>
      <c r="OAV101" t="s">
        <v>455</v>
      </c>
      <c r="OAW101" t="s">
        <v>455</v>
      </c>
      <c r="OAX101" t="s">
        <v>455</v>
      </c>
      <c r="OAY101" t="s">
        <v>455</v>
      </c>
      <c r="OAZ101" t="s">
        <v>455</v>
      </c>
      <c r="OBA101" t="s">
        <v>455</v>
      </c>
      <c r="OBB101" t="s">
        <v>455</v>
      </c>
      <c r="OBC101" t="s">
        <v>455</v>
      </c>
      <c r="OBD101" t="s">
        <v>455</v>
      </c>
      <c r="OBE101" t="s">
        <v>455</v>
      </c>
      <c r="OBF101" t="s">
        <v>455</v>
      </c>
      <c r="OBG101" t="s">
        <v>455</v>
      </c>
      <c r="OBH101" t="s">
        <v>455</v>
      </c>
      <c r="OBI101" t="s">
        <v>455</v>
      </c>
      <c r="OBJ101" t="s">
        <v>455</v>
      </c>
      <c r="OBK101" t="s">
        <v>455</v>
      </c>
      <c r="OBL101" t="s">
        <v>455</v>
      </c>
      <c r="OBM101" t="s">
        <v>455</v>
      </c>
      <c r="OBN101" t="s">
        <v>455</v>
      </c>
      <c r="OBO101" t="s">
        <v>455</v>
      </c>
      <c r="OBP101" t="s">
        <v>455</v>
      </c>
      <c r="OBQ101" t="s">
        <v>455</v>
      </c>
      <c r="OBR101" t="s">
        <v>455</v>
      </c>
      <c r="OBS101" t="s">
        <v>455</v>
      </c>
      <c r="OBT101" t="s">
        <v>455</v>
      </c>
      <c r="OBU101" t="s">
        <v>455</v>
      </c>
      <c r="OBV101" t="s">
        <v>455</v>
      </c>
      <c r="OBW101" t="s">
        <v>455</v>
      </c>
      <c r="OBX101" t="s">
        <v>455</v>
      </c>
      <c r="OBY101" t="s">
        <v>455</v>
      </c>
      <c r="OBZ101" t="s">
        <v>455</v>
      </c>
      <c r="OCA101" t="s">
        <v>455</v>
      </c>
      <c r="OCB101" t="s">
        <v>455</v>
      </c>
      <c r="OCC101" t="s">
        <v>455</v>
      </c>
      <c r="OCD101" t="s">
        <v>455</v>
      </c>
      <c r="OCE101" t="s">
        <v>455</v>
      </c>
      <c r="OCF101" t="s">
        <v>455</v>
      </c>
      <c r="OCG101" t="s">
        <v>455</v>
      </c>
      <c r="OCH101" t="s">
        <v>455</v>
      </c>
      <c r="OCI101" t="s">
        <v>455</v>
      </c>
      <c r="OCJ101" t="s">
        <v>455</v>
      </c>
      <c r="OCK101" t="s">
        <v>455</v>
      </c>
      <c r="OCL101" t="s">
        <v>455</v>
      </c>
      <c r="OCM101" t="s">
        <v>455</v>
      </c>
      <c r="OCN101" t="s">
        <v>455</v>
      </c>
      <c r="OCO101" t="s">
        <v>455</v>
      </c>
      <c r="OCP101" t="s">
        <v>455</v>
      </c>
      <c r="OCQ101" t="s">
        <v>455</v>
      </c>
      <c r="OCR101" t="s">
        <v>455</v>
      </c>
      <c r="OCS101" t="s">
        <v>455</v>
      </c>
      <c r="OCT101" t="s">
        <v>455</v>
      </c>
      <c r="OCU101" t="s">
        <v>455</v>
      </c>
      <c r="OCV101" t="s">
        <v>455</v>
      </c>
      <c r="OCW101" t="s">
        <v>455</v>
      </c>
      <c r="OCX101" t="s">
        <v>455</v>
      </c>
      <c r="OCY101" t="s">
        <v>455</v>
      </c>
      <c r="OCZ101" t="s">
        <v>455</v>
      </c>
      <c r="ODA101" t="s">
        <v>455</v>
      </c>
      <c r="ODB101" t="s">
        <v>455</v>
      </c>
      <c r="ODC101" t="s">
        <v>455</v>
      </c>
      <c r="ODD101" t="s">
        <v>455</v>
      </c>
      <c r="ODE101" t="s">
        <v>455</v>
      </c>
      <c r="ODF101" t="s">
        <v>455</v>
      </c>
      <c r="ODG101" t="s">
        <v>455</v>
      </c>
      <c r="ODH101" t="s">
        <v>455</v>
      </c>
      <c r="ODI101" t="s">
        <v>455</v>
      </c>
      <c r="ODJ101" t="s">
        <v>455</v>
      </c>
      <c r="ODK101" t="s">
        <v>455</v>
      </c>
      <c r="ODL101" t="s">
        <v>455</v>
      </c>
      <c r="ODM101" t="s">
        <v>455</v>
      </c>
      <c r="ODN101" t="s">
        <v>455</v>
      </c>
      <c r="ODO101" t="s">
        <v>455</v>
      </c>
      <c r="ODP101" t="s">
        <v>455</v>
      </c>
      <c r="ODQ101" t="s">
        <v>455</v>
      </c>
      <c r="ODR101" t="s">
        <v>455</v>
      </c>
      <c r="ODS101" t="s">
        <v>455</v>
      </c>
      <c r="ODT101" t="s">
        <v>455</v>
      </c>
      <c r="ODU101" t="s">
        <v>455</v>
      </c>
      <c r="ODV101" t="s">
        <v>455</v>
      </c>
      <c r="ODW101" t="s">
        <v>455</v>
      </c>
      <c r="ODX101" t="s">
        <v>455</v>
      </c>
      <c r="ODY101" t="s">
        <v>455</v>
      </c>
      <c r="ODZ101" t="s">
        <v>455</v>
      </c>
      <c r="OEA101" t="s">
        <v>455</v>
      </c>
      <c r="OEB101" t="s">
        <v>455</v>
      </c>
      <c r="OEC101" t="s">
        <v>455</v>
      </c>
      <c r="OED101" t="s">
        <v>455</v>
      </c>
      <c r="OEE101" t="s">
        <v>455</v>
      </c>
      <c r="OEF101" t="s">
        <v>455</v>
      </c>
      <c r="OEG101" t="s">
        <v>455</v>
      </c>
      <c r="OEH101" t="s">
        <v>455</v>
      </c>
      <c r="OEI101" t="s">
        <v>455</v>
      </c>
      <c r="OEJ101" t="s">
        <v>455</v>
      </c>
      <c r="OEK101" t="s">
        <v>455</v>
      </c>
      <c r="OEL101" t="s">
        <v>455</v>
      </c>
      <c r="OEM101" t="s">
        <v>455</v>
      </c>
      <c r="OEN101" t="s">
        <v>455</v>
      </c>
      <c r="OEO101" t="s">
        <v>455</v>
      </c>
      <c r="OEP101" t="s">
        <v>455</v>
      </c>
      <c r="OEQ101" t="s">
        <v>455</v>
      </c>
      <c r="OER101" t="s">
        <v>455</v>
      </c>
      <c r="OES101" t="s">
        <v>455</v>
      </c>
      <c r="OET101" t="s">
        <v>455</v>
      </c>
      <c r="OEU101" t="s">
        <v>455</v>
      </c>
      <c r="OEV101" t="s">
        <v>455</v>
      </c>
      <c r="OEW101" t="s">
        <v>455</v>
      </c>
      <c r="OEX101" t="s">
        <v>455</v>
      </c>
      <c r="OEY101" t="s">
        <v>455</v>
      </c>
      <c r="OEZ101" t="s">
        <v>455</v>
      </c>
      <c r="OFA101" t="s">
        <v>455</v>
      </c>
      <c r="OFB101" t="s">
        <v>455</v>
      </c>
      <c r="OFC101" t="s">
        <v>455</v>
      </c>
      <c r="OFD101" t="s">
        <v>455</v>
      </c>
      <c r="OFE101" t="s">
        <v>455</v>
      </c>
      <c r="OFF101" t="s">
        <v>455</v>
      </c>
      <c r="OFG101" t="s">
        <v>455</v>
      </c>
      <c r="OFH101" t="s">
        <v>455</v>
      </c>
      <c r="OFI101" t="s">
        <v>455</v>
      </c>
      <c r="OFJ101" t="s">
        <v>455</v>
      </c>
      <c r="OFK101" t="s">
        <v>455</v>
      </c>
      <c r="OFL101" t="s">
        <v>455</v>
      </c>
      <c r="OFM101" t="s">
        <v>455</v>
      </c>
      <c r="OFN101" t="s">
        <v>455</v>
      </c>
      <c r="OFO101" t="s">
        <v>455</v>
      </c>
      <c r="OFP101" t="s">
        <v>455</v>
      </c>
      <c r="OFQ101" t="s">
        <v>455</v>
      </c>
      <c r="OFR101" t="s">
        <v>455</v>
      </c>
      <c r="OFS101" t="s">
        <v>455</v>
      </c>
      <c r="OFT101" t="s">
        <v>455</v>
      </c>
      <c r="OFU101" t="s">
        <v>455</v>
      </c>
      <c r="OFV101" t="s">
        <v>455</v>
      </c>
      <c r="OFW101" t="s">
        <v>455</v>
      </c>
      <c r="OFX101" t="s">
        <v>455</v>
      </c>
      <c r="OFY101" t="s">
        <v>455</v>
      </c>
      <c r="OFZ101" t="s">
        <v>455</v>
      </c>
      <c r="OGA101" t="s">
        <v>455</v>
      </c>
      <c r="OGB101" t="s">
        <v>455</v>
      </c>
      <c r="OGC101" t="s">
        <v>455</v>
      </c>
      <c r="OGD101" t="s">
        <v>455</v>
      </c>
      <c r="OGE101" t="s">
        <v>455</v>
      </c>
      <c r="OGF101" t="s">
        <v>455</v>
      </c>
      <c r="OGG101" t="s">
        <v>455</v>
      </c>
      <c r="OGH101" t="s">
        <v>455</v>
      </c>
      <c r="OGI101" t="s">
        <v>455</v>
      </c>
      <c r="OGJ101" t="s">
        <v>455</v>
      </c>
      <c r="OGK101" t="s">
        <v>455</v>
      </c>
      <c r="OGL101" t="s">
        <v>455</v>
      </c>
      <c r="OGM101" t="s">
        <v>455</v>
      </c>
      <c r="OGN101" t="s">
        <v>455</v>
      </c>
      <c r="OGO101" t="s">
        <v>455</v>
      </c>
      <c r="OGP101" t="s">
        <v>455</v>
      </c>
      <c r="OGQ101" t="s">
        <v>455</v>
      </c>
      <c r="OGR101" t="s">
        <v>455</v>
      </c>
      <c r="OGS101" t="s">
        <v>455</v>
      </c>
      <c r="OGT101" t="s">
        <v>455</v>
      </c>
      <c r="OGU101" t="s">
        <v>455</v>
      </c>
      <c r="OGV101" t="s">
        <v>455</v>
      </c>
      <c r="OGW101" t="s">
        <v>455</v>
      </c>
      <c r="OGX101" t="s">
        <v>455</v>
      </c>
      <c r="OGY101" t="s">
        <v>455</v>
      </c>
      <c r="OGZ101" t="s">
        <v>455</v>
      </c>
      <c r="OHA101" t="s">
        <v>455</v>
      </c>
      <c r="OHB101" t="s">
        <v>455</v>
      </c>
      <c r="OHC101" t="s">
        <v>455</v>
      </c>
      <c r="OHD101" t="s">
        <v>455</v>
      </c>
      <c r="OHE101" t="s">
        <v>455</v>
      </c>
      <c r="OHF101" t="s">
        <v>455</v>
      </c>
      <c r="OHG101" t="s">
        <v>455</v>
      </c>
      <c r="OHH101" t="s">
        <v>455</v>
      </c>
      <c r="OHI101" t="s">
        <v>455</v>
      </c>
      <c r="OHJ101" t="s">
        <v>455</v>
      </c>
      <c r="OHK101" t="s">
        <v>455</v>
      </c>
      <c r="OHL101" t="s">
        <v>455</v>
      </c>
      <c r="OHM101" t="s">
        <v>455</v>
      </c>
      <c r="OHN101" t="s">
        <v>455</v>
      </c>
      <c r="OHO101" t="s">
        <v>455</v>
      </c>
      <c r="OHP101" t="s">
        <v>455</v>
      </c>
      <c r="OHQ101" t="s">
        <v>455</v>
      </c>
      <c r="OHR101" t="s">
        <v>455</v>
      </c>
      <c r="OHS101" t="s">
        <v>455</v>
      </c>
      <c r="OHT101" t="s">
        <v>455</v>
      </c>
      <c r="OHU101" t="s">
        <v>455</v>
      </c>
      <c r="OHV101" t="s">
        <v>455</v>
      </c>
      <c r="OHW101" t="s">
        <v>455</v>
      </c>
      <c r="OHX101" t="s">
        <v>455</v>
      </c>
      <c r="OHY101" t="s">
        <v>455</v>
      </c>
      <c r="OHZ101" t="s">
        <v>455</v>
      </c>
      <c r="OIA101" t="s">
        <v>455</v>
      </c>
      <c r="OIB101" t="s">
        <v>455</v>
      </c>
      <c r="OIC101" t="s">
        <v>455</v>
      </c>
      <c r="OID101" t="s">
        <v>455</v>
      </c>
      <c r="OIE101" t="s">
        <v>455</v>
      </c>
      <c r="OIF101" t="s">
        <v>455</v>
      </c>
      <c r="OIG101" t="s">
        <v>455</v>
      </c>
      <c r="OIH101" t="s">
        <v>455</v>
      </c>
      <c r="OII101" t="s">
        <v>455</v>
      </c>
      <c r="OIJ101" t="s">
        <v>455</v>
      </c>
      <c r="OIK101" t="s">
        <v>455</v>
      </c>
      <c r="OIL101" t="s">
        <v>455</v>
      </c>
      <c r="OIM101" t="s">
        <v>455</v>
      </c>
      <c r="OIN101" t="s">
        <v>455</v>
      </c>
      <c r="OIO101" t="s">
        <v>455</v>
      </c>
      <c r="OIP101" t="s">
        <v>455</v>
      </c>
      <c r="OIQ101" t="s">
        <v>455</v>
      </c>
      <c r="OIR101" t="s">
        <v>455</v>
      </c>
      <c r="OIS101" t="s">
        <v>455</v>
      </c>
      <c r="OIT101" t="s">
        <v>455</v>
      </c>
      <c r="OIU101" t="s">
        <v>455</v>
      </c>
      <c r="OIV101" t="s">
        <v>455</v>
      </c>
      <c r="OIW101" t="s">
        <v>455</v>
      </c>
      <c r="OIX101" t="s">
        <v>455</v>
      </c>
      <c r="OIY101" t="s">
        <v>455</v>
      </c>
      <c r="OIZ101" t="s">
        <v>455</v>
      </c>
      <c r="OJA101" t="s">
        <v>455</v>
      </c>
      <c r="OJB101" t="s">
        <v>455</v>
      </c>
      <c r="OJC101" t="s">
        <v>455</v>
      </c>
      <c r="OJD101" t="s">
        <v>455</v>
      </c>
      <c r="OJE101" t="s">
        <v>455</v>
      </c>
      <c r="OJF101" t="s">
        <v>455</v>
      </c>
      <c r="OJG101" t="s">
        <v>455</v>
      </c>
      <c r="OJH101" t="s">
        <v>455</v>
      </c>
      <c r="OJI101" t="s">
        <v>455</v>
      </c>
      <c r="OJJ101" t="s">
        <v>455</v>
      </c>
      <c r="OJK101" t="s">
        <v>455</v>
      </c>
      <c r="OJL101" t="s">
        <v>455</v>
      </c>
      <c r="OJM101" t="s">
        <v>455</v>
      </c>
      <c r="OJN101" t="s">
        <v>455</v>
      </c>
      <c r="OJO101" t="s">
        <v>455</v>
      </c>
      <c r="OJP101" t="s">
        <v>455</v>
      </c>
      <c r="OJQ101" t="s">
        <v>455</v>
      </c>
      <c r="OJR101" t="s">
        <v>455</v>
      </c>
      <c r="OJS101" t="s">
        <v>455</v>
      </c>
      <c r="OJT101" t="s">
        <v>455</v>
      </c>
      <c r="OJU101" t="s">
        <v>455</v>
      </c>
      <c r="OJV101" t="s">
        <v>455</v>
      </c>
      <c r="OJW101" t="s">
        <v>455</v>
      </c>
      <c r="OJX101" t="s">
        <v>455</v>
      </c>
      <c r="OJY101" t="s">
        <v>455</v>
      </c>
      <c r="OJZ101" t="s">
        <v>455</v>
      </c>
      <c r="OKA101" t="s">
        <v>455</v>
      </c>
      <c r="OKB101" t="s">
        <v>455</v>
      </c>
      <c r="OKC101" t="s">
        <v>455</v>
      </c>
      <c r="OKD101" t="s">
        <v>455</v>
      </c>
      <c r="OKE101" t="s">
        <v>455</v>
      </c>
      <c r="OKF101" t="s">
        <v>455</v>
      </c>
      <c r="OKG101" t="s">
        <v>455</v>
      </c>
      <c r="OKH101" t="s">
        <v>455</v>
      </c>
      <c r="OKI101" t="s">
        <v>455</v>
      </c>
      <c r="OKJ101" t="s">
        <v>455</v>
      </c>
      <c r="OKK101" t="s">
        <v>455</v>
      </c>
      <c r="OKL101" t="s">
        <v>455</v>
      </c>
      <c r="OKM101" t="s">
        <v>455</v>
      </c>
      <c r="OKN101" t="s">
        <v>455</v>
      </c>
      <c r="OKO101" t="s">
        <v>455</v>
      </c>
      <c r="OKP101" t="s">
        <v>455</v>
      </c>
      <c r="OKQ101" t="s">
        <v>455</v>
      </c>
      <c r="OKR101" t="s">
        <v>455</v>
      </c>
      <c r="OKS101" t="s">
        <v>455</v>
      </c>
      <c r="OKT101" t="s">
        <v>455</v>
      </c>
      <c r="OKU101" t="s">
        <v>455</v>
      </c>
      <c r="OKV101" t="s">
        <v>455</v>
      </c>
      <c r="OKW101" t="s">
        <v>455</v>
      </c>
      <c r="OKX101" t="s">
        <v>455</v>
      </c>
      <c r="OKY101" t="s">
        <v>455</v>
      </c>
      <c r="OKZ101" t="s">
        <v>455</v>
      </c>
      <c r="OLA101" t="s">
        <v>455</v>
      </c>
      <c r="OLB101" t="s">
        <v>455</v>
      </c>
      <c r="OLC101" t="s">
        <v>455</v>
      </c>
      <c r="OLD101" t="s">
        <v>455</v>
      </c>
      <c r="OLE101" t="s">
        <v>455</v>
      </c>
      <c r="OLF101" t="s">
        <v>455</v>
      </c>
      <c r="OLG101" t="s">
        <v>455</v>
      </c>
      <c r="OLH101" t="s">
        <v>455</v>
      </c>
      <c r="OLI101" t="s">
        <v>455</v>
      </c>
      <c r="OLJ101" t="s">
        <v>455</v>
      </c>
      <c r="OLK101" t="s">
        <v>455</v>
      </c>
      <c r="OLL101" t="s">
        <v>455</v>
      </c>
      <c r="OLM101" t="s">
        <v>455</v>
      </c>
      <c r="OLN101" t="s">
        <v>455</v>
      </c>
      <c r="OLO101" t="s">
        <v>455</v>
      </c>
      <c r="OLP101" t="s">
        <v>455</v>
      </c>
      <c r="OLQ101" t="s">
        <v>455</v>
      </c>
      <c r="OLR101" t="s">
        <v>455</v>
      </c>
      <c r="OLS101" t="s">
        <v>455</v>
      </c>
      <c r="OLT101" t="s">
        <v>455</v>
      </c>
      <c r="OLU101" t="s">
        <v>455</v>
      </c>
      <c r="OLV101" t="s">
        <v>455</v>
      </c>
      <c r="OLW101" t="s">
        <v>455</v>
      </c>
      <c r="OLX101" t="s">
        <v>455</v>
      </c>
      <c r="OLY101" t="s">
        <v>455</v>
      </c>
      <c r="OLZ101" t="s">
        <v>455</v>
      </c>
      <c r="OMA101" t="s">
        <v>455</v>
      </c>
      <c r="OMB101" t="s">
        <v>455</v>
      </c>
      <c r="OMC101" t="s">
        <v>455</v>
      </c>
      <c r="OMD101" t="s">
        <v>455</v>
      </c>
      <c r="OME101" t="s">
        <v>455</v>
      </c>
      <c r="OMF101" t="s">
        <v>455</v>
      </c>
      <c r="OMG101" t="s">
        <v>455</v>
      </c>
      <c r="OMH101" t="s">
        <v>455</v>
      </c>
      <c r="OMI101" t="s">
        <v>455</v>
      </c>
      <c r="OMJ101" t="s">
        <v>455</v>
      </c>
      <c r="OMK101" t="s">
        <v>455</v>
      </c>
      <c r="OML101" t="s">
        <v>455</v>
      </c>
      <c r="OMM101" t="s">
        <v>455</v>
      </c>
      <c r="OMN101" t="s">
        <v>455</v>
      </c>
      <c r="OMO101" t="s">
        <v>455</v>
      </c>
      <c r="OMP101" t="s">
        <v>455</v>
      </c>
      <c r="OMQ101" t="s">
        <v>455</v>
      </c>
      <c r="OMR101" t="s">
        <v>455</v>
      </c>
      <c r="OMS101" t="s">
        <v>455</v>
      </c>
      <c r="OMT101" t="s">
        <v>455</v>
      </c>
      <c r="OMU101" t="s">
        <v>455</v>
      </c>
      <c r="OMV101" t="s">
        <v>455</v>
      </c>
      <c r="OMW101" t="s">
        <v>455</v>
      </c>
      <c r="OMX101" t="s">
        <v>455</v>
      </c>
      <c r="OMY101" t="s">
        <v>455</v>
      </c>
      <c r="OMZ101" t="s">
        <v>455</v>
      </c>
      <c r="ONA101" t="s">
        <v>455</v>
      </c>
      <c r="ONB101" t="s">
        <v>455</v>
      </c>
      <c r="ONC101" t="s">
        <v>455</v>
      </c>
      <c r="OND101" t="s">
        <v>455</v>
      </c>
      <c r="ONE101" t="s">
        <v>455</v>
      </c>
      <c r="ONF101" t="s">
        <v>455</v>
      </c>
      <c r="ONG101" t="s">
        <v>455</v>
      </c>
      <c r="ONH101" t="s">
        <v>455</v>
      </c>
      <c r="ONI101" t="s">
        <v>455</v>
      </c>
      <c r="ONJ101" t="s">
        <v>455</v>
      </c>
      <c r="ONK101" t="s">
        <v>455</v>
      </c>
      <c r="ONL101" t="s">
        <v>455</v>
      </c>
      <c r="ONM101" t="s">
        <v>455</v>
      </c>
      <c r="ONN101" t="s">
        <v>455</v>
      </c>
      <c r="ONO101" t="s">
        <v>455</v>
      </c>
      <c r="ONP101" t="s">
        <v>455</v>
      </c>
      <c r="ONQ101" t="s">
        <v>455</v>
      </c>
      <c r="ONR101" t="s">
        <v>455</v>
      </c>
      <c r="ONS101" t="s">
        <v>455</v>
      </c>
      <c r="ONT101" t="s">
        <v>455</v>
      </c>
      <c r="ONU101" t="s">
        <v>455</v>
      </c>
      <c r="ONV101" t="s">
        <v>455</v>
      </c>
      <c r="ONW101" t="s">
        <v>455</v>
      </c>
      <c r="ONX101" t="s">
        <v>455</v>
      </c>
      <c r="ONY101" t="s">
        <v>455</v>
      </c>
      <c r="ONZ101" t="s">
        <v>455</v>
      </c>
      <c r="OOA101" t="s">
        <v>455</v>
      </c>
      <c r="OOB101" t="s">
        <v>455</v>
      </c>
      <c r="OOC101" t="s">
        <v>455</v>
      </c>
      <c r="OOD101" t="s">
        <v>455</v>
      </c>
      <c r="OOE101" t="s">
        <v>455</v>
      </c>
      <c r="OOF101" t="s">
        <v>455</v>
      </c>
      <c r="OOG101" t="s">
        <v>455</v>
      </c>
      <c r="OOH101" t="s">
        <v>455</v>
      </c>
      <c r="OOI101" t="s">
        <v>455</v>
      </c>
      <c r="OOJ101" t="s">
        <v>455</v>
      </c>
      <c r="OOK101" t="s">
        <v>455</v>
      </c>
      <c r="OOL101" t="s">
        <v>455</v>
      </c>
      <c r="OOM101" t="s">
        <v>455</v>
      </c>
      <c r="OON101" t="s">
        <v>455</v>
      </c>
      <c r="OOO101" t="s">
        <v>455</v>
      </c>
      <c r="OOP101" t="s">
        <v>455</v>
      </c>
      <c r="OOQ101" t="s">
        <v>455</v>
      </c>
      <c r="OOR101" t="s">
        <v>455</v>
      </c>
      <c r="OOS101" t="s">
        <v>455</v>
      </c>
      <c r="OOT101" t="s">
        <v>455</v>
      </c>
      <c r="OOU101" t="s">
        <v>455</v>
      </c>
      <c r="OOV101" t="s">
        <v>455</v>
      </c>
      <c r="OOW101" t="s">
        <v>455</v>
      </c>
      <c r="OOX101" t="s">
        <v>455</v>
      </c>
      <c r="OOY101" t="s">
        <v>455</v>
      </c>
      <c r="OOZ101" t="s">
        <v>455</v>
      </c>
      <c r="OPA101" t="s">
        <v>455</v>
      </c>
      <c r="OPB101" t="s">
        <v>455</v>
      </c>
      <c r="OPC101" t="s">
        <v>455</v>
      </c>
      <c r="OPD101" t="s">
        <v>455</v>
      </c>
      <c r="OPE101" t="s">
        <v>455</v>
      </c>
      <c r="OPF101" t="s">
        <v>455</v>
      </c>
      <c r="OPG101" t="s">
        <v>455</v>
      </c>
      <c r="OPH101" t="s">
        <v>455</v>
      </c>
      <c r="OPI101" t="s">
        <v>455</v>
      </c>
      <c r="OPJ101" t="s">
        <v>455</v>
      </c>
      <c r="OPK101" t="s">
        <v>455</v>
      </c>
      <c r="OPL101" t="s">
        <v>455</v>
      </c>
      <c r="OPM101" t="s">
        <v>455</v>
      </c>
      <c r="OPN101" t="s">
        <v>455</v>
      </c>
      <c r="OPO101" t="s">
        <v>455</v>
      </c>
      <c r="OPP101" t="s">
        <v>455</v>
      </c>
      <c r="OPQ101" t="s">
        <v>455</v>
      </c>
      <c r="OPR101" t="s">
        <v>455</v>
      </c>
      <c r="OPS101" t="s">
        <v>455</v>
      </c>
      <c r="OPT101" t="s">
        <v>455</v>
      </c>
      <c r="OPU101" t="s">
        <v>455</v>
      </c>
      <c r="OPV101" t="s">
        <v>455</v>
      </c>
      <c r="OPW101" t="s">
        <v>455</v>
      </c>
      <c r="OPX101" t="s">
        <v>455</v>
      </c>
      <c r="OPY101" t="s">
        <v>455</v>
      </c>
      <c r="OPZ101" t="s">
        <v>455</v>
      </c>
      <c r="OQA101" t="s">
        <v>455</v>
      </c>
      <c r="OQB101" t="s">
        <v>455</v>
      </c>
      <c r="OQC101" t="s">
        <v>455</v>
      </c>
      <c r="OQD101" t="s">
        <v>455</v>
      </c>
      <c r="OQE101" t="s">
        <v>455</v>
      </c>
      <c r="OQF101" t="s">
        <v>455</v>
      </c>
      <c r="OQG101" t="s">
        <v>455</v>
      </c>
      <c r="OQH101" t="s">
        <v>455</v>
      </c>
      <c r="OQI101" t="s">
        <v>455</v>
      </c>
      <c r="OQJ101" t="s">
        <v>455</v>
      </c>
      <c r="OQK101" t="s">
        <v>455</v>
      </c>
      <c r="OQL101" t="s">
        <v>455</v>
      </c>
      <c r="OQM101" t="s">
        <v>455</v>
      </c>
      <c r="OQN101" t="s">
        <v>455</v>
      </c>
      <c r="OQO101" t="s">
        <v>455</v>
      </c>
      <c r="OQP101" t="s">
        <v>455</v>
      </c>
      <c r="OQQ101" t="s">
        <v>455</v>
      </c>
      <c r="OQR101" t="s">
        <v>455</v>
      </c>
      <c r="OQS101" t="s">
        <v>455</v>
      </c>
      <c r="OQT101" t="s">
        <v>455</v>
      </c>
      <c r="OQU101" t="s">
        <v>455</v>
      </c>
      <c r="OQV101" t="s">
        <v>455</v>
      </c>
      <c r="OQW101" t="s">
        <v>455</v>
      </c>
      <c r="OQX101" t="s">
        <v>455</v>
      </c>
      <c r="OQY101" t="s">
        <v>455</v>
      </c>
      <c r="OQZ101" t="s">
        <v>455</v>
      </c>
      <c r="ORA101" t="s">
        <v>455</v>
      </c>
      <c r="ORB101" t="s">
        <v>455</v>
      </c>
      <c r="ORC101" t="s">
        <v>455</v>
      </c>
      <c r="ORD101" t="s">
        <v>455</v>
      </c>
      <c r="ORE101" t="s">
        <v>455</v>
      </c>
      <c r="ORF101" t="s">
        <v>455</v>
      </c>
      <c r="ORG101" t="s">
        <v>455</v>
      </c>
      <c r="ORH101" t="s">
        <v>455</v>
      </c>
      <c r="ORI101" t="s">
        <v>455</v>
      </c>
      <c r="ORJ101" t="s">
        <v>455</v>
      </c>
      <c r="ORK101" t="s">
        <v>455</v>
      </c>
      <c r="ORL101" t="s">
        <v>455</v>
      </c>
      <c r="ORM101" t="s">
        <v>455</v>
      </c>
      <c r="ORN101" t="s">
        <v>455</v>
      </c>
      <c r="ORO101" t="s">
        <v>455</v>
      </c>
      <c r="ORP101" t="s">
        <v>455</v>
      </c>
      <c r="ORQ101" t="s">
        <v>455</v>
      </c>
      <c r="ORR101" t="s">
        <v>455</v>
      </c>
      <c r="ORS101" t="s">
        <v>455</v>
      </c>
      <c r="ORT101" t="s">
        <v>455</v>
      </c>
      <c r="ORU101" t="s">
        <v>455</v>
      </c>
      <c r="ORV101" t="s">
        <v>455</v>
      </c>
      <c r="ORW101" t="s">
        <v>455</v>
      </c>
      <c r="ORX101" t="s">
        <v>455</v>
      </c>
      <c r="ORY101" t="s">
        <v>455</v>
      </c>
      <c r="ORZ101" t="s">
        <v>455</v>
      </c>
      <c r="OSA101" t="s">
        <v>455</v>
      </c>
      <c r="OSB101" t="s">
        <v>455</v>
      </c>
      <c r="OSC101" t="s">
        <v>455</v>
      </c>
      <c r="OSD101" t="s">
        <v>455</v>
      </c>
      <c r="OSE101" t="s">
        <v>455</v>
      </c>
      <c r="OSF101" t="s">
        <v>455</v>
      </c>
      <c r="OSG101" t="s">
        <v>455</v>
      </c>
      <c r="OSH101" t="s">
        <v>455</v>
      </c>
      <c r="OSI101" t="s">
        <v>455</v>
      </c>
      <c r="OSJ101" t="s">
        <v>455</v>
      </c>
      <c r="OSK101" t="s">
        <v>455</v>
      </c>
      <c r="OSL101" t="s">
        <v>455</v>
      </c>
      <c r="OSM101" t="s">
        <v>455</v>
      </c>
      <c r="OSN101" t="s">
        <v>455</v>
      </c>
      <c r="OSO101" t="s">
        <v>455</v>
      </c>
      <c r="OSP101" t="s">
        <v>455</v>
      </c>
      <c r="OSQ101" t="s">
        <v>455</v>
      </c>
      <c r="OSR101" t="s">
        <v>455</v>
      </c>
      <c r="OSS101" t="s">
        <v>455</v>
      </c>
      <c r="OST101" t="s">
        <v>455</v>
      </c>
      <c r="OSU101" t="s">
        <v>455</v>
      </c>
      <c r="OSV101" t="s">
        <v>455</v>
      </c>
      <c r="OSW101" t="s">
        <v>455</v>
      </c>
      <c r="OSX101" t="s">
        <v>455</v>
      </c>
      <c r="OSY101" t="s">
        <v>455</v>
      </c>
      <c r="OSZ101" t="s">
        <v>455</v>
      </c>
      <c r="OTA101" t="s">
        <v>455</v>
      </c>
      <c r="OTB101" t="s">
        <v>455</v>
      </c>
      <c r="OTC101" t="s">
        <v>455</v>
      </c>
      <c r="OTD101" t="s">
        <v>455</v>
      </c>
      <c r="OTE101" t="s">
        <v>455</v>
      </c>
      <c r="OTF101" t="s">
        <v>455</v>
      </c>
      <c r="OTG101" t="s">
        <v>455</v>
      </c>
      <c r="OTH101" t="s">
        <v>455</v>
      </c>
      <c r="OTI101" t="s">
        <v>455</v>
      </c>
      <c r="OTJ101" t="s">
        <v>455</v>
      </c>
      <c r="OTK101" t="s">
        <v>455</v>
      </c>
      <c r="OTL101" t="s">
        <v>455</v>
      </c>
      <c r="OTM101" t="s">
        <v>455</v>
      </c>
      <c r="OTN101" t="s">
        <v>455</v>
      </c>
      <c r="OTO101" t="s">
        <v>455</v>
      </c>
      <c r="OTP101" t="s">
        <v>455</v>
      </c>
      <c r="OTQ101" t="s">
        <v>455</v>
      </c>
      <c r="OTR101" t="s">
        <v>455</v>
      </c>
      <c r="OTS101" t="s">
        <v>455</v>
      </c>
      <c r="OTT101" t="s">
        <v>455</v>
      </c>
      <c r="OTU101" t="s">
        <v>455</v>
      </c>
      <c r="OTV101" t="s">
        <v>455</v>
      </c>
      <c r="OTW101" t="s">
        <v>455</v>
      </c>
      <c r="OTX101" t="s">
        <v>455</v>
      </c>
      <c r="OTY101" t="s">
        <v>455</v>
      </c>
      <c r="OTZ101" t="s">
        <v>455</v>
      </c>
      <c r="OUA101" t="s">
        <v>455</v>
      </c>
      <c r="OUB101" t="s">
        <v>455</v>
      </c>
      <c r="OUC101" t="s">
        <v>455</v>
      </c>
      <c r="OUD101" t="s">
        <v>455</v>
      </c>
      <c r="OUE101" t="s">
        <v>455</v>
      </c>
      <c r="OUF101" t="s">
        <v>455</v>
      </c>
      <c r="OUG101" t="s">
        <v>455</v>
      </c>
      <c r="OUH101" t="s">
        <v>455</v>
      </c>
      <c r="OUI101" t="s">
        <v>455</v>
      </c>
      <c r="OUJ101" t="s">
        <v>455</v>
      </c>
      <c r="OUK101" t="s">
        <v>455</v>
      </c>
      <c r="OUL101" t="s">
        <v>455</v>
      </c>
      <c r="OUM101" t="s">
        <v>455</v>
      </c>
      <c r="OUN101" t="s">
        <v>455</v>
      </c>
      <c r="OUO101" t="s">
        <v>455</v>
      </c>
      <c r="OUP101" t="s">
        <v>455</v>
      </c>
      <c r="OUQ101" t="s">
        <v>455</v>
      </c>
      <c r="OUR101" t="s">
        <v>455</v>
      </c>
      <c r="OUS101" t="s">
        <v>455</v>
      </c>
      <c r="OUT101" t="s">
        <v>455</v>
      </c>
      <c r="OUU101" t="s">
        <v>455</v>
      </c>
      <c r="OUV101" t="s">
        <v>455</v>
      </c>
      <c r="OUW101" t="s">
        <v>455</v>
      </c>
      <c r="OUX101" t="s">
        <v>455</v>
      </c>
      <c r="OUY101" t="s">
        <v>455</v>
      </c>
      <c r="OUZ101" t="s">
        <v>455</v>
      </c>
      <c r="OVA101" t="s">
        <v>455</v>
      </c>
      <c r="OVB101" t="s">
        <v>455</v>
      </c>
      <c r="OVC101" t="s">
        <v>455</v>
      </c>
      <c r="OVD101" t="s">
        <v>455</v>
      </c>
      <c r="OVE101" t="s">
        <v>455</v>
      </c>
      <c r="OVF101" t="s">
        <v>455</v>
      </c>
      <c r="OVG101" t="s">
        <v>455</v>
      </c>
      <c r="OVH101" t="s">
        <v>455</v>
      </c>
      <c r="OVI101" t="s">
        <v>455</v>
      </c>
      <c r="OVJ101" t="s">
        <v>455</v>
      </c>
      <c r="OVK101" t="s">
        <v>455</v>
      </c>
      <c r="OVL101" t="s">
        <v>455</v>
      </c>
      <c r="OVM101" t="s">
        <v>455</v>
      </c>
      <c r="OVN101" t="s">
        <v>455</v>
      </c>
      <c r="OVO101" t="s">
        <v>455</v>
      </c>
      <c r="OVP101" t="s">
        <v>455</v>
      </c>
      <c r="OVQ101" t="s">
        <v>455</v>
      </c>
      <c r="OVR101" t="s">
        <v>455</v>
      </c>
      <c r="OVS101" t="s">
        <v>455</v>
      </c>
      <c r="OVT101" t="s">
        <v>455</v>
      </c>
      <c r="OVU101" t="s">
        <v>455</v>
      </c>
      <c r="OVV101" t="s">
        <v>455</v>
      </c>
      <c r="OVW101" t="s">
        <v>455</v>
      </c>
      <c r="OVX101" t="s">
        <v>455</v>
      </c>
      <c r="OVY101" t="s">
        <v>455</v>
      </c>
      <c r="OVZ101" t="s">
        <v>455</v>
      </c>
      <c r="OWA101" t="s">
        <v>455</v>
      </c>
      <c r="OWB101" t="s">
        <v>455</v>
      </c>
      <c r="OWC101" t="s">
        <v>455</v>
      </c>
      <c r="OWD101" t="s">
        <v>455</v>
      </c>
      <c r="OWE101" t="s">
        <v>455</v>
      </c>
      <c r="OWF101" t="s">
        <v>455</v>
      </c>
      <c r="OWG101" t="s">
        <v>455</v>
      </c>
      <c r="OWH101" t="s">
        <v>455</v>
      </c>
      <c r="OWI101" t="s">
        <v>455</v>
      </c>
      <c r="OWJ101" t="s">
        <v>455</v>
      </c>
      <c r="OWK101" t="s">
        <v>455</v>
      </c>
      <c r="OWL101" t="s">
        <v>455</v>
      </c>
      <c r="OWM101" t="s">
        <v>455</v>
      </c>
      <c r="OWN101" t="s">
        <v>455</v>
      </c>
      <c r="OWO101" t="s">
        <v>455</v>
      </c>
      <c r="OWP101" t="s">
        <v>455</v>
      </c>
      <c r="OWQ101" t="s">
        <v>455</v>
      </c>
      <c r="OWR101" t="s">
        <v>455</v>
      </c>
      <c r="OWS101" t="s">
        <v>455</v>
      </c>
      <c r="OWT101" t="s">
        <v>455</v>
      </c>
      <c r="OWU101" t="s">
        <v>455</v>
      </c>
      <c r="OWV101" t="s">
        <v>455</v>
      </c>
      <c r="OWW101" t="s">
        <v>455</v>
      </c>
      <c r="OWX101" t="s">
        <v>455</v>
      </c>
      <c r="OWY101" t="s">
        <v>455</v>
      </c>
      <c r="OWZ101" t="s">
        <v>455</v>
      </c>
      <c r="OXA101" t="s">
        <v>455</v>
      </c>
      <c r="OXB101" t="s">
        <v>455</v>
      </c>
      <c r="OXC101" t="s">
        <v>455</v>
      </c>
      <c r="OXD101" t="s">
        <v>455</v>
      </c>
      <c r="OXE101" t="s">
        <v>455</v>
      </c>
      <c r="OXF101" t="s">
        <v>455</v>
      </c>
      <c r="OXG101" t="s">
        <v>455</v>
      </c>
      <c r="OXH101" t="s">
        <v>455</v>
      </c>
      <c r="OXI101" t="s">
        <v>455</v>
      </c>
      <c r="OXJ101" t="s">
        <v>455</v>
      </c>
      <c r="OXK101" t="s">
        <v>455</v>
      </c>
      <c r="OXL101" t="s">
        <v>455</v>
      </c>
      <c r="OXM101" t="s">
        <v>455</v>
      </c>
      <c r="OXN101" t="s">
        <v>455</v>
      </c>
      <c r="OXO101" t="s">
        <v>455</v>
      </c>
      <c r="OXP101" t="s">
        <v>455</v>
      </c>
      <c r="OXQ101" t="s">
        <v>455</v>
      </c>
      <c r="OXR101" t="s">
        <v>455</v>
      </c>
      <c r="OXS101" t="s">
        <v>455</v>
      </c>
      <c r="OXT101" t="s">
        <v>455</v>
      </c>
      <c r="OXU101" t="s">
        <v>455</v>
      </c>
      <c r="OXV101" t="s">
        <v>455</v>
      </c>
      <c r="OXW101" t="s">
        <v>455</v>
      </c>
      <c r="OXX101" t="s">
        <v>455</v>
      </c>
      <c r="OXY101" t="s">
        <v>455</v>
      </c>
      <c r="OXZ101" t="s">
        <v>455</v>
      </c>
      <c r="OYA101" t="s">
        <v>455</v>
      </c>
      <c r="OYB101" t="s">
        <v>455</v>
      </c>
      <c r="OYC101" t="s">
        <v>455</v>
      </c>
      <c r="OYD101" t="s">
        <v>455</v>
      </c>
      <c r="OYE101" t="s">
        <v>455</v>
      </c>
      <c r="OYF101" t="s">
        <v>455</v>
      </c>
      <c r="OYG101" t="s">
        <v>455</v>
      </c>
      <c r="OYH101" t="s">
        <v>455</v>
      </c>
      <c r="OYI101" t="s">
        <v>455</v>
      </c>
      <c r="OYJ101" t="s">
        <v>455</v>
      </c>
      <c r="OYK101" t="s">
        <v>455</v>
      </c>
      <c r="OYL101" t="s">
        <v>455</v>
      </c>
      <c r="OYM101" t="s">
        <v>455</v>
      </c>
      <c r="OYN101" t="s">
        <v>455</v>
      </c>
      <c r="OYO101" t="s">
        <v>455</v>
      </c>
      <c r="OYP101" t="s">
        <v>455</v>
      </c>
      <c r="OYQ101" t="s">
        <v>455</v>
      </c>
      <c r="OYR101" t="s">
        <v>455</v>
      </c>
      <c r="OYS101" t="s">
        <v>455</v>
      </c>
      <c r="OYT101" t="s">
        <v>455</v>
      </c>
      <c r="OYU101" t="s">
        <v>455</v>
      </c>
      <c r="OYV101" t="s">
        <v>455</v>
      </c>
      <c r="OYW101" t="s">
        <v>455</v>
      </c>
      <c r="OYX101" t="s">
        <v>455</v>
      </c>
      <c r="OYY101" t="s">
        <v>455</v>
      </c>
      <c r="OYZ101" t="s">
        <v>455</v>
      </c>
      <c r="OZA101" t="s">
        <v>455</v>
      </c>
      <c r="OZB101" t="s">
        <v>455</v>
      </c>
      <c r="OZC101" t="s">
        <v>455</v>
      </c>
      <c r="OZD101" t="s">
        <v>455</v>
      </c>
      <c r="OZE101" t="s">
        <v>455</v>
      </c>
      <c r="OZF101" t="s">
        <v>455</v>
      </c>
      <c r="OZG101" t="s">
        <v>455</v>
      </c>
      <c r="OZH101" t="s">
        <v>455</v>
      </c>
      <c r="OZI101" t="s">
        <v>455</v>
      </c>
      <c r="OZJ101" t="s">
        <v>455</v>
      </c>
      <c r="OZK101" t="s">
        <v>455</v>
      </c>
      <c r="OZL101" t="s">
        <v>455</v>
      </c>
      <c r="OZM101" t="s">
        <v>455</v>
      </c>
      <c r="OZN101" t="s">
        <v>455</v>
      </c>
      <c r="OZO101" t="s">
        <v>455</v>
      </c>
      <c r="OZP101" t="s">
        <v>455</v>
      </c>
      <c r="OZQ101" t="s">
        <v>455</v>
      </c>
      <c r="OZR101" t="s">
        <v>455</v>
      </c>
      <c r="OZS101" t="s">
        <v>455</v>
      </c>
      <c r="OZT101" t="s">
        <v>455</v>
      </c>
      <c r="OZU101" t="s">
        <v>455</v>
      </c>
      <c r="OZV101" t="s">
        <v>455</v>
      </c>
      <c r="OZW101" t="s">
        <v>455</v>
      </c>
      <c r="OZX101" t="s">
        <v>455</v>
      </c>
      <c r="OZY101" t="s">
        <v>455</v>
      </c>
      <c r="OZZ101" t="s">
        <v>455</v>
      </c>
      <c r="PAA101" t="s">
        <v>455</v>
      </c>
      <c r="PAB101" t="s">
        <v>455</v>
      </c>
      <c r="PAC101" t="s">
        <v>455</v>
      </c>
      <c r="PAD101" t="s">
        <v>455</v>
      </c>
      <c r="PAE101" t="s">
        <v>455</v>
      </c>
      <c r="PAF101" t="s">
        <v>455</v>
      </c>
      <c r="PAG101" t="s">
        <v>455</v>
      </c>
      <c r="PAH101" t="s">
        <v>455</v>
      </c>
      <c r="PAI101" t="s">
        <v>455</v>
      </c>
      <c r="PAJ101" t="s">
        <v>455</v>
      </c>
      <c r="PAK101" t="s">
        <v>455</v>
      </c>
      <c r="PAL101" t="s">
        <v>455</v>
      </c>
      <c r="PAM101" t="s">
        <v>455</v>
      </c>
      <c r="PAN101" t="s">
        <v>455</v>
      </c>
      <c r="PAO101" t="s">
        <v>455</v>
      </c>
      <c r="PAP101" t="s">
        <v>455</v>
      </c>
      <c r="PAQ101" t="s">
        <v>455</v>
      </c>
      <c r="PAR101" t="s">
        <v>455</v>
      </c>
      <c r="PAS101" t="s">
        <v>455</v>
      </c>
      <c r="PAT101" t="s">
        <v>455</v>
      </c>
      <c r="PAU101" t="s">
        <v>455</v>
      </c>
      <c r="PAV101" t="s">
        <v>455</v>
      </c>
      <c r="PAW101" t="s">
        <v>455</v>
      </c>
      <c r="PAX101" t="s">
        <v>455</v>
      </c>
      <c r="PAY101" t="s">
        <v>455</v>
      </c>
      <c r="PAZ101" t="s">
        <v>455</v>
      </c>
      <c r="PBA101" t="s">
        <v>455</v>
      </c>
      <c r="PBB101" t="s">
        <v>455</v>
      </c>
      <c r="PBC101" t="s">
        <v>455</v>
      </c>
      <c r="PBD101" t="s">
        <v>455</v>
      </c>
      <c r="PBE101" t="s">
        <v>455</v>
      </c>
      <c r="PBF101" t="s">
        <v>455</v>
      </c>
      <c r="PBG101" t="s">
        <v>455</v>
      </c>
      <c r="PBH101" t="s">
        <v>455</v>
      </c>
      <c r="PBI101" t="s">
        <v>455</v>
      </c>
      <c r="PBJ101" t="s">
        <v>455</v>
      </c>
      <c r="PBK101" t="s">
        <v>455</v>
      </c>
      <c r="PBL101" t="s">
        <v>455</v>
      </c>
      <c r="PBM101" t="s">
        <v>455</v>
      </c>
      <c r="PBN101" t="s">
        <v>455</v>
      </c>
      <c r="PBO101" t="s">
        <v>455</v>
      </c>
      <c r="PBP101" t="s">
        <v>455</v>
      </c>
      <c r="PBQ101" t="s">
        <v>455</v>
      </c>
      <c r="PBR101" t="s">
        <v>455</v>
      </c>
      <c r="PBS101" t="s">
        <v>455</v>
      </c>
      <c r="PBT101" t="s">
        <v>455</v>
      </c>
      <c r="PBU101" t="s">
        <v>455</v>
      </c>
      <c r="PBV101" t="s">
        <v>455</v>
      </c>
      <c r="PBW101" t="s">
        <v>455</v>
      </c>
      <c r="PBX101" t="s">
        <v>455</v>
      </c>
      <c r="PBY101" t="s">
        <v>455</v>
      </c>
      <c r="PBZ101" t="s">
        <v>455</v>
      </c>
      <c r="PCA101" t="s">
        <v>455</v>
      </c>
      <c r="PCB101" t="s">
        <v>455</v>
      </c>
      <c r="PCC101" t="s">
        <v>455</v>
      </c>
      <c r="PCD101" t="s">
        <v>455</v>
      </c>
      <c r="PCE101" t="s">
        <v>455</v>
      </c>
      <c r="PCF101" t="s">
        <v>455</v>
      </c>
      <c r="PCG101" t="s">
        <v>455</v>
      </c>
      <c r="PCH101" t="s">
        <v>455</v>
      </c>
      <c r="PCI101" t="s">
        <v>455</v>
      </c>
      <c r="PCJ101" t="s">
        <v>455</v>
      </c>
      <c r="PCK101" t="s">
        <v>455</v>
      </c>
      <c r="PCL101" t="s">
        <v>455</v>
      </c>
      <c r="PCM101" t="s">
        <v>455</v>
      </c>
      <c r="PCN101" t="s">
        <v>455</v>
      </c>
      <c r="PCO101" t="s">
        <v>455</v>
      </c>
      <c r="PCP101" t="s">
        <v>455</v>
      </c>
      <c r="PCQ101" t="s">
        <v>455</v>
      </c>
      <c r="PCR101" t="s">
        <v>455</v>
      </c>
      <c r="PCS101" t="s">
        <v>455</v>
      </c>
      <c r="PCT101" t="s">
        <v>455</v>
      </c>
      <c r="PCU101" t="s">
        <v>455</v>
      </c>
      <c r="PCV101" t="s">
        <v>455</v>
      </c>
      <c r="PCW101" t="s">
        <v>455</v>
      </c>
      <c r="PCX101" t="s">
        <v>455</v>
      </c>
      <c r="PCY101" t="s">
        <v>455</v>
      </c>
      <c r="PCZ101" t="s">
        <v>455</v>
      </c>
      <c r="PDA101" t="s">
        <v>455</v>
      </c>
      <c r="PDB101" t="s">
        <v>455</v>
      </c>
      <c r="PDC101" t="s">
        <v>455</v>
      </c>
      <c r="PDD101" t="s">
        <v>455</v>
      </c>
      <c r="PDE101" t="s">
        <v>455</v>
      </c>
      <c r="PDF101" t="s">
        <v>455</v>
      </c>
      <c r="PDG101" t="s">
        <v>455</v>
      </c>
      <c r="PDH101" t="s">
        <v>455</v>
      </c>
      <c r="PDI101" t="s">
        <v>455</v>
      </c>
      <c r="PDJ101" t="s">
        <v>455</v>
      </c>
      <c r="PDK101" t="s">
        <v>455</v>
      </c>
      <c r="PDL101" t="s">
        <v>455</v>
      </c>
      <c r="PDM101" t="s">
        <v>455</v>
      </c>
      <c r="PDN101" t="s">
        <v>455</v>
      </c>
      <c r="PDO101" t="s">
        <v>455</v>
      </c>
      <c r="PDP101" t="s">
        <v>455</v>
      </c>
      <c r="PDQ101" t="s">
        <v>455</v>
      </c>
      <c r="PDR101" t="s">
        <v>455</v>
      </c>
      <c r="PDS101" t="s">
        <v>455</v>
      </c>
      <c r="PDT101" t="s">
        <v>455</v>
      </c>
      <c r="PDU101" t="s">
        <v>455</v>
      </c>
      <c r="PDV101" t="s">
        <v>455</v>
      </c>
      <c r="PDW101" t="s">
        <v>455</v>
      </c>
      <c r="PDX101" t="s">
        <v>455</v>
      </c>
      <c r="PDY101" t="s">
        <v>455</v>
      </c>
      <c r="PDZ101" t="s">
        <v>455</v>
      </c>
      <c r="PEA101" t="s">
        <v>455</v>
      </c>
      <c r="PEB101" t="s">
        <v>455</v>
      </c>
      <c r="PEC101" t="s">
        <v>455</v>
      </c>
      <c r="PED101" t="s">
        <v>455</v>
      </c>
      <c r="PEE101" t="s">
        <v>455</v>
      </c>
      <c r="PEF101" t="s">
        <v>455</v>
      </c>
      <c r="PEG101" t="s">
        <v>455</v>
      </c>
      <c r="PEH101" t="s">
        <v>455</v>
      </c>
      <c r="PEI101" t="s">
        <v>455</v>
      </c>
      <c r="PEJ101" t="s">
        <v>455</v>
      </c>
      <c r="PEK101" t="s">
        <v>455</v>
      </c>
      <c r="PEL101" t="s">
        <v>455</v>
      </c>
      <c r="PEM101" t="s">
        <v>455</v>
      </c>
      <c r="PEN101" t="s">
        <v>455</v>
      </c>
      <c r="PEO101" t="s">
        <v>455</v>
      </c>
      <c r="PEP101" t="s">
        <v>455</v>
      </c>
      <c r="PEQ101" t="s">
        <v>455</v>
      </c>
      <c r="PER101" t="s">
        <v>455</v>
      </c>
      <c r="PES101" t="s">
        <v>455</v>
      </c>
      <c r="PET101" t="s">
        <v>455</v>
      </c>
      <c r="PEU101" t="s">
        <v>455</v>
      </c>
      <c r="PEV101" t="s">
        <v>455</v>
      </c>
      <c r="PEW101" t="s">
        <v>455</v>
      </c>
      <c r="PEX101" t="s">
        <v>455</v>
      </c>
      <c r="PEY101" t="s">
        <v>455</v>
      </c>
      <c r="PEZ101" t="s">
        <v>455</v>
      </c>
      <c r="PFA101" t="s">
        <v>455</v>
      </c>
      <c r="PFB101" t="s">
        <v>455</v>
      </c>
      <c r="PFC101" t="s">
        <v>455</v>
      </c>
      <c r="PFD101" t="s">
        <v>455</v>
      </c>
      <c r="PFE101" t="s">
        <v>455</v>
      </c>
      <c r="PFF101" t="s">
        <v>455</v>
      </c>
      <c r="PFG101" t="s">
        <v>455</v>
      </c>
      <c r="PFH101" t="s">
        <v>455</v>
      </c>
      <c r="PFI101" t="s">
        <v>455</v>
      </c>
      <c r="PFJ101" t="s">
        <v>455</v>
      </c>
      <c r="PFK101" t="s">
        <v>455</v>
      </c>
      <c r="PFL101" t="s">
        <v>455</v>
      </c>
      <c r="PFM101" t="s">
        <v>455</v>
      </c>
      <c r="PFN101" t="s">
        <v>455</v>
      </c>
      <c r="PFO101" t="s">
        <v>455</v>
      </c>
      <c r="PFP101" t="s">
        <v>455</v>
      </c>
      <c r="PFQ101" t="s">
        <v>455</v>
      </c>
      <c r="PFR101" t="s">
        <v>455</v>
      </c>
      <c r="PFS101" t="s">
        <v>455</v>
      </c>
      <c r="PFT101" t="s">
        <v>455</v>
      </c>
      <c r="PFU101" t="s">
        <v>455</v>
      </c>
      <c r="PFV101" t="s">
        <v>455</v>
      </c>
      <c r="PFW101" t="s">
        <v>455</v>
      </c>
      <c r="PFX101" t="s">
        <v>455</v>
      </c>
      <c r="PFY101" t="s">
        <v>455</v>
      </c>
      <c r="PFZ101" t="s">
        <v>455</v>
      </c>
      <c r="PGA101" t="s">
        <v>455</v>
      </c>
      <c r="PGB101" t="s">
        <v>455</v>
      </c>
      <c r="PGC101" t="s">
        <v>455</v>
      </c>
      <c r="PGD101" t="s">
        <v>455</v>
      </c>
      <c r="PGE101" t="s">
        <v>455</v>
      </c>
      <c r="PGF101" t="s">
        <v>455</v>
      </c>
      <c r="PGG101" t="s">
        <v>455</v>
      </c>
      <c r="PGH101" t="s">
        <v>455</v>
      </c>
      <c r="PGI101" t="s">
        <v>455</v>
      </c>
      <c r="PGJ101" t="s">
        <v>455</v>
      </c>
      <c r="PGK101" t="s">
        <v>455</v>
      </c>
      <c r="PGL101" t="s">
        <v>455</v>
      </c>
      <c r="PGM101" t="s">
        <v>455</v>
      </c>
      <c r="PGN101" t="s">
        <v>455</v>
      </c>
      <c r="PGO101" t="s">
        <v>455</v>
      </c>
      <c r="PGP101" t="s">
        <v>455</v>
      </c>
      <c r="PGQ101" t="s">
        <v>455</v>
      </c>
      <c r="PGR101" t="s">
        <v>455</v>
      </c>
      <c r="PGS101" t="s">
        <v>455</v>
      </c>
      <c r="PGT101" t="s">
        <v>455</v>
      </c>
      <c r="PGU101" t="s">
        <v>455</v>
      </c>
      <c r="PGV101" t="s">
        <v>455</v>
      </c>
      <c r="PGW101" t="s">
        <v>455</v>
      </c>
      <c r="PGX101" t="s">
        <v>455</v>
      </c>
      <c r="PGY101" t="s">
        <v>455</v>
      </c>
      <c r="PGZ101" t="s">
        <v>455</v>
      </c>
      <c r="PHA101" t="s">
        <v>455</v>
      </c>
      <c r="PHB101" t="s">
        <v>455</v>
      </c>
      <c r="PHC101" t="s">
        <v>455</v>
      </c>
      <c r="PHD101" t="s">
        <v>455</v>
      </c>
      <c r="PHE101" t="s">
        <v>455</v>
      </c>
      <c r="PHF101" t="s">
        <v>455</v>
      </c>
      <c r="PHG101" t="s">
        <v>455</v>
      </c>
      <c r="PHH101" t="s">
        <v>455</v>
      </c>
      <c r="PHI101" t="s">
        <v>455</v>
      </c>
      <c r="PHJ101" t="s">
        <v>455</v>
      </c>
      <c r="PHK101" t="s">
        <v>455</v>
      </c>
      <c r="PHL101" t="s">
        <v>455</v>
      </c>
      <c r="PHM101" t="s">
        <v>455</v>
      </c>
      <c r="PHN101" t="s">
        <v>455</v>
      </c>
      <c r="PHO101" t="s">
        <v>455</v>
      </c>
      <c r="PHP101" t="s">
        <v>455</v>
      </c>
      <c r="PHQ101" t="s">
        <v>455</v>
      </c>
      <c r="PHR101" t="s">
        <v>455</v>
      </c>
      <c r="PHS101" t="s">
        <v>455</v>
      </c>
      <c r="PHT101" t="s">
        <v>455</v>
      </c>
      <c r="PHU101" t="s">
        <v>455</v>
      </c>
      <c r="PHV101" t="s">
        <v>455</v>
      </c>
      <c r="PHW101" t="s">
        <v>455</v>
      </c>
      <c r="PHX101" t="s">
        <v>455</v>
      </c>
      <c r="PHY101" t="s">
        <v>455</v>
      </c>
      <c r="PHZ101" t="s">
        <v>455</v>
      </c>
      <c r="PIA101" t="s">
        <v>455</v>
      </c>
      <c r="PIB101" t="s">
        <v>455</v>
      </c>
      <c r="PIC101" t="s">
        <v>455</v>
      </c>
      <c r="PID101" t="s">
        <v>455</v>
      </c>
      <c r="PIE101" t="s">
        <v>455</v>
      </c>
      <c r="PIF101" t="s">
        <v>455</v>
      </c>
      <c r="PIG101" t="s">
        <v>455</v>
      </c>
      <c r="PIH101" t="s">
        <v>455</v>
      </c>
      <c r="PII101" t="s">
        <v>455</v>
      </c>
      <c r="PIJ101" t="s">
        <v>455</v>
      </c>
      <c r="PIK101" t="s">
        <v>455</v>
      </c>
      <c r="PIL101" t="s">
        <v>455</v>
      </c>
      <c r="PIM101" t="s">
        <v>455</v>
      </c>
      <c r="PIN101" t="s">
        <v>455</v>
      </c>
      <c r="PIO101" t="s">
        <v>455</v>
      </c>
      <c r="PIP101" t="s">
        <v>455</v>
      </c>
      <c r="PIQ101" t="s">
        <v>455</v>
      </c>
      <c r="PIR101" t="s">
        <v>455</v>
      </c>
      <c r="PIS101" t="s">
        <v>455</v>
      </c>
      <c r="PIT101" t="s">
        <v>455</v>
      </c>
      <c r="PIU101" t="s">
        <v>455</v>
      </c>
      <c r="PIV101" t="s">
        <v>455</v>
      </c>
      <c r="PIW101" t="s">
        <v>455</v>
      </c>
      <c r="PIX101" t="s">
        <v>455</v>
      </c>
      <c r="PIY101" t="s">
        <v>455</v>
      </c>
      <c r="PIZ101" t="s">
        <v>455</v>
      </c>
      <c r="PJA101" t="s">
        <v>455</v>
      </c>
      <c r="PJB101" t="s">
        <v>455</v>
      </c>
      <c r="PJC101" t="s">
        <v>455</v>
      </c>
      <c r="PJD101" t="s">
        <v>455</v>
      </c>
      <c r="PJE101" t="s">
        <v>455</v>
      </c>
      <c r="PJF101" t="s">
        <v>455</v>
      </c>
      <c r="PJG101" t="s">
        <v>455</v>
      </c>
      <c r="PJH101" t="s">
        <v>455</v>
      </c>
      <c r="PJI101" t="s">
        <v>455</v>
      </c>
      <c r="PJJ101" t="s">
        <v>455</v>
      </c>
      <c r="PJK101" t="s">
        <v>455</v>
      </c>
      <c r="PJL101" t="s">
        <v>455</v>
      </c>
      <c r="PJM101" t="s">
        <v>455</v>
      </c>
      <c r="PJN101" t="s">
        <v>455</v>
      </c>
      <c r="PJO101" t="s">
        <v>455</v>
      </c>
      <c r="PJP101" t="s">
        <v>455</v>
      </c>
      <c r="PJQ101" t="s">
        <v>455</v>
      </c>
      <c r="PJR101" t="s">
        <v>455</v>
      </c>
      <c r="PJS101" t="s">
        <v>455</v>
      </c>
      <c r="PJT101" t="s">
        <v>455</v>
      </c>
      <c r="PJU101" t="s">
        <v>455</v>
      </c>
      <c r="PJV101" t="s">
        <v>455</v>
      </c>
      <c r="PJW101" t="s">
        <v>455</v>
      </c>
      <c r="PJX101" t="s">
        <v>455</v>
      </c>
      <c r="PJY101" t="s">
        <v>455</v>
      </c>
      <c r="PJZ101" t="s">
        <v>455</v>
      </c>
      <c r="PKA101" t="s">
        <v>455</v>
      </c>
      <c r="PKB101" t="s">
        <v>455</v>
      </c>
      <c r="PKC101" t="s">
        <v>455</v>
      </c>
      <c r="PKD101" t="s">
        <v>455</v>
      </c>
      <c r="PKE101" t="s">
        <v>455</v>
      </c>
      <c r="PKF101" t="s">
        <v>455</v>
      </c>
      <c r="PKG101" t="s">
        <v>455</v>
      </c>
      <c r="PKH101" t="s">
        <v>455</v>
      </c>
      <c r="PKI101" t="s">
        <v>455</v>
      </c>
      <c r="PKJ101" t="s">
        <v>455</v>
      </c>
      <c r="PKK101" t="s">
        <v>455</v>
      </c>
      <c r="PKL101" t="s">
        <v>455</v>
      </c>
      <c r="PKM101" t="s">
        <v>455</v>
      </c>
      <c r="PKN101" t="s">
        <v>455</v>
      </c>
      <c r="PKO101" t="s">
        <v>455</v>
      </c>
      <c r="PKP101" t="s">
        <v>455</v>
      </c>
      <c r="PKQ101" t="s">
        <v>455</v>
      </c>
      <c r="PKR101" t="s">
        <v>455</v>
      </c>
      <c r="PKS101" t="s">
        <v>455</v>
      </c>
      <c r="PKT101" t="s">
        <v>455</v>
      </c>
      <c r="PKU101" t="s">
        <v>455</v>
      </c>
      <c r="PKV101" t="s">
        <v>455</v>
      </c>
      <c r="PKW101" t="s">
        <v>455</v>
      </c>
      <c r="PKX101" t="s">
        <v>455</v>
      </c>
      <c r="PKY101" t="s">
        <v>455</v>
      </c>
      <c r="PKZ101" t="s">
        <v>455</v>
      </c>
      <c r="PLA101" t="s">
        <v>455</v>
      </c>
      <c r="PLB101" t="s">
        <v>455</v>
      </c>
      <c r="PLC101" t="s">
        <v>455</v>
      </c>
      <c r="PLD101" t="s">
        <v>455</v>
      </c>
      <c r="PLE101" t="s">
        <v>455</v>
      </c>
      <c r="PLF101" t="s">
        <v>455</v>
      </c>
      <c r="PLG101" t="s">
        <v>455</v>
      </c>
      <c r="PLH101" t="s">
        <v>455</v>
      </c>
      <c r="PLI101" t="s">
        <v>455</v>
      </c>
      <c r="PLJ101" t="s">
        <v>455</v>
      </c>
      <c r="PLK101" t="s">
        <v>455</v>
      </c>
      <c r="PLL101" t="s">
        <v>455</v>
      </c>
      <c r="PLM101" t="s">
        <v>455</v>
      </c>
      <c r="PLN101" t="s">
        <v>455</v>
      </c>
      <c r="PLO101" t="s">
        <v>455</v>
      </c>
      <c r="PLP101" t="s">
        <v>455</v>
      </c>
      <c r="PLQ101" t="s">
        <v>455</v>
      </c>
      <c r="PLR101" t="s">
        <v>455</v>
      </c>
      <c r="PLS101" t="s">
        <v>455</v>
      </c>
      <c r="PLT101" t="s">
        <v>455</v>
      </c>
      <c r="PLU101" t="s">
        <v>455</v>
      </c>
      <c r="PLV101" t="s">
        <v>455</v>
      </c>
      <c r="PLW101" t="s">
        <v>455</v>
      </c>
      <c r="PLX101" t="s">
        <v>455</v>
      </c>
      <c r="PLY101" t="s">
        <v>455</v>
      </c>
      <c r="PLZ101" t="s">
        <v>455</v>
      </c>
      <c r="PMA101" t="s">
        <v>455</v>
      </c>
      <c r="PMB101" t="s">
        <v>455</v>
      </c>
      <c r="PMC101" t="s">
        <v>455</v>
      </c>
      <c r="PMD101" t="s">
        <v>455</v>
      </c>
      <c r="PME101" t="s">
        <v>455</v>
      </c>
      <c r="PMF101" t="s">
        <v>455</v>
      </c>
      <c r="PMG101" t="s">
        <v>455</v>
      </c>
      <c r="PMH101" t="s">
        <v>455</v>
      </c>
      <c r="PMI101" t="s">
        <v>455</v>
      </c>
      <c r="PMJ101" t="s">
        <v>455</v>
      </c>
      <c r="PMK101" t="s">
        <v>455</v>
      </c>
      <c r="PML101" t="s">
        <v>455</v>
      </c>
      <c r="PMM101" t="s">
        <v>455</v>
      </c>
      <c r="PMN101" t="s">
        <v>455</v>
      </c>
      <c r="PMO101" t="s">
        <v>455</v>
      </c>
      <c r="PMP101" t="s">
        <v>455</v>
      </c>
      <c r="PMQ101" t="s">
        <v>455</v>
      </c>
      <c r="PMR101" t="s">
        <v>455</v>
      </c>
      <c r="PMS101" t="s">
        <v>455</v>
      </c>
      <c r="PMT101" t="s">
        <v>455</v>
      </c>
      <c r="PMU101" t="s">
        <v>455</v>
      </c>
      <c r="PMV101" t="s">
        <v>455</v>
      </c>
      <c r="PMW101" t="s">
        <v>455</v>
      </c>
      <c r="PMX101" t="s">
        <v>455</v>
      </c>
      <c r="PMY101" t="s">
        <v>455</v>
      </c>
      <c r="PMZ101" t="s">
        <v>455</v>
      </c>
      <c r="PNA101" t="s">
        <v>455</v>
      </c>
      <c r="PNB101" t="s">
        <v>455</v>
      </c>
      <c r="PNC101" t="s">
        <v>455</v>
      </c>
      <c r="PND101" t="s">
        <v>455</v>
      </c>
      <c r="PNE101" t="s">
        <v>455</v>
      </c>
      <c r="PNF101" t="s">
        <v>455</v>
      </c>
      <c r="PNG101" t="s">
        <v>455</v>
      </c>
      <c r="PNH101" t="s">
        <v>455</v>
      </c>
      <c r="PNI101" t="s">
        <v>455</v>
      </c>
      <c r="PNJ101" t="s">
        <v>455</v>
      </c>
      <c r="PNK101" t="s">
        <v>455</v>
      </c>
      <c r="PNL101" t="s">
        <v>455</v>
      </c>
      <c r="PNM101" t="s">
        <v>455</v>
      </c>
      <c r="PNN101" t="s">
        <v>455</v>
      </c>
      <c r="PNO101" t="s">
        <v>455</v>
      </c>
      <c r="PNP101" t="s">
        <v>455</v>
      </c>
      <c r="PNQ101" t="s">
        <v>455</v>
      </c>
      <c r="PNR101" t="s">
        <v>455</v>
      </c>
      <c r="PNS101" t="s">
        <v>455</v>
      </c>
      <c r="PNT101" t="s">
        <v>455</v>
      </c>
      <c r="PNU101" t="s">
        <v>455</v>
      </c>
      <c r="PNV101" t="s">
        <v>455</v>
      </c>
      <c r="PNW101" t="s">
        <v>455</v>
      </c>
      <c r="PNX101" t="s">
        <v>455</v>
      </c>
      <c r="PNY101" t="s">
        <v>455</v>
      </c>
      <c r="PNZ101" t="s">
        <v>455</v>
      </c>
      <c r="POA101" t="s">
        <v>455</v>
      </c>
      <c r="POB101" t="s">
        <v>455</v>
      </c>
      <c r="POC101" t="s">
        <v>455</v>
      </c>
      <c r="POD101" t="s">
        <v>455</v>
      </c>
      <c r="POE101" t="s">
        <v>455</v>
      </c>
      <c r="POF101" t="s">
        <v>455</v>
      </c>
      <c r="POG101" t="s">
        <v>455</v>
      </c>
      <c r="POH101" t="s">
        <v>455</v>
      </c>
      <c r="POI101" t="s">
        <v>455</v>
      </c>
      <c r="POJ101" t="s">
        <v>455</v>
      </c>
      <c r="POK101" t="s">
        <v>455</v>
      </c>
      <c r="POL101" t="s">
        <v>455</v>
      </c>
      <c r="POM101" t="s">
        <v>455</v>
      </c>
      <c r="PON101" t="s">
        <v>455</v>
      </c>
      <c r="POO101" t="s">
        <v>455</v>
      </c>
      <c r="POP101" t="s">
        <v>455</v>
      </c>
      <c r="POQ101" t="s">
        <v>455</v>
      </c>
      <c r="POR101" t="s">
        <v>455</v>
      </c>
      <c r="POS101" t="s">
        <v>455</v>
      </c>
      <c r="POT101" t="s">
        <v>455</v>
      </c>
      <c r="POU101" t="s">
        <v>455</v>
      </c>
      <c r="POV101" t="s">
        <v>455</v>
      </c>
      <c r="POW101" t="s">
        <v>455</v>
      </c>
      <c r="POX101" t="s">
        <v>455</v>
      </c>
      <c r="POY101" t="s">
        <v>455</v>
      </c>
      <c r="POZ101" t="s">
        <v>455</v>
      </c>
      <c r="PPA101" t="s">
        <v>455</v>
      </c>
      <c r="PPB101" t="s">
        <v>455</v>
      </c>
      <c r="PPC101" t="s">
        <v>455</v>
      </c>
      <c r="PPD101" t="s">
        <v>455</v>
      </c>
      <c r="PPE101" t="s">
        <v>455</v>
      </c>
      <c r="PPF101" t="s">
        <v>455</v>
      </c>
      <c r="PPG101" t="s">
        <v>455</v>
      </c>
      <c r="PPH101" t="s">
        <v>455</v>
      </c>
      <c r="PPI101" t="s">
        <v>455</v>
      </c>
      <c r="PPJ101" t="s">
        <v>455</v>
      </c>
      <c r="PPK101" t="s">
        <v>455</v>
      </c>
      <c r="PPL101" t="s">
        <v>455</v>
      </c>
      <c r="PPM101" t="s">
        <v>455</v>
      </c>
      <c r="PPN101" t="s">
        <v>455</v>
      </c>
      <c r="PPO101" t="s">
        <v>455</v>
      </c>
      <c r="PPP101" t="s">
        <v>455</v>
      </c>
      <c r="PPQ101" t="s">
        <v>455</v>
      </c>
      <c r="PPR101" t="s">
        <v>455</v>
      </c>
      <c r="PPS101" t="s">
        <v>455</v>
      </c>
      <c r="PPT101" t="s">
        <v>455</v>
      </c>
      <c r="PPU101" t="s">
        <v>455</v>
      </c>
      <c r="PPV101" t="s">
        <v>455</v>
      </c>
      <c r="PPW101" t="s">
        <v>455</v>
      </c>
      <c r="PPX101" t="s">
        <v>455</v>
      </c>
      <c r="PPY101" t="s">
        <v>455</v>
      </c>
      <c r="PPZ101" t="s">
        <v>455</v>
      </c>
      <c r="PQA101" t="s">
        <v>455</v>
      </c>
      <c r="PQB101" t="s">
        <v>455</v>
      </c>
      <c r="PQC101" t="s">
        <v>455</v>
      </c>
      <c r="PQD101" t="s">
        <v>455</v>
      </c>
      <c r="PQE101" t="s">
        <v>455</v>
      </c>
      <c r="PQF101" t="s">
        <v>455</v>
      </c>
      <c r="PQG101" t="s">
        <v>455</v>
      </c>
      <c r="PQH101" t="s">
        <v>455</v>
      </c>
      <c r="PQI101" t="s">
        <v>455</v>
      </c>
      <c r="PQJ101" t="s">
        <v>455</v>
      </c>
      <c r="PQK101" t="s">
        <v>455</v>
      </c>
      <c r="PQL101" t="s">
        <v>455</v>
      </c>
      <c r="PQM101" t="s">
        <v>455</v>
      </c>
      <c r="PQN101" t="s">
        <v>455</v>
      </c>
      <c r="PQO101" t="s">
        <v>455</v>
      </c>
      <c r="PQP101" t="s">
        <v>455</v>
      </c>
      <c r="PQQ101" t="s">
        <v>455</v>
      </c>
      <c r="PQR101" t="s">
        <v>455</v>
      </c>
      <c r="PQS101" t="s">
        <v>455</v>
      </c>
      <c r="PQT101" t="s">
        <v>455</v>
      </c>
      <c r="PQU101" t="s">
        <v>455</v>
      </c>
      <c r="PQV101" t="s">
        <v>455</v>
      </c>
      <c r="PQW101" t="s">
        <v>455</v>
      </c>
      <c r="PQX101" t="s">
        <v>455</v>
      </c>
      <c r="PQY101" t="s">
        <v>455</v>
      </c>
      <c r="PQZ101" t="s">
        <v>455</v>
      </c>
      <c r="PRA101" t="s">
        <v>455</v>
      </c>
      <c r="PRB101" t="s">
        <v>455</v>
      </c>
      <c r="PRC101" t="s">
        <v>455</v>
      </c>
      <c r="PRD101" t="s">
        <v>455</v>
      </c>
      <c r="PRE101" t="s">
        <v>455</v>
      </c>
      <c r="PRF101" t="s">
        <v>455</v>
      </c>
      <c r="PRG101" t="s">
        <v>455</v>
      </c>
      <c r="PRH101" t="s">
        <v>455</v>
      </c>
      <c r="PRI101" t="s">
        <v>455</v>
      </c>
      <c r="PRJ101" t="s">
        <v>455</v>
      </c>
      <c r="PRK101" t="s">
        <v>455</v>
      </c>
      <c r="PRL101" t="s">
        <v>455</v>
      </c>
      <c r="PRM101" t="s">
        <v>455</v>
      </c>
      <c r="PRN101" t="s">
        <v>455</v>
      </c>
      <c r="PRO101" t="s">
        <v>455</v>
      </c>
      <c r="PRP101" t="s">
        <v>455</v>
      </c>
      <c r="PRQ101" t="s">
        <v>455</v>
      </c>
      <c r="PRR101" t="s">
        <v>455</v>
      </c>
      <c r="PRS101" t="s">
        <v>455</v>
      </c>
      <c r="PRT101" t="s">
        <v>455</v>
      </c>
      <c r="PRU101" t="s">
        <v>455</v>
      </c>
      <c r="PRV101" t="s">
        <v>455</v>
      </c>
      <c r="PRW101" t="s">
        <v>455</v>
      </c>
      <c r="PRX101" t="s">
        <v>455</v>
      </c>
      <c r="PRY101" t="s">
        <v>455</v>
      </c>
      <c r="PRZ101" t="s">
        <v>455</v>
      </c>
      <c r="PSA101" t="s">
        <v>455</v>
      </c>
      <c r="PSB101" t="s">
        <v>455</v>
      </c>
      <c r="PSC101" t="s">
        <v>455</v>
      </c>
      <c r="PSD101" t="s">
        <v>455</v>
      </c>
      <c r="PSE101" t="s">
        <v>455</v>
      </c>
      <c r="PSF101" t="s">
        <v>455</v>
      </c>
      <c r="PSG101" t="s">
        <v>455</v>
      </c>
      <c r="PSH101" t="s">
        <v>455</v>
      </c>
      <c r="PSI101" t="s">
        <v>455</v>
      </c>
      <c r="PSJ101" t="s">
        <v>455</v>
      </c>
      <c r="PSK101" t="s">
        <v>455</v>
      </c>
      <c r="PSL101" t="s">
        <v>455</v>
      </c>
      <c r="PSM101" t="s">
        <v>455</v>
      </c>
      <c r="PSN101" t="s">
        <v>455</v>
      </c>
      <c r="PSO101" t="s">
        <v>455</v>
      </c>
      <c r="PSP101" t="s">
        <v>455</v>
      </c>
      <c r="PSQ101" t="s">
        <v>455</v>
      </c>
      <c r="PSR101" t="s">
        <v>455</v>
      </c>
      <c r="PSS101" t="s">
        <v>455</v>
      </c>
      <c r="PST101" t="s">
        <v>455</v>
      </c>
      <c r="PSU101" t="s">
        <v>455</v>
      </c>
      <c r="PSV101" t="s">
        <v>455</v>
      </c>
      <c r="PSW101" t="s">
        <v>455</v>
      </c>
      <c r="PSX101" t="s">
        <v>455</v>
      </c>
      <c r="PSY101" t="s">
        <v>455</v>
      </c>
      <c r="PSZ101" t="s">
        <v>455</v>
      </c>
      <c r="PTA101" t="s">
        <v>455</v>
      </c>
      <c r="PTB101" t="s">
        <v>455</v>
      </c>
      <c r="PTC101" t="s">
        <v>455</v>
      </c>
      <c r="PTD101" t="s">
        <v>455</v>
      </c>
      <c r="PTE101" t="s">
        <v>455</v>
      </c>
      <c r="PTF101" t="s">
        <v>455</v>
      </c>
      <c r="PTG101" t="s">
        <v>455</v>
      </c>
      <c r="PTH101" t="s">
        <v>455</v>
      </c>
      <c r="PTI101" t="s">
        <v>455</v>
      </c>
      <c r="PTJ101" t="s">
        <v>455</v>
      </c>
      <c r="PTK101" t="s">
        <v>455</v>
      </c>
      <c r="PTL101" t="s">
        <v>455</v>
      </c>
      <c r="PTM101" t="s">
        <v>455</v>
      </c>
      <c r="PTN101" t="s">
        <v>455</v>
      </c>
      <c r="PTO101" t="s">
        <v>455</v>
      </c>
      <c r="PTP101" t="s">
        <v>455</v>
      </c>
      <c r="PTQ101" t="s">
        <v>455</v>
      </c>
      <c r="PTR101" t="s">
        <v>455</v>
      </c>
      <c r="PTS101" t="s">
        <v>455</v>
      </c>
      <c r="PTT101" t="s">
        <v>455</v>
      </c>
      <c r="PTU101" t="s">
        <v>455</v>
      </c>
      <c r="PTV101" t="s">
        <v>455</v>
      </c>
      <c r="PTW101" t="s">
        <v>455</v>
      </c>
      <c r="PTX101" t="s">
        <v>455</v>
      </c>
      <c r="PTY101" t="s">
        <v>455</v>
      </c>
      <c r="PTZ101" t="s">
        <v>455</v>
      </c>
      <c r="PUA101" t="s">
        <v>455</v>
      </c>
      <c r="PUB101" t="s">
        <v>455</v>
      </c>
      <c r="PUC101" t="s">
        <v>455</v>
      </c>
      <c r="PUD101" t="s">
        <v>455</v>
      </c>
      <c r="PUE101" t="s">
        <v>455</v>
      </c>
      <c r="PUF101" t="s">
        <v>455</v>
      </c>
      <c r="PUG101" t="s">
        <v>455</v>
      </c>
      <c r="PUH101" t="s">
        <v>455</v>
      </c>
      <c r="PUI101" t="s">
        <v>455</v>
      </c>
      <c r="PUJ101" t="s">
        <v>455</v>
      </c>
      <c r="PUK101" t="s">
        <v>455</v>
      </c>
      <c r="PUL101" t="s">
        <v>455</v>
      </c>
      <c r="PUM101" t="s">
        <v>455</v>
      </c>
      <c r="PUN101" t="s">
        <v>455</v>
      </c>
      <c r="PUO101" t="s">
        <v>455</v>
      </c>
      <c r="PUP101" t="s">
        <v>455</v>
      </c>
      <c r="PUQ101" t="s">
        <v>455</v>
      </c>
      <c r="PUR101" t="s">
        <v>455</v>
      </c>
      <c r="PUS101" t="s">
        <v>455</v>
      </c>
      <c r="PUT101" t="s">
        <v>455</v>
      </c>
      <c r="PUU101" t="s">
        <v>455</v>
      </c>
      <c r="PUV101" t="s">
        <v>455</v>
      </c>
      <c r="PUW101" t="s">
        <v>455</v>
      </c>
      <c r="PUX101" t="s">
        <v>455</v>
      </c>
      <c r="PUY101" t="s">
        <v>455</v>
      </c>
      <c r="PUZ101" t="s">
        <v>455</v>
      </c>
      <c r="PVA101" t="s">
        <v>455</v>
      </c>
      <c r="PVB101" t="s">
        <v>455</v>
      </c>
      <c r="PVC101" t="s">
        <v>455</v>
      </c>
      <c r="PVD101" t="s">
        <v>455</v>
      </c>
      <c r="PVE101" t="s">
        <v>455</v>
      </c>
      <c r="PVF101" t="s">
        <v>455</v>
      </c>
      <c r="PVG101" t="s">
        <v>455</v>
      </c>
      <c r="PVH101" t="s">
        <v>455</v>
      </c>
      <c r="PVI101" t="s">
        <v>455</v>
      </c>
      <c r="PVJ101" t="s">
        <v>455</v>
      </c>
      <c r="PVK101" t="s">
        <v>455</v>
      </c>
      <c r="PVL101" t="s">
        <v>455</v>
      </c>
      <c r="PVM101" t="s">
        <v>455</v>
      </c>
      <c r="PVN101" t="s">
        <v>455</v>
      </c>
      <c r="PVO101" t="s">
        <v>455</v>
      </c>
      <c r="PVP101" t="s">
        <v>455</v>
      </c>
      <c r="PVQ101" t="s">
        <v>455</v>
      </c>
      <c r="PVR101" t="s">
        <v>455</v>
      </c>
      <c r="PVS101" t="s">
        <v>455</v>
      </c>
      <c r="PVT101" t="s">
        <v>455</v>
      </c>
      <c r="PVU101" t="s">
        <v>455</v>
      </c>
      <c r="PVV101" t="s">
        <v>455</v>
      </c>
      <c r="PVW101" t="s">
        <v>455</v>
      </c>
      <c r="PVX101" t="s">
        <v>455</v>
      </c>
      <c r="PVY101" t="s">
        <v>455</v>
      </c>
      <c r="PVZ101" t="s">
        <v>455</v>
      </c>
      <c r="PWA101" t="s">
        <v>455</v>
      </c>
      <c r="PWB101" t="s">
        <v>455</v>
      </c>
      <c r="PWC101" t="s">
        <v>455</v>
      </c>
      <c r="PWD101" t="s">
        <v>455</v>
      </c>
      <c r="PWE101" t="s">
        <v>455</v>
      </c>
      <c r="PWF101" t="s">
        <v>455</v>
      </c>
      <c r="PWG101" t="s">
        <v>455</v>
      </c>
      <c r="PWH101" t="s">
        <v>455</v>
      </c>
      <c r="PWI101" t="s">
        <v>455</v>
      </c>
      <c r="PWJ101" t="s">
        <v>455</v>
      </c>
      <c r="PWK101" t="s">
        <v>455</v>
      </c>
      <c r="PWL101" t="s">
        <v>455</v>
      </c>
      <c r="PWM101" t="s">
        <v>455</v>
      </c>
      <c r="PWN101" t="s">
        <v>455</v>
      </c>
      <c r="PWO101" t="s">
        <v>455</v>
      </c>
      <c r="PWP101" t="s">
        <v>455</v>
      </c>
      <c r="PWQ101" t="s">
        <v>455</v>
      </c>
      <c r="PWR101" t="s">
        <v>455</v>
      </c>
      <c r="PWS101" t="s">
        <v>455</v>
      </c>
      <c r="PWT101" t="s">
        <v>455</v>
      </c>
      <c r="PWU101" t="s">
        <v>455</v>
      </c>
      <c r="PWV101" t="s">
        <v>455</v>
      </c>
      <c r="PWW101" t="s">
        <v>455</v>
      </c>
      <c r="PWX101" t="s">
        <v>455</v>
      </c>
      <c r="PWY101" t="s">
        <v>455</v>
      </c>
      <c r="PWZ101" t="s">
        <v>455</v>
      </c>
      <c r="PXA101" t="s">
        <v>455</v>
      </c>
      <c r="PXB101" t="s">
        <v>455</v>
      </c>
      <c r="PXC101" t="s">
        <v>455</v>
      </c>
      <c r="PXD101" t="s">
        <v>455</v>
      </c>
      <c r="PXE101" t="s">
        <v>455</v>
      </c>
      <c r="PXF101" t="s">
        <v>455</v>
      </c>
      <c r="PXG101" t="s">
        <v>455</v>
      </c>
      <c r="PXH101" t="s">
        <v>455</v>
      </c>
      <c r="PXI101" t="s">
        <v>455</v>
      </c>
      <c r="PXJ101" t="s">
        <v>455</v>
      </c>
      <c r="PXK101" t="s">
        <v>455</v>
      </c>
      <c r="PXL101" t="s">
        <v>455</v>
      </c>
      <c r="PXM101" t="s">
        <v>455</v>
      </c>
      <c r="PXN101" t="s">
        <v>455</v>
      </c>
      <c r="PXO101" t="s">
        <v>455</v>
      </c>
      <c r="PXP101" t="s">
        <v>455</v>
      </c>
      <c r="PXQ101" t="s">
        <v>455</v>
      </c>
      <c r="PXR101" t="s">
        <v>455</v>
      </c>
      <c r="PXS101" t="s">
        <v>455</v>
      </c>
      <c r="PXT101" t="s">
        <v>455</v>
      </c>
      <c r="PXU101" t="s">
        <v>455</v>
      </c>
      <c r="PXV101" t="s">
        <v>455</v>
      </c>
      <c r="PXW101" t="s">
        <v>455</v>
      </c>
      <c r="PXX101" t="s">
        <v>455</v>
      </c>
      <c r="PXY101" t="s">
        <v>455</v>
      </c>
      <c r="PXZ101" t="s">
        <v>455</v>
      </c>
      <c r="PYA101" t="s">
        <v>455</v>
      </c>
      <c r="PYB101" t="s">
        <v>455</v>
      </c>
      <c r="PYC101" t="s">
        <v>455</v>
      </c>
      <c r="PYD101" t="s">
        <v>455</v>
      </c>
      <c r="PYE101" t="s">
        <v>455</v>
      </c>
      <c r="PYF101" t="s">
        <v>455</v>
      </c>
      <c r="PYG101" t="s">
        <v>455</v>
      </c>
      <c r="PYH101" t="s">
        <v>455</v>
      </c>
      <c r="PYI101" t="s">
        <v>455</v>
      </c>
      <c r="PYJ101" t="s">
        <v>455</v>
      </c>
      <c r="PYK101" t="s">
        <v>455</v>
      </c>
      <c r="PYL101" t="s">
        <v>455</v>
      </c>
      <c r="PYM101" t="s">
        <v>455</v>
      </c>
      <c r="PYN101" t="s">
        <v>455</v>
      </c>
      <c r="PYO101" t="s">
        <v>455</v>
      </c>
      <c r="PYP101" t="s">
        <v>455</v>
      </c>
      <c r="PYQ101" t="s">
        <v>455</v>
      </c>
      <c r="PYR101" t="s">
        <v>455</v>
      </c>
      <c r="PYS101" t="s">
        <v>455</v>
      </c>
      <c r="PYT101" t="s">
        <v>455</v>
      </c>
      <c r="PYU101" t="s">
        <v>455</v>
      </c>
      <c r="PYV101" t="s">
        <v>455</v>
      </c>
      <c r="PYW101" t="s">
        <v>455</v>
      </c>
      <c r="PYX101" t="s">
        <v>455</v>
      </c>
      <c r="PYY101" t="s">
        <v>455</v>
      </c>
      <c r="PYZ101" t="s">
        <v>455</v>
      </c>
      <c r="PZA101" t="s">
        <v>455</v>
      </c>
      <c r="PZB101" t="s">
        <v>455</v>
      </c>
      <c r="PZC101" t="s">
        <v>455</v>
      </c>
      <c r="PZD101" t="s">
        <v>455</v>
      </c>
      <c r="PZE101" t="s">
        <v>455</v>
      </c>
      <c r="PZF101" t="s">
        <v>455</v>
      </c>
      <c r="PZG101" t="s">
        <v>455</v>
      </c>
      <c r="PZH101" t="s">
        <v>455</v>
      </c>
      <c r="PZI101" t="s">
        <v>455</v>
      </c>
      <c r="PZJ101" t="s">
        <v>455</v>
      </c>
      <c r="PZK101" t="s">
        <v>455</v>
      </c>
      <c r="PZL101" t="s">
        <v>455</v>
      </c>
      <c r="PZM101" t="s">
        <v>455</v>
      </c>
      <c r="PZN101" t="s">
        <v>455</v>
      </c>
      <c r="PZO101" t="s">
        <v>455</v>
      </c>
      <c r="PZP101" t="s">
        <v>455</v>
      </c>
      <c r="PZQ101" t="s">
        <v>455</v>
      </c>
      <c r="PZR101" t="s">
        <v>455</v>
      </c>
      <c r="PZS101" t="s">
        <v>455</v>
      </c>
      <c r="PZT101" t="s">
        <v>455</v>
      </c>
      <c r="PZU101" t="s">
        <v>455</v>
      </c>
      <c r="PZV101" t="s">
        <v>455</v>
      </c>
      <c r="PZW101" t="s">
        <v>455</v>
      </c>
      <c r="PZX101" t="s">
        <v>455</v>
      </c>
      <c r="PZY101" t="s">
        <v>455</v>
      </c>
      <c r="PZZ101" t="s">
        <v>455</v>
      </c>
      <c r="QAA101" t="s">
        <v>455</v>
      </c>
      <c r="QAB101" t="s">
        <v>455</v>
      </c>
      <c r="QAC101" t="s">
        <v>455</v>
      </c>
      <c r="QAD101" t="s">
        <v>455</v>
      </c>
      <c r="QAE101" t="s">
        <v>455</v>
      </c>
      <c r="QAF101" t="s">
        <v>455</v>
      </c>
      <c r="QAG101" t="s">
        <v>455</v>
      </c>
      <c r="QAH101" t="s">
        <v>455</v>
      </c>
      <c r="QAI101" t="s">
        <v>455</v>
      </c>
      <c r="QAJ101" t="s">
        <v>455</v>
      </c>
      <c r="QAK101" t="s">
        <v>455</v>
      </c>
      <c r="QAL101" t="s">
        <v>455</v>
      </c>
      <c r="QAM101" t="s">
        <v>455</v>
      </c>
      <c r="QAN101" t="s">
        <v>455</v>
      </c>
      <c r="QAO101" t="s">
        <v>455</v>
      </c>
      <c r="QAP101" t="s">
        <v>455</v>
      </c>
      <c r="QAQ101" t="s">
        <v>455</v>
      </c>
      <c r="QAR101" t="s">
        <v>455</v>
      </c>
      <c r="QAS101" t="s">
        <v>455</v>
      </c>
      <c r="QAT101" t="s">
        <v>455</v>
      </c>
      <c r="QAU101" t="s">
        <v>455</v>
      </c>
      <c r="QAV101" t="s">
        <v>455</v>
      </c>
      <c r="QAW101" t="s">
        <v>455</v>
      </c>
      <c r="QAX101" t="s">
        <v>455</v>
      </c>
      <c r="QAY101" t="s">
        <v>455</v>
      </c>
      <c r="QAZ101" t="s">
        <v>455</v>
      </c>
      <c r="QBA101" t="s">
        <v>455</v>
      </c>
      <c r="QBB101" t="s">
        <v>455</v>
      </c>
      <c r="QBC101" t="s">
        <v>455</v>
      </c>
      <c r="QBD101" t="s">
        <v>455</v>
      </c>
      <c r="QBE101" t="s">
        <v>455</v>
      </c>
      <c r="QBF101" t="s">
        <v>455</v>
      </c>
      <c r="QBG101" t="s">
        <v>455</v>
      </c>
      <c r="QBH101" t="s">
        <v>455</v>
      </c>
      <c r="QBI101" t="s">
        <v>455</v>
      </c>
      <c r="QBJ101" t="s">
        <v>455</v>
      </c>
      <c r="QBK101" t="s">
        <v>455</v>
      </c>
      <c r="QBL101" t="s">
        <v>455</v>
      </c>
      <c r="QBM101" t="s">
        <v>455</v>
      </c>
      <c r="QBN101" t="s">
        <v>455</v>
      </c>
      <c r="QBO101" t="s">
        <v>455</v>
      </c>
      <c r="QBP101" t="s">
        <v>455</v>
      </c>
      <c r="QBQ101" t="s">
        <v>455</v>
      </c>
      <c r="QBR101" t="s">
        <v>455</v>
      </c>
      <c r="QBS101" t="s">
        <v>455</v>
      </c>
      <c r="QBT101" t="s">
        <v>455</v>
      </c>
      <c r="QBU101" t="s">
        <v>455</v>
      </c>
      <c r="QBV101" t="s">
        <v>455</v>
      </c>
      <c r="QBW101" t="s">
        <v>455</v>
      </c>
      <c r="QBX101" t="s">
        <v>455</v>
      </c>
      <c r="QBY101" t="s">
        <v>455</v>
      </c>
      <c r="QBZ101" t="s">
        <v>455</v>
      </c>
      <c r="QCA101" t="s">
        <v>455</v>
      </c>
      <c r="QCB101" t="s">
        <v>455</v>
      </c>
      <c r="QCC101" t="s">
        <v>455</v>
      </c>
      <c r="QCD101" t="s">
        <v>455</v>
      </c>
      <c r="QCE101" t="s">
        <v>455</v>
      </c>
      <c r="QCF101" t="s">
        <v>455</v>
      </c>
      <c r="QCG101" t="s">
        <v>455</v>
      </c>
      <c r="QCH101" t="s">
        <v>455</v>
      </c>
      <c r="QCI101" t="s">
        <v>455</v>
      </c>
      <c r="QCJ101" t="s">
        <v>455</v>
      </c>
      <c r="QCK101" t="s">
        <v>455</v>
      </c>
      <c r="QCL101" t="s">
        <v>455</v>
      </c>
      <c r="QCM101" t="s">
        <v>455</v>
      </c>
      <c r="QCN101" t="s">
        <v>455</v>
      </c>
      <c r="QCO101" t="s">
        <v>455</v>
      </c>
      <c r="QCP101" t="s">
        <v>455</v>
      </c>
      <c r="QCQ101" t="s">
        <v>455</v>
      </c>
      <c r="QCR101" t="s">
        <v>455</v>
      </c>
      <c r="QCS101" t="s">
        <v>455</v>
      </c>
      <c r="QCT101" t="s">
        <v>455</v>
      </c>
      <c r="QCU101" t="s">
        <v>455</v>
      </c>
      <c r="QCV101" t="s">
        <v>455</v>
      </c>
      <c r="QCW101" t="s">
        <v>455</v>
      </c>
      <c r="QCX101" t="s">
        <v>455</v>
      </c>
      <c r="QCY101" t="s">
        <v>455</v>
      </c>
      <c r="QCZ101" t="s">
        <v>455</v>
      </c>
      <c r="QDA101" t="s">
        <v>455</v>
      </c>
      <c r="QDB101" t="s">
        <v>455</v>
      </c>
      <c r="QDC101" t="s">
        <v>455</v>
      </c>
      <c r="QDD101" t="s">
        <v>455</v>
      </c>
      <c r="QDE101" t="s">
        <v>455</v>
      </c>
      <c r="QDF101" t="s">
        <v>455</v>
      </c>
      <c r="QDG101" t="s">
        <v>455</v>
      </c>
      <c r="QDH101" t="s">
        <v>455</v>
      </c>
      <c r="QDI101" t="s">
        <v>455</v>
      </c>
      <c r="QDJ101" t="s">
        <v>455</v>
      </c>
      <c r="QDK101" t="s">
        <v>455</v>
      </c>
      <c r="QDL101" t="s">
        <v>455</v>
      </c>
      <c r="QDM101" t="s">
        <v>455</v>
      </c>
      <c r="QDN101" t="s">
        <v>455</v>
      </c>
      <c r="QDO101" t="s">
        <v>455</v>
      </c>
      <c r="QDP101" t="s">
        <v>455</v>
      </c>
      <c r="QDQ101" t="s">
        <v>455</v>
      </c>
      <c r="QDR101" t="s">
        <v>455</v>
      </c>
      <c r="QDS101" t="s">
        <v>455</v>
      </c>
      <c r="QDT101" t="s">
        <v>455</v>
      </c>
      <c r="QDU101" t="s">
        <v>455</v>
      </c>
      <c r="QDV101" t="s">
        <v>455</v>
      </c>
      <c r="QDW101" t="s">
        <v>455</v>
      </c>
      <c r="QDX101" t="s">
        <v>455</v>
      </c>
      <c r="QDY101" t="s">
        <v>455</v>
      </c>
      <c r="QDZ101" t="s">
        <v>455</v>
      </c>
      <c r="QEA101" t="s">
        <v>455</v>
      </c>
      <c r="QEB101" t="s">
        <v>455</v>
      </c>
      <c r="QEC101" t="s">
        <v>455</v>
      </c>
      <c r="QED101" t="s">
        <v>455</v>
      </c>
      <c r="QEE101" t="s">
        <v>455</v>
      </c>
      <c r="QEF101" t="s">
        <v>455</v>
      </c>
      <c r="QEG101" t="s">
        <v>455</v>
      </c>
      <c r="QEH101" t="s">
        <v>455</v>
      </c>
      <c r="QEI101" t="s">
        <v>455</v>
      </c>
      <c r="QEJ101" t="s">
        <v>455</v>
      </c>
      <c r="QEK101" t="s">
        <v>455</v>
      </c>
      <c r="QEL101" t="s">
        <v>455</v>
      </c>
      <c r="QEM101" t="s">
        <v>455</v>
      </c>
      <c r="QEN101" t="s">
        <v>455</v>
      </c>
      <c r="QEO101" t="s">
        <v>455</v>
      </c>
      <c r="QEP101" t="s">
        <v>455</v>
      </c>
      <c r="QEQ101" t="s">
        <v>455</v>
      </c>
      <c r="QER101" t="s">
        <v>455</v>
      </c>
      <c r="QES101" t="s">
        <v>455</v>
      </c>
      <c r="QET101" t="s">
        <v>455</v>
      </c>
      <c r="QEU101" t="s">
        <v>455</v>
      </c>
      <c r="QEV101" t="s">
        <v>455</v>
      </c>
      <c r="QEW101" t="s">
        <v>455</v>
      </c>
      <c r="QEX101" t="s">
        <v>455</v>
      </c>
      <c r="QEY101" t="s">
        <v>455</v>
      </c>
      <c r="QEZ101" t="s">
        <v>455</v>
      </c>
      <c r="QFA101" t="s">
        <v>455</v>
      </c>
      <c r="QFB101" t="s">
        <v>455</v>
      </c>
      <c r="QFC101" t="s">
        <v>455</v>
      </c>
      <c r="QFD101" t="s">
        <v>455</v>
      </c>
      <c r="QFE101" t="s">
        <v>455</v>
      </c>
      <c r="QFF101" t="s">
        <v>455</v>
      </c>
      <c r="QFG101" t="s">
        <v>455</v>
      </c>
      <c r="QFH101" t="s">
        <v>455</v>
      </c>
      <c r="QFI101" t="s">
        <v>455</v>
      </c>
      <c r="QFJ101" t="s">
        <v>455</v>
      </c>
      <c r="QFK101" t="s">
        <v>455</v>
      </c>
      <c r="QFL101" t="s">
        <v>455</v>
      </c>
      <c r="QFM101" t="s">
        <v>455</v>
      </c>
      <c r="QFN101" t="s">
        <v>455</v>
      </c>
      <c r="QFO101" t="s">
        <v>455</v>
      </c>
      <c r="QFP101" t="s">
        <v>455</v>
      </c>
      <c r="QFQ101" t="s">
        <v>455</v>
      </c>
      <c r="QFR101" t="s">
        <v>455</v>
      </c>
      <c r="QFS101" t="s">
        <v>455</v>
      </c>
      <c r="QFT101" t="s">
        <v>455</v>
      </c>
      <c r="QFU101" t="s">
        <v>455</v>
      </c>
      <c r="QFV101" t="s">
        <v>455</v>
      </c>
      <c r="QFW101" t="s">
        <v>455</v>
      </c>
      <c r="QFX101" t="s">
        <v>455</v>
      </c>
      <c r="QFY101" t="s">
        <v>455</v>
      </c>
      <c r="QFZ101" t="s">
        <v>455</v>
      </c>
      <c r="QGA101" t="s">
        <v>455</v>
      </c>
      <c r="QGB101" t="s">
        <v>455</v>
      </c>
      <c r="QGC101" t="s">
        <v>455</v>
      </c>
      <c r="QGD101" t="s">
        <v>455</v>
      </c>
      <c r="QGE101" t="s">
        <v>455</v>
      </c>
      <c r="QGF101" t="s">
        <v>455</v>
      </c>
      <c r="QGG101" t="s">
        <v>455</v>
      </c>
      <c r="QGH101" t="s">
        <v>455</v>
      </c>
      <c r="QGI101" t="s">
        <v>455</v>
      </c>
      <c r="QGJ101" t="s">
        <v>455</v>
      </c>
      <c r="QGK101" t="s">
        <v>455</v>
      </c>
      <c r="QGL101" t="s">
        <v>455</v>
      </c>
      <c r="QGM101" t="s">
        <v>455</v>
      </c>
      <c r="QGN101" t="s">
        <v>455</v>
      </c>
      <c r="QGO101" t="s">
        <v>455</v>
      </c>
      <c r="QGP101" t="s">
        <v>455</v>
      </c>
      <c r="QGQ101" t="s">
        <v>455</v>
      </c>
      <c r="QGR101" t="s">
        <v>455</v>
      </c>
      <c r="QGS101" t="s">
        <v>455</v>
      </c>
      <c r="QGT101" t="s">
        <v>455</v>
      </c>
      <c r="QGU101" t="s">
        <v>455</v>
      </c>
      <c r="QGV101" t="s">
        <v>455</v>
      </c>
      <c r="QGW101" t="s">
        <v>455</v>
      </c>
      <c r="QGX101" t="s">
        <v>455</v>
      </c>
      <c r="QGY101" t="s">
        <v>455</v>
      </c>
      <c r="QGZ101" t="s">
        <v>455</v>
      </c>
      <c r="QHA101" t="s">
        <v>455</v>
      </c>
      <c r="QHB101" t="s">
        <v>455</v>
      </c>
      <c r="QHC101" t="s">
        <v>455</v>
      </c>
      <c r="QHD101" t="s">
        <v>455</v>
      </c>
      <c r="QHE101" t="s">
        <v>455</v>
      </c>
      <c r="QHF101" t="s">
        <v>455</v>
      </c>
      <c r="QHG101" t="s">
        <v>455</v>
      </c>
      <c r="QHH101" t="s">
        <v>455</v>
      </c>
      <c r="QHI101" t="s">
        <v>455</v>
      </c>
      <c r="QHJ101" t="s">
        <v>455</v>
      </c>
      <c r="QHK101" t="s">
        <v>455</v>
      </c>
      <c r="QHL101" t="s">
        <v>455</v>
      </c>
      <c r="QHM101" t="s">
        <v>455</v>
      </c>
      <c r="QHN101" t="s">
        <v>455</v>
      </c>
      <c r="QHO101" t="s">
        <v>455</v>
      </c>
      <c r="QHP101" t="s">
        <v>455</v>
      </c>
      <c r="QHQ101" t="s">
        <v>455</v>
      </c>
      <c r="QHR101" t="s">
        <v>455</v>
      </c>
      <c r="QHS101" t="s">
        <v>455</v>
      </c>
      <c r="QHT101" t="s">
        <v>455</v>
      </c>
      <c r="QHU101" t="s">
        <v>455</v>
      </c>
      <c r="QHV101" t="s">
        <v>455</v>
      </c>
      <c r="QHW101" t="s">
        <v>455</v>
      </c>
      <c r="QHX101" t="s">
        <v>455</v>
      </c>
      <c r="QHY101" t="s">
        <v>455</v>
      </c>
      <c r="QHZ101" t="s">
        <v>455</v>
      </c>
      <c r="QIA101" t="s">
        <v>455</v>
      </c>
      <c r="QIB101" t="s">
        <v>455</v>
      </c>
      <c r="QIC101" t="s">
        <v>455</v>
      </c>
      <c r="QID101" t="s">
        <v>455</v>
      </c>
      <c r="QIE101" t="s">
        <v>455</v>
      </c>
      <c r="QIF101" t="s">
        <v>455</v>
      </c>
      <c r="QIG101" t="s">
        <v>455</v>
      </c>
      <c r="QIH101" t="s">
        <v>455</v>
      </c>
      <c r="QII101" t="s">
        <v>455</v>
      </c>
      <c r="QIJ101" t="s">
        <v>455</v>
      </c>
      <c r="QIK101" t="s">
        <v>455</v>
      </c>
      <c r="QIL101" t="s">
        <v>455</v>
      </c>
      <c r="QIM101" t="s">
        <v>455</v>
      </c>
      <c r="QIN101" t="s">
        <v>455</v>
      </c>
      <c r="QIO101" t="s">
        <v>455</v>
      </c>
      <c r="QIP101" t="s">
        <v>455</v>
      </c>
      <c r="QIQ101" t="s">
        <v>455</v>
      </c>
      <c r="QIR101" t="s">
        <v>455</v>
      </c>
      <c r="QIS101" t="s">
        <v>455</v>
      </c>
      <c r="QIT101" t="s">
        <v>455</v>
      </c>
      <c r="QIU101" t="s">
        <v>455</v>
      </c>
      <c r="QIV101" t="s">
        <v>455</v>
      </c>
      <c r="QIW101" t="s">
        <v>455</v>
      </c>
      <c r="QIX101" t="s">
        <v>455</v>
      </c>
      <c r="QIY101" t="s">
        <v>455</v>
      </c>
      <c r="QIZ101" t="s">
        <v>455</v>
      </c>
      <c r="QJA101" t="s">
        <v>455</v>
      </c>
      <c r="QJB101" t="s">
        <v>455</v>
      </c>
      <c r="QJC101" t="s">
        <v>455</v>
      </c>
      <c r="QJD101" t="s">
        <v>455</v>
      </c>
      <c r="QJE101" t="s">
        <v>455</v>
      </c>
      <c r="QJF101" t="s">
        <v>455</v>
      </c>
      <c r="QJG101" t="s">
        <v>455</v>
      </c>
      <c r="QJH101" t="s">
        <v>455</v>
      </c>
      <c r="QJI101" t="s">
        <v>455</v>
      </c>
      <c r="QJJ101" t="s">
        <v>455</v>
      </c>
      <c r="QJK101" t="s">
        <v>455</v>
      </c>
      <c r="QJL101" t="s">
        <v>455</v>
      </c>
      <c r="QJM101" t="s">
        <v>455</v>
      </c>
      <c r="QJN101" t="s">
        <v>455</v>
      </c>
      <c r="QJO101" t="s">
        <v>455</v>
      </c>
      <c r="QJP101" t="s">
        <v>455</v>
      </c>
      <c r="QJQ101" t="s">
        <v>455</v>
      </c>
      <c r="QJR101" t="s">
        <v>455</v>
      </c>
      <c r="QJS101" t="s">
        <v>455</v>
      </c>
      <c r="QJT101" t="s">
        <v>455</v>
      </c>
      <c r="QJU101" t="s">
        <v>455</v>
      </c>
      <c r="QJV101" t="s">
        <v>455</v>
      </c>
      <c r="QJW101" t="s">
        <v>455</v>
      </c>
      <c r="QJX101" t="s">
        <v>455</v>
      </c>
      <c r="QJY101" t="s">
        <v>455</v>
      </c>
      <c r="QJZ101" t="s">
        <v>455</v>
      </c>
      <c r="QKA101" t="s">
        <v>455</v>
      </c>
      <c r="QKB101" t="s">
        <v>455</v>
      </c>
      <c r="QKC101" t="s">
        <v>455</v>
      </c>
      <c r="QKD101" t="s">
        <v>455</v>
      </c>
      <c r="QKE101" t="s">
        <v>455</v>
      </c>
      <c r="QKF101" t="s">
        <v>455</v>
      </c>
      <c r="QKG101" t="s">
        <v>455</v>
      </c>
      <c r="QKH101" t="s">
        <v>455</v>
      </c>
      <c r="QKI101" t="s">
        <v>455</v>
      </c>
      <c r="QKJ101" t="s">
        <v>455</v>
      </c>
      <c r="QKK101" t="s">
        <v>455</v>
      </c>
      <c r="QKL101" t="s">
        <v>455</v>
      </c>
      <c r="QKM101" t="s">
        <v>455</v>
      </c>
      <c r="QKN101" t="s">
        <v>455</v>
      </c>
      <c r="QKO101" t="s">
        <v>455</v>
      </c>
      <c r="QKP101" t="s">
        <v>455</v>
      </c>
      <c r="QKQ101" t="s">
        <v>455</v>
      </c>
      <c r="QKR101" t="s">
        <v>455</v>
      </c>
      <c r="QKS101" t="s">
        <v>455</v>
      </c>
      <c r="QKT101" t="s">
        <v>455</v>
      </c>
      <c r="QKU101" t="s">
        <v>455</v>
      </c>
      <c r="QKV101" t="s">
        <v>455</v>
      </c>
      <c r="QKW101" t="s">
        <v>455</v>
      </c>
      <c r="QKX101" t="s">
        <v>455</v>
      </c>
      <c r="QKY101" t="s">
        <v>455</v>
      </c>
      <c r="QKZ101" t="s">
        <v>455</v>
      </c>
      <c r="QLA101" t="s">
        <v>455</v>
      </c>
      <c r="QLB101" t="s">
        <v>455</v>
      </c>
      <c r="QLC101" t="s">
        <v>455</v>
      </c>
      <c r="QLD101" t="s">
        <v>455</v>
      </c>
      <c r="QLE101" t="s">
        <v>455</v>
      </c>
      <c r="QLF101" t="s">
        <v>455</v>
      </c>
      <c r="QLG101" t="s">
        <v>455</v>
      </c>
      <c r="QLH101" t="s">
        <v>455</v>
      </c>
      <c r="QLI101" t="s">
        <v>455</v>
      </c>
      <c r="QLJ101" t="s">
        <v>455</v>
      </c>
      <c r="QLK101" t="s">
        <v>455</v>
      </c>
      <c r="QLL101" t="s">
        <v>455</v>
      </c>
      <c r="QLM101" t="s">
        <v>455</v>
      </c>
      <c r="QLN101" t="s">
        <v>455</v>
      </c>
      <c r="QLO101" t="s">
        <v>455</v>
      </c>
      <c r="QLP101" t="s">
        <v>455</v>
      </c>
      <c r="QLQ101" t="s">
        <v>455</v>
      </c>
      <c r="QLR101" t="s">
        <v>455</v>
      </c>
      <c r="QLS101" t="s">
        <v>455</v>
      </c>
      <c r="QLT101" t="s">
        <v>455</v>
      </c>
      <c r="QLU101" t="s">
        <v>455</v>
      </c>
      <c r="QLV101" t="s">
        <v>455</v>
      </c>
      <c r="QLW101" t="s">
        <v>455</v>
      </c>
      <c r="QLX101" t="s">
        <v>455</v>
      </c>
      <c r="QLY101" t="s">
        <v>455</v>
      </c>
      <c r="QLZ101" t="s">
        <v>455</v>
      </c>
      <c r="QMA101" t="s">
        <v>455</v>
      </c>
      <c r="QMB101" t="s">
        <v>455</v>
      </c>
      <c r="QMC101" t="s">
        <v>455</v>
      </c>
      <c r="QMD101" t="s">
        <v>455</v>
      </c>
      <c r="QME101" t="s">
        <v>455</v>
      </c>
      <c r="QMF101" t="s">
        <v>455</v>
      </c>
      <c r="QMG101" t="s">
        <v>455</v>
      </c>
      <c r="QMH101" t="s">
        <v>455</v>
      </c>
      <c r="QMI101" t="s">
        <v>455</v>
      </c>
      <c r="QMJ101" t="s">
        <v>455</v>
      </c>
      <c r="QMK101" t="s">
        <v>455</v>
      </c>
      <c r="QML101" t="s">
        <v>455</v>
      </c>
      <c r="QMM101" t="s">
        <v>455</v>
      </c>
      <c r="QMN101" t="s">
        <v>455</v>
      </c>
      <c r="QMO101" t="s">
        <v>455</v>
      </c>
      <c r="QMP101" t="s">
        <v>455</v>
      </c>
      <c r="QMQ101" t="s">
        <v>455</v>
      </c>
      <c r="QMR101" t="s">
        <v>455</v>
      </c>
      <c r="QMS101" t="s">
        <v>455</v>
      </c>
      <c r="QMT101" t="s">
        <v>455</v>
      </c>
      <c r="QMU101" t="s">
        <v>455</v>
      </c>
      <c r="QMV101" t="s">
        <v>455</v>
      </c>
      <c r="QMW101" t="s">
        <v>455</v>
      </c>
      <c r="QMX101" t="s">
        <v>455</v>
      </c>
      <c r="QMY101" t="s">
        <v>455</v>
      </c>
      <c r="QMZ101" t="s">
        <v>455</v>
      </c>
      <c r="QNA101" t="s">
        <v>455</v>
      </c>
      <c r="QNB101" t="s">
        <v>455</v>
      </c>
      <c r="QNC101" t="s">
        <v>455</v>
      </c>
      <c r="QND101" t="s">
        <v>455</v>
      </c>
      <c r="QNE101" t="s">
        <v>455</v>
      </c>
      <c r="QNF101" t="s">
        <v>455</v>
      </c>
      <c r="QNG101" t="s">
        <v>455</v>
      </c>
      <c r="QNH101" t="s">
        <v>455</v>
      </c>
      <c r="QNI101" t="s">
        <v>455</v>
      </c>
      <c r="QNJ101" t="s">
        <v>455</v>
      </c>
      <c r="QNK101" t="s">
        <v>455</v>
      </c>
      <c r="QNL101" t="s">
        <v>455</v>
      </c>
      <c r="QNM101" t="s">
        <v>455</v>
      </c>
      <c r="QNN101" t="s">
        <v>455</v>
      </c>
      <c r="QNO101" t="s">
        <v>455</v>
      </c>
      <c r="QNP101" t="s">
        <v>455</v>
      </c>
      <c r="QNQ101" t="s">
        <v>455</v>
      </c>
      <c r="QNR101" t="s">
        <v>455</v>
      </c>
      <c r="QNS101" t="s">
        <v>455</v>
      </c>
      <c r="QNT101" t="s">
        <v>455</v>
      </c>
      <c r="QNU101" t="s">
        <v>455</v>
      </c>
      <c r="QNV101" t="s">
        <v>455</v>
      </c>
      <c r="QNW101" t="s">
        <v>455</v>
      </c>
      <c r="QNX101" t="s">
        <v>455</v>
      </c>
      <c r="QNY101" t="s">
        <v>455</v>
      </c>
      <c r="QNZ101" t="s">
        <v>455</v>
      </c>
      <c r="QOA101" t="s">
        <v>455</v>
      </c>
      <c r="QOB101" t="s">
        <v>455</v>
      </c>
      <c r="QOC101" t="s">
        <v>455</v>
      </c>
      <c r="QOD101" t="s">
        <v>455</v>
      </c>
      <c r="QOE101" t="s">
        <v>455</v>
      </c>
      <c r="QOF101" t="s">
        <v>455</v>
      </c>
      <c r="QOG101" t="s">
        <v>455</v>
      </c>
      <c r="QOH101" t="s">
        <v>455</v>
      </c>
      <c r="QOI101" t="s">
        <v>455</v>
      </c>
      <c r="QOJ101" t="s">
        <v>455</v>
      </c>
      <c r="QOK101" t="s">
        <v>455</v>
      </c>
      <c r="QOL101" t="s">
        <v>455</v>
      </c>
      <c r="QOM101" t="s">
        <v>455</v>
      </c>
      <c r="QON101" t="s">
        <v>455</v>
      </c>
      <c r="QOO101" t="s">
        <v>455</v>
      </c>
      <c r="QOP101" t="s">
        <v>455</v>
      </c>
      <c r="QOQ101" t="s">
        <v>455</v>
      </c>
      <c r="QOR101" t="s">
        <v>455</v>
      </c>
      <c r="QOS101" t="s">
        <v>455</v>
      </c>
      <c r="QOT101" t="s">
        <v>455</v>
      </c>
      <c r="QOU101" t="s">
        <v>455</v>
      </c>
      <c r="QOV101" t="s">
        <v>455</v>
      </c>
      <c r="QOW101" t="s">
        <v>455</v>
      </c>
      <c r="QOX101" t="s">
        <v>455</v>
      </c>
      <c r="QOY101" t="s">
        <v>455</v>
      </c>
      <c r="QOZ101" t="s">
        <v>455</v>
      </c>
      <c r="QPA101" t="s">
        <v>455</v>
      </c>
      <c r="QPB101" t="s">
        <v>455</v>
      </c>
      <c r="QPC101" t="s">
        <v>455</v>
      </c>
      <c r="QPD101" t="s">
        <v>455</v>
      </c>
      <c r="QPE101" t="s">
        <v>455</v>
      </c>
      <c r="QPF101" t="s">
        <v>455</v>
      </c>
      <c r="QPG101" t="s">
        <v>455</v>
      </c>
      <c r="QPH101" t="s">
        <v>455</v>
      </c>
      <c r="QPI101" t="s">
        <v>455</v>
      </c>
      <c r="QPJ101" t="s">
        <v>455</v>
      </c>
      <c r="QPK101" t="s">
        <v>455</v>
      </c>
      <c r="QPL101" t="s">
        <v>455</v>
      </c>
      <c r="QPM101" t="s">
        <v>455</v>
      </c>
      <c r="QPN101" t="s">
        <v>455</v>
      </c>
      <c r="QPO101" t="s">
        <v>455</v>
      </c>
      <c r="QPP101" t="s">
        <v>455</v>
      </c>
      <c r="QPQ101" t="s">
        <v>455</v>
      </c>
      <c r="QPR101" t="s">
        <v>455</v>
      </c>
      <c r="QPS101" t="s">
        <v>455</v>
      </c>
      <c r="QPT101" t="s">
        <v>455</v>
      </c>
      <c r="QPU101" t="s">
        <v>455</v>
      </c>
      <c r="QPV101" t="s">
        <v>455</v>
      </c>
      <c r="QPW101" t="s">
        <v>455</v>
      </c>
      <c r="QPX101" t="s">
        <v>455</v>
      </c>
      <c r="QPY101" t="s">
        <v>455</v>
      </c>
      <c r="QPZ101" t="s">
        <v>455</v>
      </c>
      <c r="QQA101" t="s">
        <v>455</v>
      </c>
      <c r="QQB101" t="s">
        <v>455</v>
      </c>
      <c r="QQC101" t="s">
        <v>455</v>
      </c>
      <c r="QQD101" t="s">
        <v>455</v>
      </c>
      <c r="QQE101" t="s">
        <v>455</v>
      </c>
      <c r="QQF101" t="s">
        <v>455</v>
      </c>
      <c r="QQG101" t="s">
        <v>455</v>
      </c>
      <c r="QQH101" t="s">
        <v>455</v>
      </c>
      <c r="QQI101" t="s">
        <v>455</v>
      </c>
      <c r="QQJ101" t="s">
        <v>455</v>
      </c>
      <c r="QQK101" t="s">
        <v>455</v>
      </c>
      <c r="QQL101" t="s">
        <v>455</v>
      </c>
      <c r="QQM101" t="s">
        <v>455</v>
      </c>
      <c r="QQN101" t="s">
        <v>455</v>
      </c>
      <c r="QQO101" t="s">
        <v>455</v>
      </c>
      <c r="QQP101" t="s">
        <v>455</v>
      </c>
      <c r="QQQ101" t="s">
        <v>455</v>
      </c>
      <c r="QQR101" t="s">
        <v>455</v>
      </c>
      <c r="QQS101" t="s">
        <v>455</v>
      </c>
      <c r="QQT101" t="s">
        <v>455</v>
      </c>
      <c r="QQU101" t="s">
        <v>455</v>
      </c>
      <c r="QQV101" t="s">
        <v>455</v>
      </c>
      <c r="QQW101" t="s">
        <v>455</v>
      </c>
      <c r="QQX101" t="s">
        <v>455</v>
      </c>
      <c r="QQY101" t="s">
        <v>455</v>
      </c>
      <c r="QQZ101" t="s">
        <v>455</v>
      </c>
      <c r="QRA101" t="s">
        <v>455</v>
      </c>
      <c r="QRB101" t="s">
        <v>455</v>
      </c>
      <c r="QRC101" t="s">
        <v>455</v>
      </c>
      <c r="QRD101" t="s">
        <v>455</v>
      </c>
      <c r="QRE101" t="s">
        <v>455</v>
      </c>
      <c r="QRF101" t="s">
        <v>455</v>
      </c>
      <c r="QRG101" t="s">
        <v>455</v>
      </c>
      <c r="QRH101" t="s">
        <v>455</v>
      </c>
      <c r="QRI101" t="s">
        <v>455</v>
      </c>
      <c r="QRJ101" t="s">
        <v>455</v>
      </c>
      <c r="QRK101" t="s">
        <v>455</v>
      </c>
      <c r="QRL101" t="s">
        <v>455</v>
      </c>
      <c r="QRM101" t="s">
        <v>455</v>
      </c>
      <c r="QRN101" t="s">
        <v>455</v>
      </c>
      <c r="QRO101" t="s">
        <v>455</v>
      </c>
      <c r="QRP101" t="s">
        <v>455</v>
      </c>
      <c r="QRQ101" t="s">
        <v>455</v>
      </c>
      <c r="QRR101" t="s">
        <v>455</v>
      </c>
      <c r="QRS101" t="s">
        <v>455</v>
      </c>
      <c r="QRT101" t="s">
        <v>455</v>
      </c>
      <c r="QRU101" t="s">
        <v>455</v>
      </c>
      <c r="QRV101" t="s">
        <v>455</v>
      </c>
      <c r="QRW101" t="s">
        <v>455</v>
      </c>
      <c r="QRX101" t="s">
        <v>455</v>
      </c>
      <c r="QRY101" t="s">
        <v>455</v>
      </c>
      <c r="QRZ101" t="s">
        <v>455</v>
      </c>
      <c r="QSA101" t="s">
        <v>455</v>
      </c>
      <c r="QSB101" t="s">
        <v>455</v>
      </c>
      <c r="QSC101" t="s">
        <v>455</v>
      </c>
      <c r="QSD101" t="s">
        <v>455</v>
      </c>
      <c r="QSE101" t="s">
        <v>455</v>
      </c>
      <c r="QSF101" t="s">
        <v>455</v>
      </c>
      <c r="QSG101" t="s">
        <v>455</v>
      </c>
      <c r="QSH101" t="s">
        <v>455</v>
      </c>
      <c r="QSI101" t="s">
        <v>455</v>
      </c>
      <c r="QSJ101" t="s">
        <v>455</v>
      </c>
      <c r="QSK101" t="s">
        <v>455</v>
      </c>
      <c r="QSL101" t="s">
        <v>455</v>
      </c>
      <c r="QSM101" t="s">
        <v>455</v>
      </c>
      <c r="QSN101" t="s">
        <v>455</v>
      </c>
      <c r="QSO101" t="s">
        <v>455</v>
      </c>
      <c r="QSP101" t="s">
        <v>455</v>
      </c>
      <c r="QSQ101" t="s">
        <v>455</v>
      </c>
      <c r="QSR101" t="s">
        <v>455</v>
      </c>
      <c r="QSS101" t="s">
        <v>455</v>
      </c>
      <c r="QST101" t="s">
        <v>455</v>
      </c>
      <c r="QSU101" t="s">
        <v>455</v>
      </c>
      <c r="QSV101" t="s">
        <v>455</v>
      </c>
      <c r="QSW101" t="s">
        <v>455</v>
      </c>
      <c r="QSX101" t="s">
        <v>455</v>
      </c>
      <c r="QSY101" t="s">
        <v>455</v>
      </c>
      <c r="QSZ101" t="s">
        <v>455</v>
      </c>
      <c r="QTA101" t="s">
        <v>455</v>
      </c>
      <c r="QTB101" t="s">
        <v>455</v>
      </c>
      <c r="QTC101" t="s">
        <v>455</v>
      </c>
      <c r="QTD101" t="s">
        <v>455</v>
      </c>
      <c r="QTE101" t="s">
        <v>455</v>
      </c>
      <c r="QTF101" t="s">
        <v>455</v>
      </c>
      <c r="QTG101" t="s">
        <v>455</v>
      </c>
      <c r="QTH101" t="s">
        <v>455</v>
      </c>
      <c r="QTI101" t="s">
        <v>455</v>
      </c>
      <c r="QTJ101" t="s">
        <v>455</v>
      </c>
      <c r="QTK101" t="s">
        <v>455</v>
      </c>
      <c r="QTL101" t="s">
        <v>455</v>
      </c>
      <c r="QTM101" t="s">
        <v>455</v>
      </c>
      <c r="QTN101" t="s">
        <v>455</v>
      </c>
      <c r="QTO101" t="s">
        <v>455</v>
      </c>
      <c r="QTP101" t="s">
        <v>455</v>
      </c>
      <c r="QTQ101" t="s">
        <v>455</v>
      </c>
      <c r="QTR101" t="s">
        <v>455</v>
      </c>
      <c r="QTS101" t="s">
        <v>455</v>
      </c>
      <c r="QTT101" t="s">
        <v>455</v>
      </c>
      <c r="QTU101" t="s">
        <v>455</v>
      </c>
      <c r="QTV101" t="s">
        <v>455</v>
      </c>
      <c r="QTW101" t="s">
        <v>455</v>
      </c>
      <c r="QTX101" t="s">
        <v>455</v>
      </c>
      <c r="QTY101" t="s">
        <v>455</v>
      </c>
      <c r="QTZ101" t="s">
        <v>455</v>
      </c>
      <c r="QUA101" t="s">
        <v>455</v>
      </c>
      <c r="QUB101" t="s">
        <v>455</v>
      </c>
      <c r="QUC101" t="s">
        <v>455</v>
      </c>
      <c r="QUD101" t="s">
        <v>455</v>
      </c>
      <c r="QUE101" t="s">
        <v>455</v>
      </c>
      <c r="QUF101" t="s">
        <v>455</v>
      </c>
      <c r="QUG101" t="s">
        <v>455</v>
      </c>
      <c r="QUH101" t="s">
        <v>455</v>
      </c>
      <c r="QUI101" t="s">
        <v>455</v>
      </c>
      <c r="QUJ101" t="s">
        <v>455</v>
      </c>
      <c r="QUK101" t="s">
        <v>455</v>
      </c>
      <c r="QUL101" t="s">
        <v>455</v>
      </c>
      <c r="QUM101" t="s">
        <v>455</v>
      </c>
      <c r="QUN101" t="s">
        <v>455</v>
      </c>
      <c r="QUO101" t="s">
        <v>455</v>
      </c>
      <c r="QUP101" t="s">
        <v>455</v>
      </c>
      <c r="QUQ101" t="s">
        <v>455</v>
      </c>
      <c r="QUR101" t="s">
        <v>455</v>
      </c>
      <c r="QUS101" t="s">
        <v>455</v>
      </c>
      <c r="QUT101" t="s">
        <v>455</v>
      </c>
      <c r="QUU101" t="s">
        <v>455</v>
      </c>
      <c r="QUV101" t="s">
        <v>455</v>
      </c>
      <c r="QUW101" t="s">
        <v>455</v>
      </c>
      <c r="QUX101" t="s">
        <v>455</v>
      </c>
      <c r="QUY101" t="s">
        <v>455</v>
      </c>
      <c r="QUZ101" t="s">
        <v>455</v>
      </c>
      <c r="QVA101" t="s">
        <v>455</v>
      </c>
      <c r="QVB101" t="s">
        <v>455</v>
      </c>
      <c r="QVC101" t="s">
        <v>455</v>
      </c>
      <c r="QVD101" t="s">
        <v>455</v>
      </c>
      <c r="QVE101" t="s">
        <v>455</v>
      </c>
      <c r="QVF101" t="s">
        <v>455</v>
      </c>
      <c r="QVG101" t="s">
        <v>455</v>
      </c>
      <c r="QVH101" t="s">
        <v>455</v>
      </c>
      <c r="QVI101" t="s">
        <v>455</v>
      </c>
      <c r="QVJ101" t="s">
        <v>455</v>
      </c>
      <c r="QVK101" t="s">
        <v>455</v>
      </c>
      <c r="QVL101" t="s">
        <v>455</v>
      </c>
      <c r="QVM101" t="s">
        <v>455</v>
      </c>
      <c r="QVN101" t="s">
        <v>455</v>
      </c>
      <c r="QVO101" t="s">
        <v>455</v>
      </c>
      <c r="QVP101" t="s">
        <v>455</v>
      </c>
      <c r="QVQ101" t="s">
        <v>455</v>
      </c>
      <c r="QVR101" t="s">
        <v>455</v>
      </c>
      <c r="QVS101" t="s">
        <v>455</v>
      </c>
      <c r="QVT101" t="s">
        <v>455</v>
      </c>
      <c r="QVU101" t="s">
        <v>455</v>
      </c>
      <c r="QVV101" t="s">
        <v>455</v>
      </c>
      <c r="QVW101" t="s">
        <v>455</v>
      </c>
      <c r="QVX101" t="s">
        <v>455</v>
      </c>
      <c r="QVY101" t="s">
        <v>455</v>
      </c>
      <c r="QVZ101" t="s">
        <v>455</v>
      </c>
      <c r="QWA101" t="s">
        <v>455</v>
      </c>
      <c r="QWB101" t="s">
        <v>455</v>
      </c>
      <c r="QWC101" t="s">
        <v>455</v>
      </c>
      <c r="QWD101" t="s">
        <v>455</v>
      </c>
      <c r="QWE101" t="s">
        <v>455</v>
      </c>
      <c r="QWF101" t="s">
        <v>455</v>
      </c>
      <c r="QWG101" t="s">
        <v>455</v>
      </c>
      <c r="QWH101" t="s">
        <v>455</v>
      </c>
      <c r="QWI101" t="s">
        <v>455</v>
      </c>
      <c r="QWJ101" t="s">
        <v>455</v>
      </c>
      <c r="QWK101" t="s">
        <v>455</v>
      </c>
      <c r="QWL101" t="s">
        <v>455</v>
      </c>
      <c r="QWM101" t="s">
        <v>455</v>
      </c>
      <c r="QWN101" t="s">
        <v>455</v>
      </c>
      <c r="QWO101" t="s">
        <v>455</v>
      </c>
      <c r="QWP101" t="s">
        <v>455</v>
      </c>
      <c r="QWQ101" t="s">
        <v>455</v>
      </c>
      <c r="QWR101" t="s">
        <v>455</v>
      </c>
      <c r="QWS101" t="s">
        <v>455</v>
      </c>
      <c r="QWT101" t="s">
        <v>455</v>
      </c>
      <c r="QWU101" t="s">
        <v>455</v>
      </c>
      <c r="QWV101" t="s">
        <v>455</v>
      </c>
      <c r="QWW101" t="s">
        <v>455</v>
      </c>
      <c r="QWX101" t="s">
        <v>455</v>
      </c>
      <c r="QWY101" t="s">
        <v>455</v>
      </c>
      <c r="QWZ101" t="s">
        <v>455</v>
      </c>
      <c r="QXA101" t="s">
        <v>455</v>
      </c>
      <c r="QXB101" t="s">
        <v>455</v>
      </c>
      <c r="QXC101" t="s">
        <v>455</v>
      </c>
      <c r="QXD101" t="s">
        <v>455</v>
      </c>
      <c r="QXE101" t="s">
        <v>455</v>
      </c>
      <c r="QXF101" t="s">
        <v>455</v>
      </c>
      <c r="QXG101" t="s">
        <v>455</v>
      </c>
      <c r="QXH101" t="s">
        <v>455</v>
      </c>
      <c r="QXI101" t="s">
        <v>455</v>
      </c>
      <c r="QXJ101" t="s">
        <v>455</v>
      </c>
      <c r="QXK101" t="s">
        <v>455</v>
      </c>
      <c r="QXL101" t="s">
        <v>455</v>
      </c>
      <c r="QXM101" t="s">
        <v>455</v>
      </c>
      <c r="QXN101" t="s">
        <v>455</v>
      </c>
      <c r="QXO101" t="s">
        <v>455</v>
      </c>
      <c r="QXP101" t="s">
        <v>455</v>
      </c>
      <c r="QXQ101" t="s">
        <v>455</v>
      </c>
      <c r="QXR101" t="s">
        <v>455</v>
      </c>
      <c r="QXS101" t="s">
        <v>455</v>
      </c>
      <c r="QXT101" t="s">
        <v>455</v>
      </c>
      <c r="QXU101" t="s">
        <v>455</v>
      </c>
      <c r="QXV101" t="s">
        <v>455</v>
      </c>
      <c r="QXW101" t="s">
        <v>455</v>
      </c>
      <c r="QXX101" t="s">
        <v>455</v>
      </c>
      <c r="QXY101" t="s">
        <v>455</v>
      </c>
      <c r="QXZ101" t="s">
        <v>455</v>
      </c>
      <c r="QYA101" t="s">
        <v>455</v>
      </c>
      <c r="QYB101" t="s">
        <v>455</v>
      </c>
      <c r="QYC101" t="s">
        <v>455</v>
      </c>
      <c r="QYD101" t="s">
        <v>455</v>
      </c>
      <c r="QYE101" t="s">
        <v>455</v>
      </c>
      <c r="QYF101" t="s">
        <v>455</v>
      </c>
      <c r="QYG101" t="s">
        <v>455</v>
      </c>
      <c r="QYH101" t="s">
        <v>455</v>
      </c>
      <c r="QYI101" t="s">
        <v>455</v>
      </c>
      <c r="QYJ101" t="s">
        <v>455</v>
      </c>
      <c r="QYK101" t="s">
        <v>455</v>
      </c>
      <c r="QYL101" t="s">
        <v>455</v>
      </c>
      <c r="QYM101" t="s">
        <v>455</v>
      </c>
      <c r="QYN101" t="s">
        <v>455</v>
      </c>
      <c r="QYO101" t="s">
        <v>455</v>
      </c>
      <c r="QYP101" t="s">
        <v>455</v>
      </c>
      <c r="QYQ101" t="s">
        <v>455</v>
      </c>
      <c r="QYR101" t="s">
        <v>455</v>
      </c>
      <c r="QYS101" t="s">
        <v>455</v>
      </c>
      <c r="QYT101" t="s">
        <v>455</v>
      </c>
      <c r="QYU101" t="s">
        <v>455</v>
      </c>
      <c r="QYV101" t="s">
        <v>455</v>
      </c>
      <c r="QYW101" t="s">
        <v>455</v>
      </c>
      <c r="QYX101" t="s">
        <v>455</v>
      </c>
      <c r="QYY101" t="s">
        <v>455</v>
      </c>
      <c r="QYZ101" t="s">
        <v>455</v>
      </c>
      <c r="QZA101" t="s">
        <v>455</v>
      </c>
      <c r="QZB101" t="s">
        <v>455</v>
      </c>
      <c r="QZC101" t="s">
        <v>455</v>
      </c>
      <c r="QZD101" t="s">
        <v>455</v>
      </c>
      <c r="QZE101" t="s">
        <v>455</v>
      </c>
      <c r="QZF101" t="s">
        <v>455</v>
      </c>
      <c r="QZG101" t="s">
        <v>455</v>
      </c>
      <c r="QZH101" t="s">
        <v>455</v>
      </c>
      <c r="QZI101" t="s">
        <v>455</v>
      </c>
      <c r="QZJ101" t="s">
        <v>455</v>
      </c>
      <c r="QZK101" t="s">
        <v>455</v>
      </c>
      <c r="QZL101" t="s">
        <v>455</v>
      </c>
      <c r="QZM101" t="s">
        <v>455</v>
      </c>
      <c r="QZN101" t="s">
        <v>455</v>
      </c>
      <c r="QZO101" t="s">
        <v>455</v>
      </c>
      <c r="QZP101" t="s">
        <v>455</v>
      </c>
      <c r="QZQ101" t="s">
        <v>455</v>
      </c>
      <c r="QZR101" t="s">
        <v>455</v>
      </c>
      <c r="QZS101" t="s">
        <v>455</v>
      </c>
      <c r="QZT101" t="s">
        <v>455</v>
      </c>
      <c r="QZU101" t="s">
        <v>455</v>
      </c>
      <c r="QZV101" t="s">
        <v>455</v>
      </c>
      <c r="QZW101" t="s">
        <v>455</v>
      </c>
      <c r="QZX101" t="s">
        <v>455</v>
      </c>
      <c r="QZY101" t="s">
        <v>455</v>
      </c>
      <c r="QZZ101" t="s">
        <v>455</v>
      </c>
      <c r="RAA101" t="s">
        <v>455</v>
      </c>
      <c r="RAB101" t="s">
        <v>455</v>
      </c>
      <c r="RAC101" t="s">
        <v>455</v>
      </c>
      <c r="RAD101" t="s">
        <v>455</v>
      </c>
      <c r="RAE101" t="s">
        <v>455</v>
      </c>
      <c r="RAF101" t="s">
        <v>455</v>
      </c>
      <c r="RAG101" t="s">
        <v>455</v>
      </c>
      <c r="RAH101" t="s">
        <v>455</v>
      </c>
      <c r="RAI101" t="s">
        <v>455</v>
      </c>
      <c r="RAJ101" t="s">
        <v>455</v>
      </c>
      <c r="RAK101" t="s">
        <v>455</v>
      </c>
      <c r="RAL101" t="s">
        <v>455</v>
      </c>
      <c r="RAM101" t="s">
        <v>455</v>
      </c>
      <c r="RAN101" t="s">
        <v>455</v>
      </c>
      <c r="RAO101" t="s">
        <v>455</v>
      </c>
      <c r="RAP101" t="s">
        <v>455</v>
      </c>
      <c r="RAQ101" t="s">
        <v>455</v>
      </c>
      <c r="RAR101" t="s">
        <v>455</v>
      </c>
      <c r="RAS101" t="s">
        <v>455</v>
      </c>
      <c r="RAT101" t="s">
        <v>455</v>
      </c>
      <c r="RAU101" t="s">
        <v>455</v>
      </c>
      <c r="RAV101" t="s">
        <v>455</v>
      </c>
      <c r="RAW101" t="s">
        <v>455</v>
      </c>
      <c r="RAX101" t="s">
        <v>455</v>
      </c>
      <c r="RAY101" t="s">
        <v>455</v>
      </c>
      <c r="RAZ101" t="s">
        <v>455</v>
      </c>
      <c r="RBA101" t="s">
        <v>455</v>
      </c>
      <c r="RBB101" t="s">
        <v>455</v>
      </c>
      <c r="RBC101" t="s">
        <v>455</v>
      </c>
      <c r="RBD101" t="s">
        <v>455</v>
      </c>
      <c r="RBE101" t="s">
        <v>455</v>
      </c>
      <c r="RBF101" t="s">
        <v>455</v>
      </c>
      <c r="RBG101" t="s">
        <v>455</v>
      </c>
      <c r="RBH101" t="s">
        <v>455</v>
      </c>
      <c r="RBI101" t="s">
        <v>455</v>
      </c>
      <c r="RBJ101" t="s">
        <v>455</v>
      </c>
      <c r="RBK101" t="s">
        <v>455</v>
      </c>
      <c r="RBL101" t="s">
        <v>455</v>
      </c>
      <c r="RBM101" t="s">
        <v>455</v>
      </c>
      <c r="RBN101" t="s">
        <v>455</v>
      </c>
      <c r="RBO101" t="s">
        <v>455</v>
      </c>
      <c r="RBP101" t="s">
        <v>455</v>
      </c>
      <c r="RBQ101" t="s">
        <v>455</v>
      </c>
      <c r="RBR101" t="s">
        <v>455</v>
      </c>
      <c r="RBS101" t="s">
        <v>455</v>
      </c>
      <c r="RBT101" t="s">
        <v>455</v>
      </c>
      <c r="RBU101" t="s">
        <v>455</v>
      </c>
      <c r="RBV101" t="s">
        <v>455</v>
      </c>
      <c r="RBW101" t="s">
        <v>455</v>
      </c>
      <c r="RBX101" t="s">
        <v>455</v>
      </c>
      <c r="RBY101" t="s">
        <v>455</v>
      </c>
      <c r="RBZ101" t="s">
        <v>455</v>
      </c>
      <c r="RCA101" t="s">
        <v>455</v>
      </c>
      <c r="RCB101" t="s">
        <v>455</v>
      </c>
      <c r="RCC101" t="s">
        <v>455</v>
      </c>
      <c r="RCD101" t="s">
        <v>455</v>
      </c>
      <c r="RCE101" t="s">
        <v>455</v>
      </c>
      <c r="RCF101" t="s">
        <v>455</v>
      </c>
      <c r="RCG101" t="s">
        <v>455</v>
      </c>
      <c r="RCH101" t="s">
        <v>455</v>
      </c>
      <c r="RCI101" t="s">
        <v>455</v>
      </c>
      <c r="RCJ101" t="s">
        <v>455</v>
      </c>
      <c r="RCK101" t="s">
        <v>455</v>
      </c>
      <c r="RCL101" t="s">
        <v>455</v>
      </c>
      <c r="RCM101" t="s">
        <v>455</v>
      </c>
      <c r="RCN101" t="s">
        <v>455</v>
      </c>
      <c r="RCO101" t="s">
        <v>455</v>
      </c>
      <c r="RCP101" t="s">
        <v>455</v>
      </c>
      <c r="RCQ101" t="s">
        <v>455</v>
      </c>
      <c r="RCR101" t="s">
        <v>455</v>
      </c>
      <c r="RCS101" t="s">
        <v>455</v>
      </c>
      <c r="RCT101" t="s">
        <v>455</v>
      </c>
      <c r="RCU101" t="s">
        <v>455</v>
      </c>
      <c r="RCV101" t="s">
        <v>455</v>
      </c>
      <c r="RCW101" t="s">
        <v>455</v>
      </c>
      <c r="RCX101" t="s">
        <v>455</v>
      </c>
      <c r="RCY101" t="s">
        <v>455</v>
      </c>
      <c r="RCZ101" t="s">
        <v>455</v>
      </c>
      <c r="RDA101" t="s">
        <v>455</v>
      </c>
      <c r="RDB101" t="s">
        <v>455</v>
      </c>
      <c r="RDC101" t="s">
        <v>455</v>
      </c>
      <c r="RDD101" t="s">
        <v>455</v>
      </c>
      <c r="RDE101" t="s">
        <v>455</v>
      </c>
      <c r="RDF101" t="s">
        <v>455</v>
      </c>
      <c r="RDG101" t="s">
        <v>455</v>
      </c>
      <c r="RDH101" t="s">
        <v>455</v>
      </c>
      <c r="RDI101" t="s">
        <v>455</v>
      </c>
      <c r="RDJ101" t="s">
        <v>455</v>
      </c>
      <c r="RDK101" t="s">
        <v>455</v>
      </c>
      <c r="RDL101" t="s">
        <v>455</v>
      </c>
      <c r="RDM101" t="s">
        <v>455</v>
      </c>
      <c r="RDN101" t="s">
        <v>455</v>
      </c>
      <c r="RDO101" t="s">
        <v>455</v>
      </c>
      <c r="RDP101" t="s">
        <v>455</v>
      </c>
      <c r="RDQ101" t="s">
        <v>455</v>
      </c>
      <c r="RDR101" t="s">
        <v>455</v>
      </c>
      <c r="RDS101" t="s">
        <v>455</v>
      </c>
      <c r="RDT101" t="s">
        <v>455</v>
      </c>
      <c r="RDU101" t="s">
        <v>455</v>
      </c>
      <c r="RDV101" t="s">
        <v>455</v>
      </c>
      <c r="RDW101" t="s">
        <v>455</v>
      </c>
      <c r="RDX101" t="s">
        <v>455</v>
      </c>
      <c r="RDY101" t="s">
        <v>455</v>
      </c>
      <c r="RDZ101" t="s">
        <v>455</v>
      </c>
      <c r="REA101" t="s">
        <v>455</v>
      </c>
      <c r="REB101" t="s">
        <v>455</v>
      </c>
      <c r="REC101" t="s">
        <v>455</v>
      </c>
      <c r="RED101" t="s">
        <v>455</v>
      </c>
      <c r="REE101" t="s">
        <v>455</v>
      </c>
      <c r="REF101" t="s">
        <v>455</v>
      </c>
      <c r="REG101" t="s">
        <v>455</v>
      </c>
      <c r="REH101" t="s">
        <v>455</v>
      </c>
      <c r="REI101" t="s">
        <v>455</v>
      </c>
      <c r="REJ101" t="s">
        <v>455</v>
      </c>
      <c r="REK101" t="s">
        <v>455</v>
      </c>
      <c r="REL101" t="s">
        <v>455</v>
      </c>
      <c r="REM101" t="s">
        <v>455</v>
      </c>
      <c r="REN101" t="s">
        <v>455</v>
      </c>
      <c r="REO101" t="s">
        <v>455</v>
      </c>
      <c r="REP101" t="s">
        <v>455</v>
      </c>
      <c r="REQ101" t="s">
        <v>455</v>
      </c>
      <c r="RER101" t="s">
        <v>455</v>
      </c>
      <c r="RES101" t="s">
        <v>455</v>
      </c>
      <c r="RET101" t="s">
        <v>455</v>
      </c>
      <c r="REU101" t="s">
        <v>455</v>
      </c>
      <c r="REV101" t="s">
        <v>455</v>
      </c>
      <c r="REW101" t="s">
        <v>455</v>
      </c>
      <c r="REX101" t="s">
        <v>455</v>
      </c>
      <c r="REY101" t="s">
        <v>455</v>
      </c>
      <c r="REZ101" t="s">
        <v>455</v>
      </c>
      <c r="RFA101" t="s">
        <v>455</v>
      </c>
      <c r="RFB101" t="s">
        <v>455</v>
      </c>
      <c r="RFC101" t="s">
        <v>455</v>
      </c>
      <c r="RFD101" t="s">
        <v>455</v>
      </c>
      <c r="RFE101" t="s">
        <v>455</v>
      </c>
      <c r="RFF101" t="s">
        <v>455</v>
      </c>
      <c r="RFG101" t="s">
        <v>455</v>
      </c>
      <c r="RFH101" t="s">
        <v>455</v>
      </c>
      <c r="RFI101" t="s">
        <v>455</v>
      </c>
      <c r="RFJ101" t="s">
        <v>455</v>
      </c>
      <c r="RFK101" t="s">
        <v>455</v>
      </c>
      <c r="RFL101" t="s">
        <v>455</v>
      </c>
      <c r="RFM101" t="s">
        <v>455</v>
      </c>
      <c r="RFN101" t="s">
        <v>455</v>
      </c>
      <c r="RFO101" t="s">
        <v>455</v>
      </c>
      <c r="RFP101" t="s">
        <v>455</v>
      </c>
      <c r="RFQ101" t="s">
        <v>455</v>
      </c>
      <c r="RFR101" t="s">
        <v>455</v>
      </c>
      <c r="RFS101" t="s">
        <v>455</v>
      </c>
      <c r="RFT101" t="s">
        <v>455</v>
      </c>
      <c r="RFU101" t="s">
        <v>455</v>
      </c>
      <c r="RFV101" t="s">
        <v>455</v>
      </c>
      <c r="RFW101" t="s">
        <v>455</v>
      </c>
      <c r="RFX101" t="s">
        <v>455</v>
      </c>
      <c r="RFY101" t="s">
        <v>455</v>
      </c>
      <c r="RFZ101" t="s">
        <v>455</v>
      </c>
      <c r="RGA101" t="s">
        <v>455</v>
      </c>
      <c r="RGB101" t="s">
        <v>455</v>
      </c>
      <c r="RGC101" t="s">
        <v>455</v>
      </c>
      <c r="RGD101" t="s">
        <v>455</v>
      </c>
      <c r="RGE101" t="s">
        <v>455</v>
      </c>
      <c r="RGF101" t="s">
        <v>455</v>
      </c>
      <c r="RGG101" t="s">
        <v>455</v>
      </c>
      <c r="RGH101" t="s">
        <v>455</v>
      </c>
      <c r="RGI101" t="s">
        <v>455</v>
      </c>
      <c r="RGJ101" t="s">
        <v>455</v>
      </c>
      <c r="RGK101" t="s">
        <v>455</v>
      </c>
      <c r="RGL101" t="s">
        <v>455</v>
      </c>
      <c r="RGM101" t="s">
        <v>455</v>
      </c>
      <c r="RGN101" t="s">
        <v>455</v>
      </c>
      <c r="RGO101" t="s">
        <v>455</v>
      </c>
      <c r="RGP101" t="s">
        <v>455</v>
      </c>
      <c r="RGQ101" t="s">
        <v>455</v>
      </c>
      <c r="RGR101" t="s">
        <v>455</v>
      </c>
      <c r="RGS101" t="s">
        <v>455</v>
      </c>
      <c r="RGT101" t="s">
        <v>455</v>
      </c>
      <c r="RGU101" t="s">
        <v>455</v>
      </c>
      <c r="RGV101" t="s">
        <v>455</v>
      </c>
      <c r="RGW101" t="s">
        <v>455</v>
      </c>
      <c r="RGX101" t="s">
        <v>455</v>
      </c>
      <c r="RGY101" t="s">
        <v>455</v>
      </c>
      <c r="RGZ101" t="s">
        <v>455</v>
      </c>
      <c r="RHA101" t="s">
        <v>455</v>
      </c>
      <c r="RHB101" t="s">
        <v>455</v>
      </c>
      <c r="RHC101" t="s">
        <v>455</v>
      </c>
      <c r="RHD101" t="s">
        <v>455</v>
      </c>
      <c r="RHE101" t="s">
        <v>455</v>
      </c>
      <c r="RHF101" t="s">
        <v>455</v>
      </c>
      <c r="RHG101" t="s">
        <v>455</v>
      </c>
      <c r="RHH101" t="s">
        <v>455</v>
      </c>
      <c r="RHI101" t="s">
        <v>455</v>
      </c>
      <c r="RHJ101" t="s">
        <v>455</v>
      </c>
      <c r="RHK101" t="s">
        <v>455</v>
      </c>
      <c r="RHL101" t="s">
        <v>455</v>
      </c>
      <c r="RHM101" t="s">
        <v>455</v>
      </c>
      <c r="RHN101" t="s">
        <v>455</v>
      </c>
      <c r="RHO101" t="s">
        <v>455</v>
      </c>
      <c r="RHP101" t="s">
        <v>455</v>
      </c>
      <c r="RHQ101" t="s">
        <v>455</v>
      </c>
      <c r="RHR101" t="s">
        <v>455</v>
      </c>
      <c r="RHS101" t="s">
        <v>455</v>
      </c>
      <c r="RHT101" t="s">
        <v>455</v>
      </c>
      <c r="RHU101" t="s">
        <v>455</v>
      </c>
      <c r="RHV101" t="s">
        <v>455</v>
      </c>
      <c r="RHW101" t="s">
        <v>455</v>
      </c>
      <c r="RHX101" t="s">
        <v>455</v>
      </c>
      <c r="RHY101" t="s">
        <v>455</v>
      </c>
      <c r="RHZ101" t="s">
        <v>455</v>
      </c>
      <c r="RIA101" t="s">
        <v>455</v>
      </c>
      <c r="RIB101" t="s">
        <v>455</v>
      </c>
      <c r="RIC101" t="s">
        <v>455</v>
      </c>
      <c r="RID101" t="s">
        <v>455</v>
      </c>
      <c r="RIE101" t="s">
        <v>455</v>
      </c>
      <c r="RIF101" t="s">
        <v>455</v>
      </c>
      <c r="RIG101" t="s">
        <v>455</v>
      </c>
      <c r="RIH101" t="s">
        <v>455</v>
      </c>
      <c r="RII101" t="s">
        <v>455</v>
      </c>
      <c r="RIJ101" t="s">
        <v>455</v>
      </c>
      <c r="RIK101" t="s">
        <v>455</v>
      </c>
      <c r="RIL101" t="s">
        <v>455</v>
      </c>
      <c r="RIM101" t="s">
        <v>455</v>
      </c>
      <c r="RIN101" t="s">
        <v>455</v>
      </c>
      <c r="RIO101" t="s">
        <v>455</v>
      </c>
      <c r="RIP101" t="s">
        <v>455</v>
      </c>
      <c r="RIQ101" t="s">
        <v>455</v>
      </c>
      <c r="RIR101" t="s">
        <v>455</v>
      </c>
      <c r="RIS101" t="s">
        <v>455</v>
      </c>
      <c r="RIT101" t="s">
        <v>455</v>
      </c>
      <c r="RIU101" t="s">
        <v>455</v>
      </c>
      <c r="RIV101" t="s">
        <v>455</v>
      </c>
      <c r="RIW101" t="s">
        <v>455</v>
      </c>
      <c r="RIX101" t="s">
        <v>455</v>
      </c>
      <c r="RIY101" t="s">
        <v>455</v>
      </c>
      <c r="RIZ101" t="s">
        <v>455</v>
      </c>
      <c r="RJA101" t="s">
        <v>455</v>
      </c>
      <c r="RJB101" t="s">
        <v>455</v>
      </c>
      <c r="RJC101" t="s">
        <v>455</v>
      </c>
      <c r="RJD101" t="s">
        <v>455</v>
      </c>
      <c r="RJE101" t="s">
        <v>455</v>
      </c>
      <c r="RJF101" t="s">
        <v>455</v>
      </c>
      <c r="RJG101" t="s">
        <v>455</v>
      </c>
      <c r="RJH101" t="s">
        <v>455</v>
      </c>
      <c r="RJI101" t="s">
        <v>455</v>
      </c>
      <c r="RJJ101" t="s">
        <v>455</v>
      </c>
      <c r="RJK101" t="s">
        <v>455</v>
      </c>
      <c r="RJL101" t="s">
        <v>455</v>
      </c>
      <c r="RJM101" t="s">
        <v>455</v>
      </c>
      <c r="RJN101" t="s">
        <v>455</v>
      </c>
      <c r="RJO101" t="s">
        <v>455</v>
      </c>
      <c r="RJP101" t="s">
        <v>455</v>
      </c>
      <c r="RJQ101" t="s">
        <v>455</v>
      </c>
      <c r="RJR101" t="s">
        <v>455</v>
      </c>
      <c r="RJS101" t="s">
        <v>455</v>
      </c>
      <c r="RJT101" t="s">
        <v>455</v>
      </c>
      <c r="RJU101" t="s">
        <v>455</v>
      </c>
      <c r="RJV101" t="s">
        <v>455</v>
      </c>
      <c r="RJW101" t="s">
        <v>455</v>
      </c>
      <c r="RJX101" t="s">
        <v>455</v>
      </c>
      <c r="RJY101" t="s">
        <v>455</v>
      </c>
      <c r="RJZ101" t="s">
        <v>455</v>
      </c>
      <c r="RKA101" t="s">
        <v>455</v>
      </c>
      <c r="RKB101" t="s">
        <v>455</v>
      </c>
      <c r="RKC101" t="s">
        <v>455</v>
      </c>
      <c r="RKD101" t="s">
        <v>455</v>
      </c>
      <c r="RKE101" t="s">
        <v>455</v>
      </c>
      <c r="RKF101" t="s">
        <v>455</v>
      </c>
      <c r="RKG101" t="s">
        <v>455</v>
      </c>
      <c r="RKH101" t="s">
        <v>455</v>
      </c>
      <c r="RKI101" t="s">
        <v>455</v>
      </c>
      <c r="RKJ101" t="s">
        <v>455</v>
      </c>
      <c r="RKK101" t="s">
        <v>455</v>
      </c>
      <c r="RKL101" t="s">
        <v>455</v>
      </c>
      <c r="RKM101" t="s">
        <v>455</v>
      </c>
      <c r="RKN101" t="s">
        <v>455</v>
      </c>
      <c r="RKO101" t="s">
        <v>455</v>
      </c>
      <c r="RKP101" t="s">
        <v>455</v>
      </c>
      <c r="RKQ101" t="s">
        <v>455</v>
      </c>
      <c r="RKR101" t="s">
        <v>455</v>
      </c>
      <c r="RKS101" t="s">
        <v>455</v>
      </c>
      <c r="RKT101" t="s">
        <v>455</v>
      </c>
      <c r="RKU101" t="s">
        <v>455</v>
      </c>
      <c r="RKV101" t="s">
        <v>455</v>
      </c>
      <c r="RKW101" t="s">
        <v>455</v>
      </c>
      <c r="RKX101" t="s">
        <v>455</v>
      </c>
      <c r="RKY101" t="s">
        <v>455</v>
      </c>
      <c r="RKZ101" t="s">
        <v>455</v>
      </c>
      <c r="RLA101" t="s">
        <v>455</v>
      </c>
      <c r="RLB101" t="s">
        <v>455</v>
      </c>
      <c r="RLC101" t="s">
        <v>455</v>
      </c>
      <c r="RLD101" t="s">
        <v>455</v>
      </c>
      <c r="RLE101" t="s">
        <v>455</v>
      </c>
      <c r="RLF101" t="s">
        <v>455</v>
      </c>
      <c r="RLG101" t="s">
        <v>455</v>
      </c>
      <c r="RLH101" t="s">
        <v>455</v>
      </c>
      <c r="RLI101" t="s">
        <v>455</v>
      </c>
      <c r="RLJ101" t="s">
        <v>455</v>
      </c>
      <c r="RLK101" t="s">
        <v>455</v>
      </c>
      <c r="RLL101" t="s">
        <v>455</v>
      </c>
      <c r="RLM101" t="s">
        <v>455</v>
      </c>
      <c r="RLN101" t="s">
        <v>455</v>
      </c>
      <c r="RLO101" t="s">
        <v>455</v>
      </c>
      <c r="RLP101" t="s">
        <v>455</v>
      </c>
      <c r="RLQ101" t="s">
        <v>455</v>
      </c>
      <c r="RLR101" t="s">
        <v>455</v>
      </c>
      <c r="RLS101" t="s">
        <v>455</v>
      </c>
      <c r="RLT101" t="s">
        <v>455</v>
      </c>
      <c r="RLU101" t="s">
        <v>455</v>
      </c>
      <c r="RLV101" t="s">
        <v>455</v>
      </c>
      <c r="RLW101" t="s">
        <v>455</v>
      </c>
      <c r="RLX101" t="s">
        <v>455</v>
      </c>
      <c r="RLY101" t="s">
        <v>455</v>
      </c>
      <c r="RLZ101" t="s">
        <v>455</v>
      </c>
      <c r="RMA101" t="s">
        <v>455</v>
      </c>
      <c r="RMB101" t="s">
        <v>455</v>
      </c>
      <c r="RMC101" t="s">
        <v>455</v>
      </c>
      <c r="RMD101" t="s">
        <v>455</v>
      </c>
      <c r="RME101" t="s">
        <v>455</v>
      </c>
      <c r="RMF101" t="s">
        <v>455</v>
      </c>
      <c r="RMG101" t="s">
        <v>455</v>
      </c>
      <c r="RMH101" t="s">
        <v>455</v>
      </c>
      <c r="RMI101" t="s">
        <v>455</v>
      </c>
      <c r="RMJ101" t="s">
        <v>455</v>
      </c>
      <c r="RMK101" t="s">
        <v>455</v>
      </c>
      <c r="RML101" t="s">
        <v>455</v>
      </c>
      <c r="RMM101" t="s">
        <v>455</v>
      </c>
      <c r="RMN101" t="s">
        <v>455</v>
      </c>
      <c r="RMO101" t="s">
        <v>455</v>
      </c>
      <c r="RMP101" t="s">
        <v>455</v>
      </c>
      <c r="RMQ101" t="s">
        <v>455</v>
      </c>
      <c r="RMR101" t="s">
        <v>455</v>
      </c>
      <c r="RMS101" t="s">
        <v>455</v>
      </c>
      <c r="RMT101" t="s">
        <v>455</v>
      </c>
      <c r="RMU101" t="s">
        <v>455</v>
      </c>
      <c r="RMV101" t="s">
        <v>455</v>
      </c>
      <c r="RMW101" t="s">
        <v>455</v>
      </c>
      <c r="RMX101" t="s">
        <v>455</v>
      </c>
      <c r="RMY101" t="s">
        <v>455</v>
      </c>
      <c r="RMZ101" t="s">
        <v>455</v>
      </c>
      <c r="RNA101" t="s">
        <v>455</v>
      </c>
      <c r="RNB101" t="s">
        <v>455</v>
      </c>
      <c r="RNC101" t="s">
        <v>455</v>
      </c>
      <c r="RND101" t="s">
        <v>455</v>
      </c>
      <c r="RNE101" t="s">
        <v>455</v>
      </c>
      <c r="RNF101" t="s">
        <v>455</v>
      </c>
      <c r="RNG101" t="s">
        <v>455</v>
      </c>
      <c r="RNH101" t="s">
        <v>455</v>
      </c>
      <c r="RNI101" t="s">
        <v>455</v>
      </c>
      <c r="RNJ101" t="s">
        <v>455</v>
      </c>
      <c r="RNK101" t="s">
        <v>455</v>
      </c>
      <c r="RNL101" t="s">
        <v>455</v>
      </c>
      <c r="RNM101" t="s">
        <v>455</v>
      </c>
      <c r="RNN101" t="s">
        <v>455</v>
      </c>
      <c r="RNO101" t="s">
        <v>455</v>
      </c>
      <c r="RNP101" t="s">
        <v>455</v>
      </c>
      <c r="RNQ101" t="s">
        <v>455</v>
      </c>
      <c r="RNR101" t="s">
        <v>455</v>
      </c>
      <c r="RNS101" t="s">
        <v>455</v>
      </c>
      <c r="RNT101" t="s">
        <v>455</v>
      </c>
      <c r="RNU101" t="s">
        <v>455</v>
      </c>
      <c r="RNV101" t="s">
        <v>455</v>
      </c>
      <c r="RNW101" t="s">
        <v>455</v>
      </c>
      <c r="RNX101" t="s">
        <v>455</v>
      </c>
      <c r="RNY101" t="s">
        <v>455</v>
      </c>
      <c r="RNZ101" t="s">
        <v>455</v>
      </c>
      <c r="ROA101" t="s">
        <v>455</v>
      </c>
      <c r="ROB101" t="s">
        <v>455</v>
      </c>
      <c r="ROC101" t="s">
        <v>455</v>
      </c>
      <c r="ROD101" t="s">
        <v>455</v>
      </c>
      <c r="ROE101" t="s">
        <v>455</v>
      </c>
      <c r="ROF101" t="s">
        <v>455</v>
      </c>
      <c r="ROG101" t="s">
        <v>455</v>
      </c>
      <c r="ROH101" t="s">
        <v>455</v>
      </c>
      <c r="ROI101" t="s">
        <v>455</v>
      </c>
      <c r="ROJ101" t="s">
        <v>455</v>
      </c>
      <c r="ROK101" t="s">
        <v>455</v>
      </c>
      <c r="ROL101" t="s">
        <v>455</v>
      </c>
      <c r="ROM101" t="s">
        <v>455</v>
      </c>
      <c r="RON101" t="s">
        <v>455</v>
      </c>
      <c r="ROO101" t="s">
        <v>455</v>
      </c>
      <c r="ROP101" t="s">
        <v>455</v>
      </c>
      <c r="ROQ101" t="s">
        <v>455</v>
      </c>
      <c r="ROR101" t="s">
        <v>455</v>
      </c>
      <c r="ROS101" t="s">
        <v>455</v>
      </c>
      <c r="ROT101" t="s">
        <v>455</v>
      </c>
      <c r="ROU101" t="s">
        <v>455</v>
      </c>
      <c r="ROV101" t="s">
        <v>455</v>
      </c>
      <c r="ROW101" t="s">
        <v>455</v>
      </c>
      <c r="ROX101" t="s">
        <v>455</v>
      </c>
      <c r="ROY101" t="s">
        <v>455</v>
      </c>
      <c r="ROZ101" t="s">
        <v>455</v>
      </c>
      <c r="RPA101" t="s">
        <v>455</v>
      </c>
      <c r="RPB101" t="s">
        <v>455</v>
      </c>
      <c r="RPC101" t="s">
        <v>455</v>
      </c>
      <c r="RPD101" t="s">
        <v>455</v>
      </c>
      <c r="RPE101" t="s">
        <v>455</v>
      </c>
      <c r="RPF101" t="s">
        <v>455</v>
      </c>
      <c r="RPG101" t="s">
        <v>455</v>
      </c>
      <c r="RPH101" t="s">
        <v>455</v>
      </c>
      <c r="RPI101" t="s">
        <v>455</v>
      </c>
      <c r="RPJ101" t="s">
        <v>455</v>
      </c>
      <c r="RPK101" t="s">
        <v>455</v>
      </c>
      <c r="RPL101" t="s">
        <v>455</v>
      </c>
      <c r="RPM101" t="s">
        <v>455</v>
      </c>
      <c r="RPN101" t="s">
        <v>455</v>
      </c>
      <c r="RPO101" t="s">
        <v>455</v>
      </c>
      <c r="RPP101" t="s">
        <v>455</v>
      </c>
      <c r="RPQ101" t="s">
        <v>455</v>
      </c>
      <c r="RPR101" t="s">
        <v>455</v>
      </c>
      <c r="RPS101" t="s">
        <v>455</v>
      </c>
      <c r="RPT101" t="s">
        <v>455</v>
      </c>
      <c r="RPU101" t="s">
        <v>455</v>
      </c>
      <c r="RPV101" t="s">
        <v>455</v>
      </c>
      <c r="RPW101" t="s">
        <v>455</v>
      </c>
      <c r="RPX101" t="s">
        <v>455</v>
      </c>
      <c r="RPY101" t="s">
        <v>455</v>
      </c>
      <c r="RPZ101" t="s">
        <v>455</v>
      </c>
      <c r="RQA101" t="s">
        <v>455</v>
      </c>
      <c r="RQB101" t="s">
        <v>455</v>
      </c>
      <c r="RQC101" t="s">
        <v>455</v>
      </c>
      <c r="RQD101" t="s">
        <v>455</v>
      </c>
      <c r="RQE101" t="s">
        <v>455</v>
      </c>
      <c r="RQF101" t="s">
        <v>455</v>
      </c>
      <c r="RQG101" t="s">
        <v>455</v>
      </c>
      <c r="RQH101" t="s">
        <v>455</v>
      </c>
      <c r="RQI101" t="s">
        <v>455</v>
      </c>
      <c r="RQJ101" t="s">
        <v>455</v>
      </c>
      <c r="RQK101" t="s">
        <v>455</v>
      </c>
      <c r="RQL101" t="s">
        <v>455</v>
      </c>
      <c r="RQM101" t="s">
        <v>455</v>
      </c>
      <c r="RQN101" t="s">
        <v>455</v>
      </c>
      <c r="RQO101" t="s">
        <v>455</v>
      </c>
      <c r="RQP101" t="s">
        <v>455</v>
      </c>
      <c r="RQQ101" t="s">
        <v>455</v>
      </c>
      <c r="RQR101" t="s">
        <v>455</v>
      </c>
      <c r="RQS101" t="s">
        <v>455</v>
      </c>
      <c r="RQT101" t="s">
        <v>455</v>
      </c>
      <c r="RQU101" t="s">
        <v>455</v>
      </c>
      <c r="RQV101" t="s">
        <v>455</v>
      </c>
      <c r="RQW101" t="s">
        <v>455</v>
      </c>
      <c r="RQX101" t="s">
        <v>455</v>
      </c>
      <c r="RQY101" t="s">
        <v>455</v>
      </c>
      <c r="RQZ101" t="s">
        <v>455</v>
      </c>
      <c r="RRA101" t="s">
        <v>455</v>
      </c>
      <c r="RRB101" t="s">
        <v>455</v>
      </c>
      <c r="RRC101" t="s">
        <v>455</v>
      </c>
      <c r="RRD101" t="s">
        <v>455</v>
      </c>
      <c r="RRE101" t="s">
        <v>455</v>
      </c>
      <c r="RRF101" t="s">
        <v>455</v>
      </c>
      <c r="RRG101" t="s">
        <v>455</v>
      </c>
      <c r="RRH101" t="s">
        <v>455</v>
      </c>
      <c r="RRI101" t="s">
        <v>455</v>
      </c>
      <c r="RRJ101" t="s">
        <v>455</v>
      </c>
      <c r="RRK101" t="s">
        <v>455</v>
      </c>
      <c r="RRL101" t="s">
        <v>455</v>
      </c>
      <c r="RRM101" t="s">
        <v>455</v>
      </c>
      <c r="RRN101" t="s">
        <v>455</v>
      </c>
      <c r="RRO101" t="s">
        <v>455</v>
      </c>
      <c r="RRP101" t="s">
        <v>455</v>
      </c>
      <c r="RRQ101" t="s">
        <v>455</v>
      </c>
      <c r="RRR101" t="s">
        <v>455</v>
      </c>
      <c r="RRS101" t="s">
        <v>455</v>
      </c>
      <c r="RRT101" t="s">
        <v>455</v>
      </c>
      <c r="RRU101" t="s">
        <v>455</v>
      </c>
      <c r="RRV101" t="s">
        <v>455</v>
      </c>
      <c r="RRW101" t="s">
        <v>455</v>
      </c>
      <c r="RRX101" t="s">
        <v>455</v>
      </c>
      <c r="RRY101" t="s">
        <v>455</v>
      </c>
      <c r="RRZ101" t="s">
        <v>455</v>
      </c>
      <c r="RSA101" t="s">
        <v>455</v>
      </c>
      <c r="RSB101" t="s">
        <v>455</v>
      </c>
      <c r="RSC101" t="s">
        <v>455</v>
      </c>
      <c r="RSD101" t="s">
        <v>455</v>
      </c>
      <c r="RSE101" t="s">
        <v>455</v>
      </c>
      <c r="RSF101" t="s">
        <v>455</v>
      </c>
      <c r="RSG101" t="s">
        <v>455</v>
      </c>
      <c r="RSH101" t="s">
        <v>455</v>
      </c>
      <c r="RSI101" t="s">
        <v>455</v>
      </c>
      <c r="RSJ101" t="s">
        <v>455</v>
      </c>
      <c r="RSK101" t="s">
        <v>455</v>
      </c>
      <c r="RSL101" t="s">
        <v>455</v>
      </c>
      <c r="RSM101" t="s">
        <v>455</v>
      </c>
      <c r="RSN101" t="s">
        <v>455</v>
      </c>
      <c r="RSO101" t="s">
        <v>455</v>
      </c>
      <c r="RSP101" t="s">
        <v>455</v>
      </c>
      <c r="RSQ101" t="s">
        <v>455</v>
      </c>
      <c r="RSR101" t="s">
        <v>455</v>
      </c>
      <c r="RSS101" t="s">
        <v>455</v>
      </c>
      <c r="RST101" t="s">
        <v>455</v>
      </c>
      <c r="RSU101" t="s">
        <v>455</v>
      </c>
      <c r="RSV101" t="s">
        <v>455</v>
      </c>
      <c r="RSW101" t="s">
        <v>455</v>
      </c>
      <c r="RSX101" t="s">
        <v>455</v>
      </c>
      <c r="RSY101" t="s">
        <v>455</v>
      </c>
      <c r="RSZ101" t="s">
        <v>455</v>
      </c>
      <c r="RTA101" t="s">
        <v>455</v>
      </c>
      <c r="RTB101" t="s">
        <v>455</v>
      </c>
      <c r="RTC101" t="s">
        <v>455</v>
      </c>
      <c r="RTD101" t="s">
        <v>455</v>
      </c>
      <c r="RTE101" t="s">
        <v>455</v>
      </c>
      <c r="RTF101" t="s">
        <v>455</v>
      </c>
      <c r="RTG101" t="s">
        <v>455</v>
      </c>
      <c r="RTH101" t="s">
        <v>455</v>
      </c>
      <c r="RTI101" t="s">
        <v>455</v>
      </c>
      <c r="RTJ101" t="s">
        <v>455</v>
      </c>
      <c r="RTK101" t="s">
        <v>455</v>
      </c>
      <c r="RTL101" t="s">
        <v>455</v>
      </c>
      <c r="RTM101" t="s">
        <v>455</v>
      </c>
      <c r="RTN101" t="s">
        <v>455</v>
      </c>
      <c r="RTO101" t="s">
        <v>455</v>
      </c>
      <c r="RTP101" t="s">
        <v>455</v>
      </c>
      <c r="RTQ101" t="s">
        <v>455</v>
      </c>
      <c r="RTR101" t="s">
        <v>455</v>
      </c>
      <c r="RTS101" t="s">
        <v>455</v>
      </c>
      <c r="RTT101" t="s">
        <v>455</v>
      </c>
      <c r="RTU101" t="s">
        <v>455</v>
      </c>
      <c r="RTV101" t="s">
        <v>455</v>
      </c>
      <c r="RTW101" t="s">
        <v>455</v>
      </c>
      <c r="RTX101" t="s">
        <v>455</v>
      </c>
      <c r="RTY101" t="s">
        <v>455</v>
      </c>
      <c r="RTZ101" t="s">
        <v>455</v>
      </c>
      <c r="RUA101" t="s">
        <v>455</v>
      </c>
      <c r="RUB101" t="s">
        <v>455</v>
      </c>
      <c r="RUC101" t="s">
        <v>455</v>
      </c>
      <c r="RUD101" t="s">
        <v>455</v>
      </c>
      <c r="RUE101" t="s">
        <v>455</v>
      </c>
      <c r="RUF101" t="s">
        <v>455</v>
      </c>
      <c r="RUG101" t="s">
        <v>455</v>
      </c>
      <c r="RUH101" t="s">
        <v>455</v>
      </c>
      <c r="RUI101" t="s">
        <v>455</v>
      </c>
      <c r="RUJ101" t="s">
        <v>455</v>
      </c>
      <c r="RUK101" t="s">
        <v>455</v>
      </c>
      <c r="RUL101" t="s">
        <v>455</v>
      </c>
      <c r="RUM101" t="s">
        <v>455</v>
      </c>
      <c r="RUN101" t="s">
        <v>455</v>
      </c>
      <c r="RUO101" t="s">
        <v>455</v>
      </c>
      <c r="RUP101" t="s">
        <v>455</v>
      </c>
      <c r="RUQ101" t="s">
        <v>455</v>
      </c>
      <c r="RUR101" t="s">
        <v>455</v>
      </c>
      <c r="RUS101" t="s">
        <v>455</v>
      </c>
      <c r="RUT101" t="s">
        <v>455</v>
      </c>
      <c r="RUU101" t="s">
        <v>455</v>
      </c>
      <c r="RUV101" t="s">
        <v>455</v>
      </c>
      <c r="RUW101" t="s">
        <v>455</v>
      </c>
      <c r="RUX101" t="s">
        <v>455</v>
      </c>
      <c r="RUY101" t="s">
        <v>455</v>
      </c>
      <c r="RUZ101" t="s">
        <v>455</v>
      </c>
      <c r="RVA101" t="s">
        <v>455</v>
      </c>
      <c r="RVB101" t="s">
        <v>455</v>
      </c>
      <c r="RVC101" t="s">
        <v>455</v>
      </c>
      <c r="RVD101" t="s">
        <v>455</v>
      </c>
      <c r="RVE101" t="s">
        <v>455</v>
      </c>
      <c r="RVF101" t="s">
        <v>455</v>
      </c>
      <c r="RVG101" t="s">
        <v>455</v>
      </c>
      <c r="RVH101" t="s">
        <v>455</v>
      </c>
      <c r="RVI101" t="s">
        <v>455</v>
      </c>
      <c r="RVJ101" t="s">
        <v>455</v>
      </c>
      <c r="RVK101" t="s">
        <v>455</v>
      </c>
      <c r="RVL101" t="s">
        <v>455</v>
      </c>
      <c r="RVM101" t="s">
        <v>455</v>
      </c>
      <c r="RVN101" t="s">
        <v>455</v>
      </c>
      <c r="RVO101" t="s">
        <v>455</v>
      </c>
      <c r="RVP101" t="s">
        <v>455</v>
      </c>
      <c r="RVQ101" t="s">
        <v>455</v>
      </c>
      <c r="RVR101" t="s">
        <v>455</v>
      </c>
      <c r="RVS101" t="s">
        <v>455</v>
      </c>
      <c r="RVT101" t="s">
        <v>455</v>
      </c>
      <c r="RVU101" t="s">
        <v>455</v>
      </c>
      <c r="RVV101" t="s">
        <v>455</v>
      </c>
      <c r="RVW101" t="s">
        <v>455</v>
      </c>
      <c r="RVX101" t="s">
        <v>455</v>
      </c>
      <c r="RVY101" t="s">
        <v>455</v>
      </c>
      <c r="RVZ101" t="s">
        <v>455</v>
      </c>
      <c r="RWA101" t="s">
        <v>455</v>
      </c>
      <c r="RWB101" t="s">
        <v>455</v>
      </c>
      <c r="RWC101" t="s">
        <v>455</v>
      </c>
      <c r="RWD101" t="s">
        <v>455</v>
      </c>
      <c r="RWE101" t="s">
        <v>455</v>
      </c>
      <c r="RWF101" t="s">
        <v>455</v>
      </c>
      <c r="RWG101" t="s">
        <v>455</v>
      </c>
      <c r="RWH101" t="s">
        <v>455</v>
      </c>
      <c r="RWI101" t="s">
        <v>455</v>
      </c>
      <c r="RWJ101" t="s">
        <v>455</v>
      </c>
      <c r="RWK101" t="s">
        <v>455</v>
      </c>
      <c r="RWL101" t="s">
        <v>455</v>
      </c>
      <c r="RWM101" t="s">
        <v>455</v>
      </c>
      <c r="RWN101" t="s">
        <v>455</v>
      </c>
      <c r="RWO101" t="s">
        <v>455</v>
      </c>
      <c r="RWP101" t="s">
        <v>455</v>
      </c>
      <c r="RWQ101" t="s">
        <v>455</v>
      </c>
      <c r="RWR101" t="s">
        <v>455</v>
      </c>
      <c r="RWS101" t="s">
        <v>455</v>
      </c>
      <c r="RWT101" t="s">
        <v>455</v>
      </c>
      <c r="RWU101" t="s">
        <v>455</v>
      </c>
      <c r="RWV101" t="s">
        <v>455</v>
      </c>
      <c r="RWW101" t="s">
        <v>455</v>
      </c>
      <c r="RWX101" t="s">
        <v>455</v>
      </c>
      <c r="RWY101" t="s">
        <v>455</v>
      </c>
      <c r="RWZ101" t="s">
        <v>455</v>
      </c>
      <c r="RXA101" t="s">
        <v>455</v>
      </c>
      <c r="RXB101" t="s">
        <v>455</v>
      </c>
      <c r="RXC101" t="s">
        <v>455</v>
      </c>
      <c r="RXD101" t="s">
        <v>455</v>
      </c>
      <c r="RXE101" t="s">
        <v>455</v>
      </c>
      <c r="RXF101" t="s">
        <v>455</v>
      </c>
      <c r="RXG101" t="s">
        <v>455</v>
      </c>
      <c r="RXH101" t="s">
        <v>455</v>
      </c>
      <c r="RXI101" t="s">
        <v>455</v>
      </c>
      <c r="RXJ101" t="s">
        <v>455</v>
      </c>
      <c r="RXK101" t="s">
        <v>455</v>
      </c>
      <c r="RXL101" t="s">
        <v>455</v>
      </c>
      <c r="RXM101" t="s">
        <v>455</v>
      </c>
      <c r="RXN101" t="s">
        <v>455</v>
      </c>
      <c r="RXO101" t="s">
        <v>455</v>
      </c>
      <c r="RXP101" t="s">
        <v>455</v>
      </c>
      <c r="RXQ101" t="s">
        <v>455</v>
      </c>
      <c r="RXR101" t="s">
        <v>455</v>
      </c>
      <c r="RXS101" t="s">
        <v>455</v>
      </c>
      <c r="RXT101" t="s">
        <v>455</v>
      </c>
      <c r="RXU101" t="s">
        <v>455</v>
      </c>
      <c r="RXV101" t="s">
        <v>455</v>
      </c>
      <c r="RXW101" t="s">
        <v>455</v>
      </c>
      <c r="RXX101" t="s">
        <v>455</v>
      </c>
      <c r="RXY101" t="s">
        <v>455</v>
      </c>
      <c r="RXZ101" t="s">
        <v>455</v>
      </c>
      <c r="RYA101" t="s">
        <v>455</v>
      </c>
      <c r="RYB101" t="s">
        <v>455</v>
      </c>
      <c r="RYC101" t="s">
        <v>455</v>
      </c>
      <c r="RYD101" t="s">
        <v>455</v>
      </c>
      <c r="RYE101" t="s">
        <v>455</v>
      </c>
      <c r="RYF101" t="s">
        <v>455</v>
      </c>
      <c r="RYG101" t="s">
        <v>455</v>
      </c>
      <c r="RYH101" t="s">
        <v>455</v>
      </c>
      <c r="RYI101" t="s">
        <v>455</v>
      </c>
      <c r="RYJ101" t="s">
        <v>455</v>
      </c>
      <c r="RYK101" t="s">
        <v>455</v>
      </c>
      <c r="RYL101" t="s">
        <v>455</v>
      </c>
      <c r="RYM101" t="s">
        <v>455</v>
      </c>
      <c r="RYN101" t="s">
        <v>455</v>
      </c>
      <c r="RYO101" t="s">
        <v>455</v>
      </c>
      <c r="RYP101" t="s">
        <v>455</v>
      </c>
      <c r="RYQ101" t="s">
        <v>455</v>
      </c>
      <c r="RYR101" t="s">
        <v>455</v>
      </c>
      <c r="RYS101" t="s">
        <v>455</v>
      </c>
      <c r="RYT101" t="s">
        <v>455</v>
      </c>
      <c r="RYU101" t="s">
        <v>455</v>
      </c>
      <c r="RYV101" t="s">
        <v>455</v>
      </c>
      <c r="RYW101" t="s">
        <v>455</v>
      </c>
      <c r="RYX101" t="s">
        <v>455</v>
      </c>
      <c r="RYY101" t="s">
        <v>455</v>
      </c>
      <c r="RYZ101" t="s">
        <v>455</v>
      </c>
      <c r="RZA101" t="s">
        <v>455</v>
      </c>
      <c r="RZB101" t="s">
        <v>455</v>
      </c>
      <c r="RZC101" t="s">
        <v>455</v>
      </c>
      <c r="RZD101" t="s">
        <v>455</v>
      </c>
      <c r="RZE101" t="s">
        <v>455</v>
      </c>
      <c r="RZF101" t="s">
        <v>455</v>
      </c>
      <c r="RZG101" t="s">
        <v>455</v>
      </c>
      <c r="RZH101" t="s">
        <v>455</v>
      </c>
      <c r="RZI101" t="s">
        <v>455</v>
      </c>
      <c r="RZJ101" t="s">
        <v>455</v>
      </c>
      <c r="RZK101" t="s">
        <v>455</v>
      </c>
      <c r="RZL101" t="s">
        <v>455</v>
      </c>
      <c r="RZM101" t="s">
        <v>455</v>
      </c>
      <c r="RZN101" t="s">
        <v>455</v>
      </c>
      <c r="RZO101" t="s">
        <v>455</v>
      </c>
      <c r="RZP101" t="s">
        <v>455</v>
      </c>
      <c r="RZQ101" t="s">
        <v>455</v>
      </c>
      <c r="RZR101" t="s">
        <v>455</v>
      </c>
      <c r="RZS101" t="s">
        <v>455</v>
      </c>
      <c r="RZT101" t="s">
        <v>455</v>
      </c>
      <c r="RZU101" t="s">
        <v>455</v>
      </c>
      <c r="RZV101" t="s">
        <v>455</v>
      </c>
      <c r="RZW101" t="s">
        <v>455</v>
      </c>
      <c r="RZX101" t="s">
        <v>455</v>
      </c>
      <c r="RZY101" t="s">
        <v>455</v>
      </c>
      <c r="RZZ101" t="s">
        <v>455</v>
      </c>
      <c r="SAA101" t="s">
        <v>455</v>
      </c>
      <c r="SAB101" t="s">
        <v>455</v>
      </c>
      <c r="SAC101" t="s">
        <v>455</v>
      </c>
      <c r="SAD101" t="s">
        <v>455</v>
      </c>
      <c r="SAE101" t="s">
        <v>455</v>
      </c>
      <c r="SAF101" t="s">
        <v>455</v>
      </c>
      <c r="SAG101" t="s">
        <v>455</v>
      </c>
      <c r="SAH101" t="s">
        <v>455</v>
      </c>
      <c r="SAI101" t="s">
        <v>455</v>
      </c>
      <c r="SAJ101" t="s">
        <v>455</v>
      </c>
      <c r="SAK101" t="s">
        <v>455</v>
      </c>
      <c r="SAL101" t="s">
        <v>455</v>
      </c>
      <c r="SAM101" t="s">
        <v>455</v>
      </c>
      <c r="SAN101" t="s">
        <v>455</v>
      </c>
      <c r="SAO101" t="s">
        <v>455</v>
      </c>
      <c r="SAP101" t="s">
        <v>455</v>
      </c>
      <c r="SAQ101" t="s">
        <v>455</v>
      </c>
      <c r="SAR101" t="s">
        <v>455</v>
      </c>
      <c r="SAS101" t="s">
        <v>455</v>
      </c>
      <c r="SAT101" t="s">
        <v>455</v>
      </c>
      <c r="SAU101" t="s">
        <v>455</v>
      </c>
      <c r="SAV101" t="s">
        <v>455</v>
      </c>
      <c r="SAW101" t="s">
        <v>455</v>
      </c>
      <c r="SAX101" t="s">
        <v>455</v>
      </c>
      <c r="SAY101" t="s">
        <v>455</v>
      </c>
      <c r="SAZ101" t="s">
        <v>455</v>
      </c>
      <c r="SBA101" t="s">
        <v>455</v>
      </c>
      <c r="SBB101" t="s">
        <v>455</v>
      </c>
      <c r="SBC101" t="s">
        <v>455</v>
      </c>
      <c r="SBD101" t="s">
        <v>455</v>
      </c>
      <c r="SBE101" t="s">
        <v>455</v>
      </c>
      <c r="SBF101" t="s">
        <v>455</v>
      </c>
      <c r="SBG101" t="s">
        <v>455</v>
      </c>
      <c r="SBH101" t="s">
        <v>455</v>
      </c>
      <c r="SBI101" t="s">
        <v>455</v>
      </c>
      <c r="SBJ101" t="s">
        <v>455</v>
      </c>
      <c r="SBK101" t="s">
        <v>455</v>
      </c>
      <c r="SBL101" t="s">
        <v>455</v>
      </c>
      <c r="SBM101" t="s">
        <v>455</v>
      </c>
      <c r="SBN101" t="s">
        <v>455</v>
      </c>
      <c r="SBO101" t="s">
        <v>455</v>
      </c>
      <c r="SBP101" t="s">
        <v>455</v>
      </c>
      <c r="SBQ101" t="s">
        <v>455</v>
      </c>
      <c r="SBR101" t="s">
        <v>455</v>
      </c>
      <c r="SBS101" t="s">
        <v>455</v>
      </c>
      <c r="SBT101" t="s">
        <v>455</v>
      </c>
      <c r="SBU101" t="s">
        <v>455</v>
      </c>
      <c r="SBV101" t="s">
        <v>455</v>
      </c>
      <c r="SBW101" t="s">
        <v>455</v>
      </c>
      <c r="SBX101" t="s">
        <v>455</v>
      </c>
      <c r="SBY101" t="s">
        <v>455</v>
      </c>
      <c r="SBZ101" t="s">
        <v>455</v>
      </c>
      <c r="SCA101" t="s">
        <v>455</v>
      </c>
      <c r="SCB101" t="s">
        <v>455</v>
      </c>
      <c r="SCC101" t="s">
        <v>455</v>
      </c>
      <c r="SCD101" t="s">
        <v>455</v>
      </c>
      <c r="SCE101" t="s">
        <v>455</v>
      </c>
      <c r="SCF101" t="s">
        <v>455</v>
      </c>
      <c r="SCG101" t="s">
        <v>455</v>
      </c>
      <c r="SCH101" t="s">
        <v>455</v>
      </c>
      <c r="SCI101" t="s">
        <v>455</v>
      </c>
      <c r="SCJ101" t="s">
        <v>455</v>
      </c>
      <c r="SCK101" t="s">
        <v>455</v>
      </c>
      <c r="SCL101" t="s">
        <v>455</v>
      </c>
      <c r="SCM101" t="s">
        <v>455</v>
      </c>
      <c r="SCN101" t="s">
        <v>455</v>
      </c>
      <c r="SCO101" t="s">
        <v>455</v>
      </c>
      <c r="SCP101" t="s">
        <v>455</v>
      </c>
      <c r="SCQ101" t="s">
        <v>455</v>
      </c>
      <c r="SCR101" t="s">
        <v>455</v>
      </c>
      <c r="SCS101" t="s">
        <v>455</v>
      </c>
      <c r="SCT101" t="s">
        <v>455</v>
      </c>
      <c r="SCU101" t="s">
        <v>455</v>
      </c>
      <c r="SCV101" t="s">
        <v>455</v>
      </c>
      <c r="SCW101" t="s">
        <v>455</v>
      </c>
      <c r="SCX101" t="s">
        <v>455</v>
      </c>
      <c r="SCY101" t="s">
        <v>455</v>
      </c>
      <c r="SCZ101" t="s">
        <v>455</v>
      </c>
      <c r="SDA101" t="s">
        <v>455</v>
      </c>
      <c r="SDB101" t="s">
        <v>455</v>
      </c>
      <c r="SDC101" t="s">
        <v>455</v>
      </c>
      <c r="SDD101" t="s">
        <v>455</v>
      </c>
      <c r="SDE101" t="s">
        <v>455</v>
      </c>
      <c r="SDF101" t="s">
        <v>455</v>
      </c>
      <c r="SDG101" t="s">
        <v>455</v>
      </c>
      <c r="SDH101" t="s">
        <v>455</v>
      </c>
      <c r="SDI101" t="s">
        <v>455</v>
      </c>
      <c r="SDJ101" t="s">
        <v>455</v>
      </c>
      <c r="SDK101" t="s">
        <v>455</v>
      </c>
      <c r="SDL101" t="s">
        <v>455</v>
      </c>
      <c r="SDM101" t="s">
        <v>455</v>
      </c>
      <c r="SDN101" t="s">
        <v>455</v>
      </c>
      <c r="SDO101" t="s">
        <v>455</v>
      </c>
      <c r="SDP101" t="s">
        <v>455</v>
      </c>
      <c r="SDQ101" t="s">
        <v>455</v>
      </c>
      <c r="SDR101" t="s">
        <v>455</v>
      </c>
      <c r="SDS101" t="s">
        <v>455</v>
      </c>
      <c r="SDT101" t="s">
        <v>455</v>
      </c>
      <c r="SDU101" t="s">
        <v>455</v>
      </c>
      <c r="SDV101" t="s">
        <v>455</v>
      </c>
      <c r="SDW101" t="s">
        <v>455</v>
      </c>
      <c r="SDX101" t="s">
        <v>455</v>
      </c>
      <c r="SDY101" t="s">
        <v>455</v>
      </c>
      <c r="SDZ101" t="s">
        <v>455</v>
      </c>
      <c r="SEA101" t="s">
        <v>455</v>
      </c>
      <c r="SEB101" t="s">
        <v>455</v>
      </c>
      <c r="SEC101" t="s">
        <v>455</v>
      </c>
      <c r="SED101" t="s">
        <v>455</v>
      </c>
      <c r="SEE101" t="s">
        <v>455</v>
      </c>
      <c r="SEF101" t="s">
        <v>455</v>
      </c>
      <c r="SEG101" t="s">
        <v>455</v>
      </c>
      <c r="SEH101" t="s">
        <v>455</v>
      </c>
      <c r="SEI101" t="s">
        <v>455</v>
      </c>
      <c r="SEJ101" t="s">
        <v>455</v>
      </c>
      <c r="SEK101" t="s">
        <v>455</v>
      </c>
      <c r="SEL101" t="s">
        <v>455</v>
      </c>
      <c r="SEM101" t="s">
        <v>455</v>
      </c>
      <c r="SEN101" t="s">
        <v>455</v>
      </c>
      <c r="SEO101" t="s">
        <v>455</v>
      </c>
      <c r="SEP101" t="s">
        <v>455</v>
      </c>
      <c r="SEQ101" t="s">
        <v>455</v>
      </c>
      <c r="SER101" t="s">
        <v>455</v>
      </c>
      <c r="SES101" t="s">
        <v>455</v>
      </c>
      <c r="SET101" t="s">
        <v>455</v>
      </c>
      <c r="SEU101" t="s">
        <v>455</v>
      </c>
      <c r="SEV101" t="s">
        <v>455</v>
      </c>
      <c r="SEW101" t="s">
        <v>455</v>
      </c>
      <c r="SEX101" t="s">
        <v>455</v>
      </c>
      <c r="SEY101" t="s">
        <v>455</v>
      </c>
      <c r="SEZ101" t="s">
        <v>455</v>
      </c>
      <c r="SFA101" t="s">
        <v>455</v>
      </c>
      <c r="SFB101" t="s">
        <v>455</v>
      </c>
      <c r="SFC101" t="s">
        <v>455</v>
      </c>
      <c r="SFD101" t="s">
        <v>455</v>
      </c>
      <c r="SFE101" t="s">
        <v>455</v>
      </c>
      <c r="SFF101" t="s">
        <v>455</v>
      </c>
      <c r="SFG101" t="s">
        <v>455</v>
      </c>
      <c r="SFH101" t="s">
        <v>455</v>
      </c>
      <c r="SFI101" t="s">
        <v>455</v>
      </c>
      <c r="SFJ101" t="s">
        <v>455</v>
      </c>
      <c r="SFK101" t="s">
        <v>455</v>
      </c>
      <c r="SFL101" t="s">
        <v>455</v>
      </c>
      <c r="SFM101" t="s">
        <v>455</v>
      </c>
      <c r="SFN101" t="s">
        <v>455</v>
      </c>
      <c r="SFO101" t="s">
        <v>455</v>
      </c>
      <c r="SFP101" t="s">
        <v>455</v>
      </c>
      <c r="SFQ101" t="s">
        <v>455</v>
      </c>
      <c r="SFR101" t="s">
        <v>455</v>
      </c>
      <c r="SFS101" t="s">
        <v>455</v>
      </c>
      <c r="SFT101" t="s">
        <v>455</v>
      </c>
      <c r="SFU101" t="s">
        <v>455</v>
      </c>
      <c r="SFV101" t="s">
        <v>455</v>
      </c>
      <c r="SFW101" t="s">
        <v>455</v>
      </c>
      <c r="SFX101" t="s">
        <v>455</v>
      </c>
      <c r="SFY101" t="s">
        <v>455</v>
      </c>
      <c r="SFZ101" t="s">
        <v>455</v>
      </c>
      <c r="SGA101" t="s">
        <v>455</v>
      </c>
      <c r="SGB101" t="s">
        <v>455</v>
      </c>
      <c r="SGC101" t="s">
        <v>455</v>
      </c>
      <c r="SGD101" t="s">
        <v>455</v>
      </c>
      <c r="SGE101" t="s">
        <v>455</v>
      </c>
      <c r="SGF101" t="s">
        <v>455</v>
      </c>
      <c r="SGG101" t="s">
        <v>455</v>
      </c>
      <c r="SGH101" t="s">
        <v>455</v>
      </c>
      <c r="SGI101" t="s">
        <v>455</v>
      </c>
      <c r="SGJ101" t="s">
        <v>455</v>
      </c>
      <c r="SGK101" t="s">
        <v>455</v>
      </c>
      <c r="SGL101" t="s">
        <v>455</v>
      </c>
      <c r="SGM101" t="s">
        <v>455</v>
      </c>
      <c r="SGN101" t="s">
        <v>455</v>
      </c>
      <c r="SGO101" t="s">
        <v>455</v>
      </c>
      <c r="SGP101" t="s">
        <v>455</v>
      </c>
      <c r="SGQ101" t="s">
        <v>455</v>
      </c>
      <c r="SGR101" t="s">
        <v>455</v>
      </c>
      <c r="SGS101" t="s">
        <v>455</v>
      </c>
      <c r="SGT101" t="s">
        <v>455</v>
      </c>
      <c r="SGU101" t="s">
        <v>455</v>
      </c>
      <c r="SGV101" t="s">
        <v>455</v>
      </c>
      <c r="SGW101" t="s">
        <v>455</v>
      </c>
      <c r="SGX101" t="s">
        <v>455</v>
      </c>
      <c r="SGY101" t="s">
        <v>455</v>
      </c>
      <c r="SGZ101" t="s">
        <v>455</v>
      </c>
      <c r="SHA101" t="s">
        <v>455</v>
      </c>
      <c r="SHB101" t="s">
        <v>455</v>
      </c>
      <c r="SHC101" t="s">
        <v>455</v>
      </c>
      <c r="SHD101" t="s">
        <v>455</v>
      </c>
      <c r="SHE101" t="s">
        <v>455</v>
      </c>
      <c r="SHF101" t="s">
        <v>455</v>
      </c>
      <c r="SHG101" t="s">
        <v>455</v>
      </c>
      <c r="SHH101" t="s">
        <v>455</v>
      </c>
      <c r="SHI101" t="s">
        <v>455</v>
      </c>
      <c r="SHJ101" t="s">
        <v>455</v>
      </c>
      <c r="SHK101" t="s">
        <v>455</v>
      </c>
      <c r="SHL101" t="s">
        <v>455</v>
      </c>
      <c r="SHM101" t="s">
        <v>455</v>
      </c>
      <c r="SHN101" t="s">
        <v>455</v>
      </c>
      <c r="SHO101" t="s">
        <v>455</v>
      </c>
      <c r="SHP101" t="s">
        <v>455</v>
      </c>
      <c r="SHQ101" t="s">
        <v>455</v>
      </c>
      <c r="SHR101" t="s">
        <v>455</v>
      </c>
      <c r="SHS101" t="s">
        <v>455</v>
      </c>
      <c r="SHT101" t="s">
        <v>455</v>
      </c>
      <c r="SHU101" t="s">
        <v>455</v>
      </c>
      <c r="SHV101" t="s">
        <v>455</v>
      </c>
      <c r="SHW101" t="s">
        <v>455</v>
      </c>
      <c r="SHX101" t="s">
        <v>455</v>
      </c>
      <c r="SHY101" t="s">
        <v>455</v>
      </c>
      <c r="SHZ101" t="s">
        <v>455</v>
      </c>
      <c r="SIA101" t="s">
        <v>455</v>
      </c>
      <c r="SIB101" t="s">
        <v>455</v>
      </c>
      <c r="SIC101" t="s">
        <v>455</v>
      </c>
      <c r="SID101" t="s">
        <v>455</v>
      </c>
      <c r="SIE101" t="s">
        <v>455</v>
      </c>
      <c r="SIF101" t="s">
        <v>455</v>
      </c>
      <c r="SIG101" t="s">
        <v>455</v>
      </c>
      <c r="SIH101" t="s">
        <v>455</v>
      </c>
      <c r="SII101" t="s">
        <v>455</v>
      </c>
      <c r="SIJ101" t="s">
        <v>455</v>
      </c>
      <c r="SIK101" t="s">
        <v>455</v>
      </c>
      <c r="SIL101" t="s">
        <v>455</v>
      </c>
      <c r="SIM101" t="s">
        <v>455</v>
      </c>
      <c r="SIN101" t="s">
        <v>455</v>
      </c>
      <c r="SIO101" t="s">
        <v>455</v>
      </c>
      <c r="SIP101" t="s">
        <v>455</v>
      </c>
      <c r="SIQ101" t="s">
        <v>455</v>
      </c>
      <c r="SIR101" t="s">
        <v>455</v>
      </c>
      <c r="SIS101" t="s">
        <v>455</v>
      </c>
      <c r="SIT101" t="s">
        <v>455</v>
      </c>
      <c r="SIU101" t="s">
        <v>455</v>
      </c>
      <c r="SIV101" t="s">
        <v>455</v>
      </c>
      <c r="SIW101" t="s">
        <v>455</v>
      </c>
      <c r="SIX101" t="s">
        <v>455</v>
      </c>
      <c r="SIY101" t="s">
        <v>455</v>
      </c>
      <c r="SIZ101" t="s">
        <v>455</v>
      </c>
      <c r="SJA101" t="s">
        <v>455</v>
      </c>
      <c r="SJB101" t="s">
        <v>455</v>
      </c>
      <c r="SJC101" t="s">
        <v>455</v>
      </c>
      <c r="SJD101" t="s">
        <v>455</v>
      </c>
      <c r="SJE101" t="s">
        <v>455</v>
      </c>
      <c r="SJF101" t="s">
        <v>455</v>
      </c>
      <c r="SJG101" t="s">
        <v>455</v>
      </c>
      <c r="SJH101" t="s">
        <v>455</v>
      </c>
      <c r="SJI101" t="s">
        <v>455</v>
      </c>
      <c r="SJJ101" t="s">
        <v>455</v>
      </c>
      <c r="SJK101" t="s">
        <v>455</v>
      </c>
      <c r="SJL101" t="s">
        <v>455</v>
      </c>
      <c r="SJM101" t="s">
        <v>455</v>
      </c>
      <c r="SJN101" t="s">
        <v>455</v>
      </c>
      <c r="SJO101" t="s">
        <v>455</v>
      </c>
      <c r="SJP101" t="s">
        <v>455</v>
      </c>
      <c r="SJQ101" t="s">
        <v>455</v>
      </c>
      <c r="SJR101" t="s">
        <v>455</v>
      </c>
      <c r="SJS101" t="s">
        <v>455</v>
      </c>
      <c r="SJT101" t="s">
        <v>455</v>
      </c>
      <c r="SJU101" t="s">
        <v>455</v>
      </c>
      <c r="SJV101" t="s">
        <v>455</v>
      </c>
      <c r="SJW101" t="s">
        <v>455</v>
      </c>
      <c r="SJX101" t="s">
        <v>455</v>
      </c>
      <c r="SJY101" t="s">
        <v>455</v>
      </c>
      <c r="SJZ101" t="s">
        <v>455</v>
      </c>
      <c r="SKA101" t="s">
        <v>455</v>
      </c>
      <c r="SKB101" t="s">
        <v>455</v>
      </c>
      <c r="SKC101" t="s">
        <v>455</v>
      </c>
      <c r="SKD101" t="s">
        <v>455</v>
      </c>
      <c r="SKE101" t="s">
        <v>455</v>
      </c>
      <c r="SKF101" t="s">
        <v>455</v>
      </c>
      <c r="SKG101" t="s">
        <v>455</v>
      </c>
      <c r="SKH101" t="s">
        <v>455</v>
      </c>
      <c r="SKI101" t="s">
        <v>455</v>
      </c>
      <c r="SKJ101" t="s">
        <v>455</v>
      </c>
      <c r="SKK101" t="s">
        <v>455</v>
      </c>
      <c r="SKL101" t="s">
        <v>455</v>
      </c>
      <c r="SKM101" t="s">
        <v>455</v>
      </c>
      <c r="SKN101" t="s">
        <v>455</v>
      </c>
      <c r="SKO101" t="s">
        <v>455</v>
      </c>
      <c r="SKP101" t="s">
        <v>455</v>
      </c>
      <c r="SKQ101" t="s">
        <v>455</v>
      </c>
      <c r="SKR101" t="s">
        <v>455</v>
      </c>
      <c r="SKS101" t="s">
        <v>455</v>
      </c>
      <c r="SKT101" t="s">
        <v>455</v>
      </c>
      <c r="SKU101" t="s">
        <v>455</v>
      </c>
      <c r="SKV101" t="s">
        <v>455</v>
      </c>
      <c r="SKW101" t="s">
        <v>455</v>
      </c>
      <c r="SKX101" t="s">
        <v>455</v>
      </c>
      <c r="SKY101" t="s">
        <v>455</v>
      </c>
      <c r="SKZ101" t="s">
        <v>455</v>
      </c>
      <c r="SLA101" t="s">
        <v>455</v>
      </c>
      <c r="SLB101" t="s">
        <v>455</v>
      </c>
      <c r="SLC101" t="s">
        <v>455</v>
      </c>
      <c r="SLD101" t="s">
        <v>455</v>
      </c>
      <c r="SLE101" t="s">
        <v>455</v>
      </c>
      <c r="SLF101" t="s">
        <v>455</v>
      </c>
      <c r="SLG101" t="s">
        <v>455</v>
      </c>
      <c r="SLH101" t="s">
        <v>455</v>
      </c>
      <c r="SLI101" t="s">
        <v>455</v>
      </c>
      <c r="SLJ101" t="s">
        <v>455</v>
      </c>
      <c r="SLK101" t="s">
        <v>455</v>
      </c>
      <c r="SLL101" t="s">
        <v>455</v>
      </c>
      <c r="SLM101" t="s">
        <v>455</v>
      </c>
      <c r="SLN101" t="s">
        <v>455</v>
      </c>
      <c r="SLO101" t="s">
        <v>455</v>
      </c>
      <c r="SLP101" t="s">
        <v>455</v>
      </c>
      <c r="SLQ101" t="s">
        <v>455</v>
      </c>
      <c r="SLR101" t="s">
        <v>455</v>
      </c>
      <c r="SLS101" t="s">
        <v>455</v>
      </c>
      <c r="SLT101" t="s">
        <v>455</v>
      </c>
      <c r="SLU101" t="s">
        <v>455</v>
      </c>
      <c r="SLV101" t="s">
        <v>455</v>
      </c>
      <c r="SLW101" t="s">
        <v>455</v>
      </c>
      <c r="SLX101" t="s">
        <v>455</v>
      </c>
      <c r="SLY101" t="s">
        <v>455</v>
      </c>
      <c r="SLZ101" t="s">
        <v>455</v>
      </c>
      <c r="SMA101" t="s">
        <v>455</v>
      </c>
      <c r="SMB101" t="s">
        <v>455</v>
      </c>
      <c r="SMC101" t="s">
        <v>455</v>
      </c>
      <c r="SMD101" t="s">
        <v>455</v>
      </c>
      <c r="SME101" t="s">
        <v>455</v>
      </c>
      <c r="SMF101" t="s">
        <v>455</v>
      </c>
      <c r="SMG101" t="s">
        <v>455</v>
      </c>
      <c r="SMH101" t="s">
        <v>455</v>
      </c>
      <c r="SMI101" t="s">
        <v>455</v>
      </c>
      <c r="SMJ101" t="s">
        <v>455</v>
      </c>
      <c r="SMK101" t="s">
        <v>455</v>
      </c>
      <c r="SML101" t="s">
        <v>455</v>
      </c>
      <c r="SMM101" t="s">
        <v>455</v>
      </c>
      <c r="SMN101" t="s">
        <v>455</v>
      </c>
      <c r="SMO101" t="s">
        <v>455</v>
      </c>
      <c r="SMP101" t="s">
        <v>455</v>
      </c>
      <c r="SMQ101" t="s">
        <v>455</v>
      </c>
      <c r="SMR101" t="s">
        <v>455</v>
      </c>
      <c r="SMS101" t="s">
        <v>455</v>
      </c>
      <c r="SMT101" t="s">
        <v>455</v>
      </c>
      <c r="SMU101" t="s">
        <v>455</v>
      </c>
      <c r="SMV101" t="s">
        <v>455</v>
      </c>
      <c r="SMW101" t="s">
        <v>455</v>
      </c>
      <c r="SMX101" t="s">
        <v>455</v>
      </c>
      <c r="SMY101" t="s">
        <v>455</v>
      </c>
      <c r="SMZ101" t="s">
        <v>455</v>
      </c>
      <c r="SNA101" t="s">
        <v>455</v>
      </c>
      <c r="SNB101" t="s">
        <v>455</v>
      </c>
      <c r="SNC101" t="s">
        <v>455</v>
      </c>
      <c r="SND101" t="s">
        <v>455</v>
      </c>
      <c r="SNE101" t="s">
        <v>455</v>
      </c>
      <c r="SNF101" t="s">
        <v>455</v>
      </c>
      <c r="SNG101" t="s">
        <v>455</v>
      </c>
      <c r="SNH101" t="s">
        <v>455</v>
      </c>
      <c r="SNI101" t="s">
        <v>455</v>
      </c>
      <c r="SNJ101" t="s">
        <v>455</v>
      </c>
      <c r="SNK101" t="s">
        <v>455</v>
      </c>
      <c r="SNL101" t="s">
        <v>455</v>
      </c>
      <c r="SNM101" t="s">
        <v>455</v>
      </c>
      <c r="SNN101" t="s">
        <v>455</v>
      </c>
      <c r="SNO101" t="s">
        <v>455</v>
      </c>
      <c r="SNP101" t="s">
        <v>455</v>
      </c>
      <c r="SNQ101" t="s">
        <v>455</v>
      </c>
      <c r="SNR101" t="s">
        <v>455</v>
      </c>
      <c r="SNS101" t="s">
        <v>455</v>
      </c>
      <c r="SNT101" t="s">
        <v>455</v>
      </c>
      <c r="SNU101" t="s">
        <v>455</v>
      </c>
      <c r="SNV101" t="s">
        <v>455</v>
      </c>
      <c r="SNW101" t="s">
        <v>455</v>
      </c>
      <c r="SNX101" t="s">
        <v>455</v>
      </c>
      <c r="SNY101" t="s">
        <v>455</v>
      </c>
      <c r="SNZ101" t="s">
        <v>455</v>
      </c>
      <c r="SOA101" t="s">
        <v>455</v>
      </c>
      <c r="SOB101" t="s">
        <v>455</v>
      </c>
      <c r="SOC101" t="s">
        <v>455</v>
      </c>
      <c r="SOD101" t="s">
        <v>455</v>
      </c>
      <c r="SOE101" t="s">
        <v>455</v>
      </c>
      <c r="SOF101" t="s">
        <v>455</v>
      </c>
      <c r="SOG101" t="s">
        <v>455</v>
      </c>
      <c r="SOH101" t="s">
        <v>455</v>
      </c>
      <c r="SOI101" t="s">
        <v>455</v>
      </c>
      <c r="SOJ101" t="s">
        <v>455</v>
      </c>
      <c r="SOK101" t="s">
        <v>455</v>
      </c>
      <c r="SOL101" t="s">
        <v>455</v>
      </c>
      <c r="SOM101" t="s">
        <v>455</v>
      </c>
      <c r="SON101" t="s">
        <v>455</v>
      </c>
      <c r="SOO101" t="s">
        <v>455</v>
      </c>
      <c r="SOP101" t="s">
        <v>455</v>
      </c>
      <c r="SOQ101" t="s">
        <v>455</v>
      </c>
      <c r="SOR101" t="s">
        <v>455</v>
      </c>
      <c r="SOS101" t="s">
        <v>455</v>
      </c>
      <c r="SOT101" t="s">
        <v>455</v>
      </c>
      <c r="SOU101" t="s">
        <v>455</v>
      </c>
      <c r="SOV101" t="s">
        <v>455</v>
      </c>
      <c r="SOW101" t="s">
        <v>455</v>
      </c>
      <c r="SOX101" t="s">
        <v>455</v>
      </c>
      <c r="SOY101" t="s">
        <v>455</v>
      </c>
      <c r="SOZ101" t="s">
        <v>455</v>
      </c>
      <c r="SPA101" t="s">
        <v>455</v>
      </c>
      <c r="SPB101" t="s">
        <v>455</v>
      </c>
      <c r="SPC101" t="s">
        <v>455</v>
      </c>
      <c r="SPD101" t="s">
        <v>455</v>
      </c>
      <c r="SPE101" t="s">
        <v>455</v>
      </c>
      <c r="SPF101" t="s">
        <v>455</v>
      </c>
      <c r="SPG101" t="s">
        <v>455</v>
      </c>
      <c r="SPH101" t="s">
        <v>455</v>
      </c>
      <c r="SPI101" t="s">
        <v>455</v>
      </c>
      <c r="SPJ101" t="s">
        <v>455</v>
      </c>
      <c r="SPK101" t="s">
        <v>455</v>
      </c>
      <c r="SPL101" t="s">
        <v>455</v>
      </c>
      <c r="SPM101" t="s">
        <v>455</v>
      </c>
      <c r="SPN101" t="s">
        <v>455</v>
      </c>
      <c r="SPO101" t="s">
        <v>455</v>
      </c>
      <c r="SPP101" t="s">
        <v>455</v>
      </c>
      <c r="SPQ101" t="s">
        <v>455</v>
      </c>
      <c r="SPR101" t="s">
        <v>455</v>
      </c>
      <c r="SPS101" t="s">
        <v>455</v>
      </c>
      <c r="SPT101" t="s">
        <v>455</v>
      </c>
      <c r="SPU101" t="s">
        <v>455</v>
      </c>
      <c r="SPV101" t="s">
        <v>455</v>
      </c>
      <c r="SPW101" t="s">
        <v>455</v>
      </c>
      <c r="SPX101" t="s">
        <v>455</v>
      </c>
      <c r="SPY101" t="s">
        <v>455</v>
      </c>
      <c r="SPZ101" t="s">
        <v>455</v>
      </c>
      <c r="SQA101" t="s">
        <v>455</v>
      </c>
      <c r="SQB101" t="s">
        <v>455</v>
      </c>
      <c r="SQC101" t="s">
        <v>455</v>
      </c>
      <c r="SQD101" t="s">
        <v>455</v>
      </c>
      <c r="SQE101" t="s">
        <v>455</v>
      </c>
      <c r="SQF101" t="s">
        <v>455</v>
      </c>
      <c r="SQG101" t="s">
        <v>455</v>
      </c>
      <c r="SQH101" t="s">
        <v>455</v>
      </c>
      <c r="SQI101" t="s">
        <v>455</v>
      </c>
      <c r="SQJ101" t="s">
        <v>455</v>
      </c>
      <c r="SQK101" t="s">
        <v>455</v>
      </c>
      <c r="SQL101" t="s">
        <v>455</v>
      </c>
      <c r="SQM101" t="s">
        <v>455</v>
      </c>
      <c r="SQN101" t="s">
        <v>455</v>
      </c>
      <c r="SQO101" t="s">
        <v>455</v>
      </c>
      <c r="SQP101" t="s">
        <v>455</v>
      </c>
      <c r="SQQ101" t="s">
        <v>455</v>
      </c>
      <c r="SQR101" t="s">
        <v>455</v>
      </c>
      <c r="SQS101" t="s">
        <v>455</v>
      </c>
      <c r="SQT101" t="s">
        <v>455</v>
      </c>
      <c r="SQU101" t="s">
        <v>455</v>
      </c>
      <c r="SQV101" t="s">
        <v>455</v>
      </c>
      <c r="SQW101" t="s">
        <v>455</v>
      </c>
      <c r="SQX101" t="s">
        <v>455</v>
      </c>
      <c r="SQY101" t="s">
        <v>455</v>
      </c>
      <c r="SQZ101" t="s">
        <v>455</v>
      </c>
      <c r="SRA101" t="s">
        <v>455</v>
      </c>
      <c r="SRB101" t="s">
        <v>455</v>
      </c>
      <c r="SRC101" t="s">
        <v>455</v>
      </c>
      <c r="SRD101" t="s">
        <v>455</v>
      </c>
      <c r="SRE101" t="s">
        <v>455</v>
      </c>
      <c r="SRF101" t="s">
        <v>455</v>
      </c>
      <c r="SRG101" t="s">
        <v>455</v>
      </c>
      <c r="SRH101" t="s">
        <v>455</v>
      </c>
      <c r="SRI101" t="s">
        <v>455</v>
      </c>
      <c r="SRJ101" t="s">
        <v>455</v>
      </c>
      <c r="SRK101" t="s">
        <v>455</v>
      </c>
      <c r="SRL101" t="s">
        <v>455</v>
      </c>
      <c r="SRM101" t="s">
        <v>455</v>
      </c>
      <c r="SRN101" t="s">
        <v>455</v>
      </c>
      <c r="SRO101" t="s">
        <v>455</v>
      </c>
      <c r="SRP101" t="s">
        <v>455</v>
      </c>
      <c r="SRQ101" t="s">
        <v>455</v>
      </c>
      <c r="SRR101" t="s">
        <v>455</v>
      </c>
      <c r="SRS101" t="s">
        <v>455</v>
      </c>
      <c r="SRT101" t="s">
        <v>455</v>
      </c>
      <c r="SRU101" t="s">
        <v>455</v>
      </c>
      <c r="SRV101" t="s">
        <v>455</v>
      </c>
      <c r="SRW101" t="s">
        <v>455</v>
      </c>
      <c r="SRX101" t="s">
        <v>455</v>
      </c>
      <c r="SRY101" t="s">
        <v>455</v>
      </c>
      <c r="SRZ101" t="s">
        <v>455</v>
      </c>
      <c r="SSA101" t="s">
        <v>455</v>
      </c>
      <c r="SSB101" t="s">
        <v>455</v>
      </c>
      <c r="SSC101" t="s">
        <v>455</v>
      </c>
      <c r="SSD101" t="s">
        <v>455</v>
      </c>
      <c r="SSE101" t="s">
        <v>455</v>
      </c>
      <c r="SSF101" t="s">
        <v>455</v>
      </c>
      <c r="SSG101" t="s">
        <v>455</v>
      </c>
      <c r="SSH101" t="s">
        <v>455</v>
      </c>
      <c r="SSI101" t="s">
        <v>455</v>
      </c>
      <c r="SSJ101" t="s">
        <v>455</v>
      </c>
      <c r="SSK101" t="s">
        <v>455</v>
      </c>
      <c r="SSL101" t="s">
        <v>455</v>
      </c>
      <c r="SSM101" t="s">
        <v>455</v>
      </c>
      <c r="SSN101" t="s">
        <v>455</v>
      </c>
      <c r="SSO101" t="s">
        <v>455</v>
      </c>
      <c r="SSP101" t="s">
        <v>455</v>
      </c>
      <c r="SSQ101" t="s">
        <v>455</v>
      </c>
      <c r="SSR101" t="s">
        <v>455</v>
      </c>
      <c r="SSS101" t="s">
        <v>455</v>
      </c>
      <c r="SST101" t="s">
        <v>455</v>
      </c>
      <c r="SSU101" t="s">
        <v>455</v>
      </c>
      <c r="SSV101" t="s">
        <v>455</v>
      </c>
      <c r="SSW101" t="s">
        <v>455</v>
      </c>
      <c r="SSX101" t="s">
        <v>455</v>
      </c>
      <c r="SSY101" t="s">
        <v>455</v>
      </c>
      <c r="SSZ101" t="s">
        <v>455</v>
      </c>
      <c r="STA101" t="s">
        <v>455</v>
      </c>
      <c r="STB101" t="s">
        <v>455</v>
      </c>
      <c r="STC101" t="s">
        <v>455</v>
      </c>
      <c r="STD101" t="s">
        <v>455</v>
      </c>
      <c r="STE101" t="s">
        <v>455</v>
      </c>
      <c r="STF101" t="s">
        <v>455</v>
      </c>
      <c r="STG101" t="s">
        <v>455</v>
      </c>
      <c r="STH101" t="s">
        <v>455</v>
      </c>
      <c r="STI101" t="s">
        <v>455</v>
      </c>
      <c r="STJ101" t="s">
        <v>455</v>
      </c>
      <c r="STK101" t="s">
        <v>455</v>
      </c>
      <c r="STL101" t="s">
        <v>455</v>
      </c>
      <c r="STM101" t="s">
        <v>455</v>
      </c>
      <c r="STN101" t="s">
        <v>455</v>
      </c>
      <c r="STO101" t="s">
        <v>455</v>
      </c>
      <c r="STP101" t="s">
        <v>455</v>
      </c>
      <c r="STQ101" t="s">
        <v>455</v>
      </c>
      <c r="STR101" t="s">
        <v>455</v>
      </c>
      <c r="STS101" t="s">
        <v>455</v>
      </c>
      <c r="STT101" t="s">
        <v>455</v>
      </c>
      <c r="STU101" t="s">
        <v>455</v>
      </c>
      <c r="STV101" t="s">
        <v>455</v>
      </c>
      <c r="STW101" t="s">
        <v>455</v>
      </c>
      <c r="STX101" t="s">
        <v>455</v>
      </c>
      <c r="STY101" t="s">
        <v>455</v>
      </c>
      <c r="STZ101" t="s">
        <v>455</v>
      </c>
      <c r="SUA101" t="s">
        <v>455</v>
      </c>
      <c r="SUB101" t="s">
        <v>455</v>
      </c>
      <c r="SUC101" t="s">
        <v>455</v>
      </c>
      <c r="SUD101" t="s">
        <v>455</v>
      </c>
      <c r="SUE101" t="s">
        <v>455</v>
      </c>
      <c r="SUF101" t="s">
        <v>455</v>
      </c>
      <c r="SUG101" t="s">
        <v>455</v>
      </c>
      <c r="SUH101" t="s">
        <v>455</v>
      </c>
      <c r="SUI101" t="s">
        <v>455</v>
      </c>
      <c r="SUJ101" t="s">
        <v>455</v>
      </c>
      <c r="SUK101" t="s">
        <v>455</v>
      </c>
      <c r="SUL101" t="s">
        <v>455</v>
      </c>
      <c r="SUM101" t="s">
        <v>455</v>
      </c>
      <c r="SUN101" t="s">
        <v>455</v>
      </c>
      <c r="SUO101" t="s">
        <v>455</v>
      </c>
      <c r="SUP101" t="s">
        <v>455</v>
      </c>
      <c r="SUQ101" t="s">
        <v>455</v>
      </c>
      <c r="SUR101" t="s">
        <v>455</v>
      </c>
      <c r="SUS101" t="s">
        <v>455</v>
      </c>
      <c r="SUT101" t="s">
        <v>455</v>
      </c>
      <c r="SUU101" t="s">
        <v>455</v>
      </c>
      <c r="SUV101" t="s">
        <v>455</v>
      </c>
      <c r="SUW101" t="s">
        <v>455</v>
      </c>
      <c r="SUX101" t="s">
        <v>455</v>
      </c>
      <c r="SUY101" t="s">
        <v>455</v>
      </c>
      <c r="SUZ101" t="s">
        <v>455</v>
      </c>
      <c r="SVA101" t="s">
        <v>455</v>
      </c>
      <c r="SVB101" t="s">
        <v>455</v>
      </c>
      <c r="SVC101" t="s">
        <v>455</v>
      </c>
      <c r="SVD101" t="s">
        <v>455</v>
      </c>
      <c r="SVE101" t="s">
        <v>455</v>
      </c>
      <c r="SVF101" t="s">
        <v>455</v>
      </c>
      <c r="SVG101" t="s">
        <v>455</v>
      </c>
      <c r="SVH101" t="s">
        <v>455</v>
      </c>
      <c r="SVI101" t="s">
        <v>455</v>
      </c>
      <c r="SVJ101" t="s">
        <v>455</v>
      </c>
      <c r="SVK101" t="s">
        <v>455</v>
      </c>
      <c r="SVL101" t="s">
        <v>455</v>
      </c>
      <c r="SVM101" t="s">
        <v>455</v>
      </c>
      <c r="SVN101" t="s">
        <v>455</v>
      </c>
      <c r="SVO101" t="s">
        <v>455</v>
      </c>
      <c r="SVP101" t="s">
        <v>455</v>
      </c>
      <c r="SVQ101" t="s">
        <v>455</v>
      </c>
      <c r="SVR101" t="s">
        <v>455</v>
      </c>
      <c r="SVS101" t="s">
        <v>455</v>
      </c>
      <c r="SVT101" t="s">
        <v>455</v>
      </c>
      <c r="SVU101" t="s">
        <v>455</v>
      </c>
      <c r="SVV101" t="s">
        <v>455</v>
      </c>
      <c r="SVW101" t="s">
        <v>455</v>
      </c>
      <c r="SVX101" t="s">
        <v>455</v>
      </c>
      <c r="SVY101" t="s">
        <v>455</v>
      </c>
      <c r="SVZ101" t="s">
        <v>455</v>
      </c>
      <c r="SWA101" t="s">
        <v>455</v>
      </c>
      <c r="SWB101" t="s">
        <v>455</v>
      </c>
      <c r="SWC101" t="s">
        <v>455</v>
      </c>
      <c r="SWD101" t="s">
        <v>455</v>
      </c>
      <c r="SWE101" t="s">
        <v>455</v>
      </c>
      <c r="SWF101" t="s">
        <v>455</v>
      </c>
      <c r="SWG101" t="s">
        <v>455</v>
      </c>
      <c r="SWH101" t="s">
        <v>455</v>
      </c>
      <c r="SWI101" t="s">
        <v>455</v>
      </c>
      <c r="SWJ101" t="s">
        <v>455</v>
      </c>
      <c r="SWK101" t="s">
        <v>455</v>
      </c>
      <c r="SWL101" t="s">
        <v>455</v>
      </c>
      <c r="SWM101" t="s">
        <v>455</v>
      </c>
      <c r="SWN101" t="s">
        <v>455</v>
      </c>
      <c r="SWO101" t="s">
        <v>455</v>
      </c>
      <c r="SWP101" t="s">
        <v>455</v>
      </c>
      <c r="SWQ101" t="s">
        <v>455</v>
      </c>
      <c r="SWR101" t="s">
        <v>455</v>
      </c>
      <c r="SWS101" t="s">
        <v>455</v>
      </c>
      <c r="SWT101" t="s">
        <v>455</v>
      </c>
      <c r="SWU101" t="s">
        <v>455</v>
      </c>
      <c r="SWV101" t="s">
        <v>455</v>
      </c>
      <c r="SWW101" t="s">
        <v>455</v>
      </c>
      <c r="SWX101" t="s">
        <v>455</v>
      </c>
      <c r="SWY101" t="s">
        <v>455</v>
      </c>
      <c r="SWZ101" t="s">
        <v>455</v>
      </c>
      <c r="SXA101" t="s">
        <v>455</v>
      </c>
      <c r="SXB101" t="s">
        <v>455</v>
      </c>
      <c r="SXC101" t="s">
        <v>455</v>
      </c>
      <c r="SXD101" t="s">
        <v>455</v>
      </c>
      <c r="SXE101" t="s">
        <v>455</v>
      </c>
      <c r="SXF101" t="s">
        <v>455</v>
      </c>
      <c r="SXG101" t="s">
        <v>455</v>
      </c>
      <c r="SXH101" t="s">
        <v>455</v>
      </c>
      <c r="SXI101" t="s">
        <v>455</v>
      </c>
      <c r="SXJ101" t="s">
        <v>455</v>
      </c>
      <c r="SXK101" t="s">
        <v>455</v>
      </c>
      <c r="SXL101" t="s">
        <v>455</v>
      </c>
      <c r="SXM101" t="s">
        <v>455</v>
      </c>
      <c r="SXN101" t="s">
        <v>455</v>
      </c>
      <c r="SXO101" t="s">
        <v>455</v>
      </c>
      <c r="SXP101" t="s">
        <v>455</v>
      </c>
      <c r="SXQ101" t="s">
        <v>455</v>
      </c>
      <c r="SXR101" t="s">
        <v>455</v>
      </c>
      <c r="SXS101" t="s">
        <v>455</v>
      </c>
      <c r="SXT101" t="s">
        <v>455</v>
      </c>
      <c r="SXU101" t="s">
        <v>455</v>
      </c>
      <c r="SXV101" t="s">
        <v>455</v>
      </c>
      <c r="SXW101" t="s">
        <v>455</v>
      </c>
      <c r="SXX101" t="s">
        <v>455</v>
      </c>
      <c r="SXY101" t="s">
        <v>455</v>
      </c>
      <c r="SXZ101" t="s">
        <v>455</v>
      </c>
      <c r="SYA101" t="s">
        <v>455</v>
      </c>
      <c r="SYB101" t="s">
        <v>455</v>
      </c>
      <c r="SYC101" t="s">
        <v>455</v>
      </c>
      <c r="SYD101" t="s">
        <v>455</v>
      </c>
      <c r="SYE101" t="s">
        <v>455</v>
      </c>
      <c r="SYF101" t="s">
        <v>455</v>
      </c>
      <c r="SYG101" t="s">
        <v>455</v>
      </c>
      <c r="SYH101" t="s">
        <v>455</v>
      </c>
      <c r="SYI101" t="s">
        <v>455</v>
      </c>
      <c r="SYJ101" t="s">
        <v>455</v>
      </c>
      <c r="SYK101" t="s">
        <v>455</v>
      </c>
      <c r="SYL101" t="s">
        <v>455</v>
      </c>
      <c r="SYM101" t="s">
        <v>455</v>
      </c>
      <c r="SYN101" t="s">
        <v>455</v>
      </c>
      <c r="SYO101" t="s">
        <v>455</v>
      </c>
      <c r="SYP101" t="s">
        <v>455</v>
      </c>
      <c r="SYQ101" t="s">
        <v>455</v>
      </c>
      <c r="SYR101" t="s">
        <v>455</v>
      </c>
      <c r="SYS101" t="s">
        <v>455</v>
      </c>
      <c r="SYT101" t="s">
        <v>455</v>
      </c>
      <c r="SYU101" t="s">
        <v>455</v>
      </c>
      <c r="SYV101" t="s">
        <v>455</v>
      </c>
      <c r="SYW101" t="s">
        <v>455</v>
      </c>
      <c r="SYX101" t="s">
        <v>455</v>
      </c>
      <c r="SYY101" t="s">
        <v>455</v>
      </c>
      <c r="SYZ101" t="s">
        <v>455</v>
      </c>
      <c r="SZA101" t="s">
        <v>455</v>
      </c>
      <c r="SZB101" t="s">
        <v>455</v>
      </c>
      <c r="SZC101" t="s">
        <v>455</v>
      </c>
      <c r="SZD101" t="s">
        <v>455</v>
      </c>
      <c r="SZE101" t="s">
        <v>455</v>
      </c>
      <c r="SZF101" t="s">
        <v>455</v>
      </c>
      <c r="SZG101" t="s">
        <v>455</v>
      </c>
      <c r="SZH101" t="s">
        <v>455</v>
      </c>
      <c r="SZI101" t="s">
        <v>455</v>
      </c>
      <c r="SZJ101" t="s">
        <v>455</v>
      </c>
      <c r="SZK101" t="s">
        <v>455</v>
      </c>
      <c r="SZL101" t="s">
        <v>455</v>
      </c>
      <c r="SZM101" t="s">
        <v>455</v>
      </c>
      <c r="SZN101" t="s">
        <v>455</v>
      </c>
      <c r="SZO101" t="s">
        <v>455</v>
      </c>
      <c r="SZP101" t="s">
        <v>455</v>
      </c>
      <c r="SZQ101" t="s">
        <v>455</v>
      </c>
      <c r="SZR101" t="s">
        <v>455</v>
      </c>
      <c r="SZS101" t="s">
        <v>455</v>
      </c>
      <c r="SZT101" t="s">
        <v>455</v>
      </c>
      <c r="SZU101" t="s">
        <v>455</v>
      </c>
      <c r="SZV101" t="s">
        <v>455</v>
      </c>
      <c r="SZW101" t="s">
        <v>455</v>
      </c>
      <c r="SZX101" t="s">
        <v>455</v>
      </c>
      <c r="SZY101" t="s">
        <v>455</v>
      </c>
      <c r="SZZ101" t="s">
        <v>455</v>
      </c>
      <c r="TAA101" t="s">
        <v>455</v>
      </c>
      <c r="TAB101" t="s">
        <v>455</v>
      </c>
      <c r="TAC101" t="s">
        <v>455</v>
      </c>
      <c r="TAD101" t="s">
        <v>455</v>
      </c>
      <c r="TAE101" t="s">
        <v>455</v>
      </c>
      <c r="TAF101" t="s">
        <v>455</v>
      </c>
      <c r="TAG101" t="s">
        <v>455</v>
      </c>
      <c r="TAH101" t="s">
        <v>455</v>
      </c>
      <c r="TAI101" t="s">
        <v>455</v>
      </c>
      <c r="TAJ101" t="s">
        <v>455</v>
      </c>
      <c r="TAK101" t="s">
        <v>455</v>
      </c>
      <c r="TAL101" t="s">
        <v>455</v>
      </c>
      <c r="TAM101" t="s">
        <v>455</v>
      </c>
      <c r="TAN101" t="s">
        <v>455</v>
      </c>
      <c r="TAO101" t="s">
        <v>455</v>
      </c>
      <c r="TAP101" t="s">
        <v>455</v>
      </c>
      <c r="TAQ101" t="s">
        <v>455</v>
      </c>
      <c r="TAR101" t="s">
        <v>455</v>
      </c>
      <c r="TAS101" t="s">
        <v>455</v>
      </c>
      <c r="TAT101" t="s">
        <v>455</v>
      </c>
      <c r="TAU101" t="s">
        <v>455</v>
      </c>
      <c r="TAV101" t="s">
        <v>455</v>
      </c>
      <c r="TAW101" t="s">
        <v>455</v>
      </c>
      <c r="TAX101" t="s">
        <v>455</v>
      </c>
      <c r="TAY101" t="s">
        <v>455</v>
      </c>
      <c r="TAZ101" t="s">
        <v>455</v>
      </c>
      <c r="TBA101" t="s">
        <v>455</v>
      </c>
      <c r="TBB101" t="s">
        <v>455</v>
      </c>
      <c r="TBC101" t="s">
        <v>455</v>
      </c>
      <c r="TBD101" t="s">
        <v>455</v>
      </c>
      <c r="TBE101" t="s">
        <v>455</v>
      </c>
      <c r="TBF101" t="s">
        <v>455</v>
      </c>
      <c r="TBG101" t="s">
        <v>455</v>
      </c>
      <c r="TBH101" t="s">
        <v>455</v>
      </c>
      <c r="TBI101" t="s">
        <v>455</v>
      </c>
      <c r="TBJ101" t="s">
        <v>455</v>
      </c>
      <c r="TBK101" t="s">
        <v>455</v>
      </c>
      <c r="TBL101" t="s">
        <v>455</v>
      </c>
      <c r="TBM101" t="s">
        <v>455</v>
      </c>
      <c r="TBN101" t="s">
        <v>455</v>
      </c>
      <c r="TBO101" t="s">
        <v>455</v>
      </c>
      <c r="TBP101" t="s">
        <v>455</v>
      </c>
      <c r="TBQ101" t="s">
        <v>455</v>
      </c>
      <c r="TBR101" t="s">
        <v>455</v>
      </c>
      <c r="TBS101" t="s">
        <v>455</v>
      </c>
      <c r="TBT101" t="s">
        <v>455</v>
      </c>
      <c r="TBU101" t="s">
        <v>455</v>
      </c>
      <c r="TBV101" t="s">
        <v>455</v>
      </c>
      <c r="TBW101" t="s">
        <v>455</v>
      </c>
      <c r="TBX101" t="s">
        <v>455</v>
      </c>
      <c r="TBY101" t="s">
        <v>455</v>
      </c>
      <c r="TBZ101" t="s">
        <v>455</v>
      </c>
      <c r="TCA101" t="s">
        <v>455</v>
      </c>
      <c r="TCB101" t="s">
        <v>455</v>
      </c>
      <c r="TCC101" t="s">
        <v>455</v>
      </c>
      <c r="TCD101" t="s">
        <v>455</v>
      </c>
      <c r="TCE101" t="s">
        <v>455</v>
      </c>
      <c r="TCF101" t="s">
        <v>455</v>
      </c>
      <c r="TCG101" t="s">
        <v>455</v>
      </c>
      <c r="TCH101" t="s">
        <v>455</v>
      </c>
      <c r="TCI101" t="s">
        <v>455</v>
      </c>
      <c r="TCJ101" t="s">
        <v>455</v>
      </c>
      <c r="TCK101" t="s">
        <v>455</v>
      </c>
      <c r="TCL101" t="s">
        <v>455</v>
      </c>
      <c r="TCM101" t="s">
        <v>455</v>
      </c>
      <c r="TCN101" t="s">
        <v>455</v>
      </c>
      <c r="TCO101" t="s">
        <v>455</v>
      </c>
      <c r="TCP101" t="s">
        <v>455</v>
      </c>
      <c r="TCQ101" t="s">
        <v>455</v>
      </c>
      <c r="TCR101" t="s">
        <v>455</v>
      </c>
      <c r="TCS101" t="s">
        <v>455</v>
      </c>
      <c r="TCT101" t="s">
        <v>455</v>
      </c>
      <c r="TCU101" t="s">
        <v>455</v>
      </c>
      <c r="TCV101" t="s">
        <v>455</v>
      </c>
      <c r="TCW101" t="s">
        <v>455</v>
      </c>
      <c r="TCX101" t="s">
        <v>455</v>
      </c>
      <c r="TCY101" t="s">
        <v>455</v>
      </c>
      <c r="TCZ101" t="s">
        <v>455</v>
      </c>
      <c r="TDA101" t="s">
        <v>455</v>
      </c>
      <c r="TDB101" t="s">
        <v>455</v>
      </c>
      <c r="TDC101" t="s">
        <v>455</v>
      </c>
      <c r="TDD101" t="s">
        <v>455</v>
      </c>
      <c r="TDE101" t="s">
        <v>455</v>
      </c>
      <c r="TDF101" t="s">
        <v>455</v>
      </c>
      <c r="TDG101" t="s">
        <v>455</v>
      </c>
      <c r="TDH101" t="s">
        <v>455</v>
      </c>
      <c r="TDI101" t="s">
        <v>455</v>
      </c>
      <c r="TDJ101" t="s">
        <v>455</v>
      </c>
      <c r="TDK101" t="s">
        <v>455</v>
      </c>
      <c r="TDL101" t="s">
        <v>455</v>
      </c>
      <c r="TDM101" t="s">
        <v>455</v>
      </c>
      <c r="TDN101" t="s">
        <v>455</v>
      </c>
      <c r="TDO101" t="s">
        <v>455</v>
      </c>
      <c r="TDP101" t="s">
        <v>455</v>
      </c>
      <c r="TDQ101" t="s">
        <v>455</v>
      </c>
      <c r="TDR101" t="s">
        <v>455</v>
      </c>
      <c r="TDS101" t="s">
        <v>455</v>
      </c>
      <c r="TDT101" t="s">
        <v>455</v>
      </c>
      <c r="TDU101" t="s">
        <v>455</v>
      </c>
      <c r="TDV101" t="s">
        <v>455</v>
      </c>
      <c r="TDW101" t="s">
        <v>455</v>
      </c>
      <c r="TDX101" t="s">
        <v>455</v>
      </c>
      <c r="TDY101" t="s">
        <v>455</v>
      </c>
      <c r="TDZ101" t="s">
        <v>455</v>
      </c>
      <c r="TEA101" t="s">
        <v>455</v>
      </c>
      <c r="TEB101" t="s">
        <v>455</v>
      </c>
      <c r="TEC101" t="s">
        <v>455</v>
      </c>
      <c r="TED101" t="s">
        <v>455</v>
      </c>
      <c r="TEE101" t="s">
        <v>455</v>
      </c>
      <c r="TEF101" t="s">
        <v>455</v>
      </c>
      <c r="TEG101" t="s">
        <v>455</v>
      </c>
      <c r="TEH101" t="s">
        <v>455</v>
      </c>
      <c r="TEI101" t="s">
        <v>455</v>
      </c>
      <c r="TEJ101" t="s">
        <v>455</v>
      </c>
      <c r="TEK101" t="s">
        <v>455</v>
      </c>
      <c r="TEL101" t="s">
        <v>455</v>
      </c>
      <c r="TEM101" t="s">
        <v>455</v>
      </c>
      <c r="TEN101" t="s">
        <v>455</v>
      </c>
      <c r="TEO101" t="s">
        <v>455</v>
      </c>
      <c r="TEP101" t="s">
        <v>455</v>
      </c>
      <c r="TEQ101" t="s">
        <v>455</v>
      </c>
      <c r="TER101" t="s">
        <v>455</v>
      </c>
      <c r="TES101" t="s">
        <v>455</v>
      </c>
      <c r="TET101" t="s">
        <v>455</v>
      </c>
      <c r="TEU101" t="s">
        <v>455</v>
      </c>
      <c r="TEV101" t="s">
        <v>455</v>
      </c>
      <c r="TEW101" t="s">
        <v>455</v>
      </c>
      <c r="TEX101" t="s">
        <v>455</v>
      </c>
      <c r="TEY101" t="s">
        <v>455</v>
      </c>
      <c r="TEZ101" t="s">
        <v>455</v>
      </c>
      <c r="TFA101" t="s">
        <v>455</v>
      </c>
      <c r="TFB101" t="s">
        <v>455</v>
      </c>
      <c r="TFC101" t="s">
        <v>455</v>
      </c>
      <c r="TFD101" t="s">
        <v>455</v>
      </c>
      <c r="TFE101" t="s">
        <v>455</v>
      </c>
      <c r="TFF101" t="s">
        <v>455</v>
      </c>
      <c r="TFG101" t="s">
        <v>455</v>
      </c>
      <c r="TFH101" t="s">
        <v>455</v>
      </c>
      <c r="TFI101" t="s">
        <v>455</v>
      </c>
      <c r="TFJ101" t="s">
        <v>455</v>
      </c>
      <c r="TFK101" t="s">
        <v>455</v>
      </c>
      <c r="TFL101" t="s">
        <v>455</v>
      </c>
      <c r="TFM101" t="s">
        <v>455</v>
      </c>
      <c r="TFN101" t="s">
        <v>455</v>
      </c>
      <c r="TFO101" t="s">
        <v>455</v>
      </c>
      <c r="TFP101" t="s">
        <v>455</v>
      </c>
      <c r="TFQ101" t="s">
        <v>455</v>
      </c>
      <c r="TFR101" t="s">
        <v>455</v>
      </c>
      <c r="TFS101" t="s">
        <v>455</v>
      </c>
      <c r="TFT101" t="s">
        <v>455</v>
      </c>
      <c r="TFU101" t="s">
        <v>455</v>
      </c>
      <c r="TFV101" t="s">
        <v>455</v>
      </c>
      <c r="TFW101" t="s">
        <v>455</v>
      </c>
      <c r="TFX101" t="s">
        <v>455</v>
      </c>
      <c r="TFY101" t="s">
        <v>455</v>
      </c>
      <c r="TFZ101" t="s">
        <v>455</v>
      </c>
      <c r="TGA101" t="s">
        <v>455</v>
      </c>
      <c r="TGB101" t="s">
        <v>455</v>
      </c>
      <c r="TGC101" t="s">
        <v>455</v>
      </c>
      <c r="TGD101" t="s">
        <v>455</v>
      </c>
      <c r="TGE101" t="s">
        <v>455</v>
      </c>
      <c r="TGF101" t="s">
        <v>455</v>
      </c>
      <c r="TGG101" t="s">
        <v>455</v>
      </c>
      <c r="TGH101" t="s">
        <v>455</v>
      </c>
      <c r="TGI101" t="s">
        <v>455</v>
      </c>
      <c r="TGJ101" t="s">
        <v>455</v>
      </c>
      <c r="TGK101" t="s">
        <v>455</v>
      </c>
      <c r="TGL101" t="s">
        <v>455</v>
      </c>
      <c r="TGM101" t="s">
        <v>455</v>
      </c>
      <c r="TGN101" t="s">
        <v>455</v>
      </c>
      <c r="TGO101" t="s">
        <v>455</v>
      </c>
      <c r="TGP101" t="s">
        <v>455</v>
      </c>
      <c r="TGQ101" t="s">
        <v>455</v>
      </c>
      <c r="TGR101" t="s">
        <v>455</v>
      </c>
      <c r="TGS101" t="s">
        <v>455</v>
      </c>
      <c r="TGT101" t="s">
        <v>455</v>
      </c>
      <c r="TGU101" t="s">
        <v>455</v>
      </c>
      <c r="TGV101" t="s">
        <v>455</v>
      </c>
      <c r="TGW101" t="s">
        <v>455</v>
      </c>
      <c r="TGX101" t="s">
        <v>455</v>
      </c>
      <c r="TGY101" t="s">
        <v>455</v>
      </c>
      <c r="TGZ101" t="s">
        <v>455</v>
      </c>
      <c r="THA101" t="s">
        <v>455</v>
      </c>
      <c r="THB101" t="s">
        <v>455</v>
      </c>
      <c r="THC101" t="s">
        <v>455</v>
      </c>
      <c r="THD101" t="s">
        <v>455</v>
      </c>
      <c r="THE101" t="s">
        <v>455</v>
      </c>
      <c r="THF101" t="s">
        <v>455</v>
      </c>
      <c r="THG101" t="s">
        <v>455</v>
      </c>
      <c r="THH101" t="s">
        <v>455</v>
      </c>
      <c r="THI101" t="s">
        <v>455</v>
      </c>
      <c r="THJ101" t="s">
        <v>455</v>
      </c>
      <c r="THK101" t="s">
        <v>455</v>
      </c>
      <c r="THL101" t="s">
        <v>455</v>
      </c>
      <c r="THM101" t="s">
        <v>455</v>
      </c>
      <c r="THN101" t="s">
        <v>455</v>
      </c>
      <c r="THO101" t="s">
        <v>455</v>
      </c>
      <c r="THP101" t="s">
        <v>455</v>
      </c>
      <c r="THQ101" t="s">
        <v>455</v>
      </c>
      <c r="THR101" t="s">
        <v>455</v>
      </c>
      <c r="THS101" t="s">
        <v>455</v>
      </c>
      <c r="THT101" t="s">
        <v>455</v>
      </c>
      <c r="THU101" t="s">
        <v>455</v>
      </c>
      <c r="THV101" t="s">
        <v>455</v>
      </c>
      <c r="THW101" t="s">
        <v>455</v>
      </c>
      <c r="THX101" t="s">
        <v>455</v>
      </c>
      <c r="THY101" t="s">
        <v>455</v>
      </c>
      <c r="THZ101" t="s">
        <v>455</v>
      </c>
      <c r="TIA101" t="s">
        <v>455</v>
      </c>
      <c r="TIB101" t="s">
        <v>455</v>
      </c>
      <c r="TIC101" t="s">
        <v>455</v>
      </c>
      <c r="TID101" t="s">
        <v>455</v>
      </c>
      <c r="TIE101" t="s">
        <v>455</v>
      </c>
      <c r="TIF101" t="s">
        <v>455</v>
      </c>
      <c r="TIG101" t="s">
        <v>455</v>
      </c>
      <c r="TIH101" t="s">
        <v>455</v>
      </c>
      <c r="TII101" t="s">
        <v>455</v>
      </c>
      <c r="TIJ101" t="s">
        <v>455</v>
      </c>
      <c r="TIK101" t="s">
        <v>455</v>
      </c>
      <c r="TIL101" t="s">
        <v>455</v>
      </c>
      <c r="TIM101" t="s">
        <v>455</v>
      </c>
      <c r="TIN101" t="s">
        <v>455</v>
      </c>
      <c r="TIO101" t="s">
        <v>455</v>
      </c>
      <c r="TIP101" t="s">
        <v>455</v>
      </c>
      <c r="TIQ101" t="s">
        <v>455</v>
      </c>
      <c r="TIR101" t="s">
        <v>455</v>
      </c>
      <c r="TIS101" t="s">
        <v>455</v>
      </c>
      <c r="TIT101" t="s">
        <v>455</v>
      </c>
      <c r="TIU101" t="s">
        <v>455</v>
      </c>
      <c r="TIV101" t="s">
        <v>455</v>
      </c>
      <c r="TIW101" t="s">
        <v>455</v>
      </c>
      <c r="TIX101" t="s">
        <v>455</v>
      </c>
      <c r="TIY101" t="s">
        <v>455</v>
      </c>
      <c r="TIZ101" t="s">
        <v>455</v>
      </c>
      <c r="TJA101" t="s">
        <v>455</v>
      </c>
      <c r="TJB101" t="s">
        <v>455</v>
      </c>
      <c r="TJC101" t="s">
        <v>455</v>
      </c>
      <c r="TJD101" t="s">
        <v>455</v>
      </c>
      <c r="TJE101" t="s">
        <v>455</v>
      </c>
      <c r="TJF101" t="s">
        <v>455</v>
      </c>
      <c r="TJG101" t="s">
        <v>455</v>
      </c>
      <c r="TJH101" t="s">
        <v>455</v>
      </c>
      <c r="TJI101" t="s">
        <v>455</v>
      </c>
      <c r="TJJ101" t="s">
        <v>455</v>
      </c>
      <c r="TJK101" t="s">
        <v>455</v>
      </c>
      <c r="TJL101" t="s">
        <v>455</v>
      </c>
      <c r="TJM101" t="s">
        <v>455</v>
      </c>
      <c r="TJN101" t="s">
        <v>455</v>
      </c>
      <c r="TJO101" t="s">
        <v>455</v>
      </c>
      <c r="TJP101" t="s">
        <v>455</v>
      </c>
      <c r="TJQ101" t="s">
        <v>455</v>
      </c>
      <c r="TJR101" t="s">
        <v>455</v>
      </c>
      <c r="TJS101" t="s">
        <v>455</v>
      </c>
      <c r="TJT101" t="s">
        <v>455</v>
      </c>
      <c r="TJU101" t="s">
        <v>455</v>
      </c>
      <c r="TJV101" t="s">
        <v>455</v>
      </c>
      <c r="TJW101" t="s">
        <v>455</v>
      </c>
      <c r="TJX101" t="s">
        <v>455</v>
      </c>
      <c r="TJY101" t="s">
        <v>455</v>
      </c>
      <c r="TJZ101" t="s">
        <v>455</v>
      </c>
      <c r="TKA101" t="s">
        <v>455</v>
      </c>
      <c r="TKB101" t="s">
        <v>455</v>
      </c>
      <c r="TKC101" t="s">
        <v>455</v>
      </c>
      <c r="TKD101" t="s">
        <v>455</v>
      </c>
      <c r="TKE101" t="s">
        <v>455</v>
      </c>
      <c r="TKF101" t="s">
        <v>455</v>
      </c>
      <c r="TKG101" t="s">
        <v>455</v>
      </c>
      <c r="TKH101" t="s">
        <v>455</v>
      </c>
      <c r="TKI101" t="s">
        <v>455</v>
      </c>
      <c r="TKJ101" t="s">
        <v>455</v>
      </c>
      <c r="TKK101" t="s">
        <v>455</v>
      </c>
      <c r="TKL101" t="s">
        <v>455</v>
      </c>
      <c r="TKM101" t="s">
        <v>455</v>
      </c>
      <c r="TKN101" t="s">
        <v>455</v>
      </c>
      <c r="TKO101" t="s">
        <v>455</v>
      </c>
      <c r="TKP101" t="s">
        <v>455</v>
      </c>
      <c r="TKQ101" t="s">
        <v>455</v>
      </c>
      <c r="TKR101" t="s">
        <v>455</v>
      </c>
      <c r="TKS101" t="s">
        <v>455</v>
      </c>
      <c r="TKT101" t="s">
        <v>455</v>
      </c>
      <c r="TKU101" t="s">
        <v>455</v>
      </c>
      <c r="TKV101" t="s">
        <v>455</v>
      </c>
      <c r="TKW101" t="s">
        <v>455</v>
      </c>
      <c r="TKX101" t="s">
        <v>455</v>
      </c>
      <c r="TKY101" t="s">
        <v>455</v>
      </c>
      <c r="TKZ101" t="s">
        <v>455</v>
      </c>
      <c r="TLA101" t="s">
        <v>455</v>
      </c>
      <c r="TLB101" t="s">
        <v>455</v>
      </c>
      <c r="TLC101" t="s">
        <v>455</v>
      </c>
      <c r="TLD101" t="s">
        <v>455</v>
      </c>
      <c r="TLE101" t="s">
        <v>455</v>
      </c>
      <c r="TLF101" t="s">
        <v>455</v>
      </c>
      <c r="TLG101" t="s">
        <v>455</v>
      </c>
      <c r="TLH101" t="s">
        <v>455</v>
      </c>
      <c r="TLI101" t="s">
        <v>455</v>
      </c>
      <c r="TLJ101" t="s">
        <v>455</v>
      </c>
      <c r="TLK101" t="s">
        <v>455</v>
      </c>
      <c r="TLL101" t="s">
        <v>455</v>
      </c>
      <c r="TLM101" t="s">
        <v>455</v>
      </c>
      <c r="TLN101" t="s">
        <v>455</v>
      </c>
      <c r="TLO101" t="s">
        <v>455</v>
      </c>
      <c r="TLP101" t="s">
        <v>455</v>
      </c>
      <c r="TLQ101" t="s">
        <v>455</v>
      </c>
      <c r="TLR101" t="s">
        <v>455</v>
      </c>
      <c r="TLS101" t="s">
        <v>455</v>
      </c>
      <c r="TLT101" t="s">
        <v>455</v>
      </c>
      <c r="TLU101" t="s">
        <v>455</v>
      </c>
      <c r="TLV101" t="s">
        <v>455</v>
      </c>
      <c r="TLW101" t="s">
        <v>455</v>
      </c>
      <c r="TLX101" t="s">
        <v>455</v>
      </c>
      <c r="TLY101" t="s">
        <v>455</v>
      </c>
      <c r="TLZ101" t="s">
        <v>455</v>
      </c>
      <c r="TMA101" t="s">
        <v>455</v>
      </c>
      <c r="TMB101" t="s">
        <v>455</v>
      </c>
      <c r="TMC101" t="s">
        <v>455</v>
      </c>
      <c r="TMD101" t="s">
        <v>455</v>
      </c>
      <c r="TME101" t="s">
        <v>455</v>
      </c>
      <c r="TMF101" t="s">
        <v>455</v>
      </c>
      <c r="TMG101" t="s">
        <v>455</v>
      </c>
      <c r="TMH101" t="s">
        <v>455</v>
      </c>
      <c r="TMI101" t="s">
        <v>455</v>
      </c>
      <c r="TMJ101" t="s">
        <v>455</v>
      </c>
      <c r="TMK101" t="s">
        <v>455</v>
      </c>
      <c r="TML101" t="s">
        <v>455</v>
      </c>
      <c r="TMM101" t="s">
        <v>455</v>
      </c>
      <c r="TMN101" t="s">
        <v>455</v>
      </c>
      <c r="TMO101" t="s">
        <v>455</v>
      </c>
      <c r="TMP101" t="s">
        <v>455</v>
      </c>
      <c r="TMQ101" t="s">
        <v>455</v>
      </c>
      <c r="TMR101" t="s">
        <v>455</v>
      </c>
      <c r="TMS101" t="s">
        <v>455</v>
      </c>
      <c r="TMT101" t="s">
        <v>455</v>
      </c>
      <c r="TMU101" t="s">
        <v>455</v>
      </c>
      <c r="TMV101" t="s">
        <v>455</v>
      </c>
      <c r="TMW101" t="s">
        <v>455</v>
      </c>
      <c r="TMX101" t="s">
        <v>455</v>
      </c>
      <c r="TMY101" t="s">
        <v>455</v>
      </c>
      <c r="TMZ101" t="s">
        <v>455</v>
      </c>
      <c r="TNA101" t="s">
        <v>455</v>
      </c>
      <c r="TNB101" t="s">
        <v>455</v>
      </c>
      <c r="TNC101" t="s">
        <v>455</v>
      </c>
      <c r="TND101" t="s">
        <v>455</v>
      </c>
      <c r="TNE101" t="s">
        <v>455</v>
      </c>
      <c r="TNF101" t="s">
        <v>455</v>
      </c>
      <c r="TNG101" t="s">
        <v>455</v>
      </c>
      <c r="TNH101" t="s">
        <v>455</v>
      </c>
      <c r="TNI101" t="s">
        <v>455</v>
      </c>
      <c r="TNJ101" t="s">
        <v>455</v>
      </c>
      <c r="TNK101" t="s">
        <v>455</v>
      </c>
      <c r="TNL101" t="s">
        <v>455</v>
      </c>
      <c r="TNM101" t="s">
        <v>455</v>
      </c>
      <c r="TNN101" t="s">
        <v>455</v>
      </c>
      <c r="TNO101" t="s">
        <v>455</v>
      </c>
      <c r="TNP101" t="s">
        <v>455</v>
      </c>
      <c r="TNQ101" t="s">
        <v>455</v>
      </c>
      <c r="TNR101" t="s">
        <v>455</v>
      </c>
      <c r="TNS101" t="s">
        <v>455</v>
      </c>
      <c r="TNT101" t="s">
        <v>455</v>
      </c>
      <c r="TNU101" t="s">
        <v>455</v>
      </c>
      <c r="TNV101" t="s">
        <v>455</v>
      </c>
      <c r="TNW101" t="s">
        <v>455</v>
      </c>
      <c r="TNX101" t="s">
        <v>455</v>
      </c>
      <c r="TNY101" t="s">
        <v>455</v>
      </c>
      <c r="TNZ101" t="s">
        <v>455</v>
      </c>
      <c r="TOA101" t="s">
        <v>455</v>
      </c>
      <c r="TOB101" t="s">
        <v>455</v>
      </c>
      <c r="TOC101" t="s">
        <v>455</v>
      </c>
      <c r="TOD101" t="s">
        <v>455</v>
      </c>
      <c r="TOE101" t="s">
        <v>455</v>
      </c>
      <c r="TOF101" t="s">
        <v>455</v>
      </c>
      <c r="TOG101" t="s">
        <v>455</v>
      </c>
      <c r="TOH101" t="s">
        <v>455</v>
      </c>
      <c r="TOI101" t="s">
        <v>455</v>
      </c>
      <c r="TOJ101" t="s">
        <v>455</v>
      </c>
      <c r="TOK101" t="s">
        <v>455</v>
      </c>
      <c r="TOL101" t="s">
        <v>455</v>
      </c>
      <c r="TOM101" t="s">
        <v>455</v>
      </c>
      <c r="TON101" t="s">
        <v>455</v>
      </c>
      <c r="TOO101" t="s">
        <v>455</v>
      </c>
      <c r="TOP101" t="s">
        <v>455</v>
      </c>
      <c r="TOQ101" t="s">
        <v>455</v>
      </c>
      <c r="TOR101" t="s">
        <v>455</v>
      </c>
      <c r="TOS101" t="s">
        <v>455</v>
      </c>
      <c r="TOT101" t="s">
        <v>455</v>
      </c>
      <c r="TOU101" t="s">
        <v>455</v>
      </c>
      <c r="TOV101" t="s">
        <v>455</v>
      </c>
      <c r="TOW101" t="s">
        <v>455</v>
      </c>
      <c r="TOX101" t="s">
        <v>455</v>
      </c>
      <c r="TOY101" t="s">
        <v>455</v>
      </c>
      <c r="TOZ101" t="s">
        <v>455</v>
      </c>
      <c r="TPA101" t="s">
        <v>455</v>
      </c>
      <c r="TPB101" t="s">
        <v>455</v>
      </c>
      <c r="TPC101" t="s">
        <v>455</v>
      </c>
      <c r="TPD101" t="s">
        <v>455</v>
      </c>
      <c r="TPE101" t="s">
        <v>455</v>
      </c>
      <c r="TPF101" t="s">
        <v>455</v>
      </c>
      <c r="TPG101" t="s">
        <v>455</v>
      </c>
      <c r="TPH101" t="s">
        <v>455</v>
      </c>
      <c r="TPI101" t="s">
        <v>455</v>
      </c>
      <c r="TPJ101" t="s">
        <v>455</v>
      </c>
      <c r="TPK101" t="s">
        <v>455</v>
      </c>
      <c r="TPL101" t="s">
        <v>455</v>
      </c>
      <c r="TPM101" t="s">
        <v>455</v>
      </c>
      <c r="TPN101" t="s">
        <v>455</v>
      </c>
      <c r="TPO101" t="s">
        <v>455</v>
      </c>
      <c r="TPP101" t="s">
        <v>455</v>
      </c>
      <c r="TPQ101" t="s">
        <v>455</v>
      </c>
      <c r="TPR101" t="s">
        <v>455</v>
      </c>
      <c r="TPS101" t="s">
        <v>455</v>
      </c>
      <c r="TPT101" t="s">
        <v>455</v>
      </c>
      <c r="TPU101" t="s">
        <v>455</v>
      </c>
      <c r="TPV101" t="s">
        <v>455</v>
      </c>
      <c r="TPW101" t="s">
        <v>455</v>
      </c>
      <c r="TPX101" t="s">
        <v>455</v>
      </c>
      <c r="TPY101" t="s">
        <v>455</v>
      </c>
      <c r="TPZ101" t="s">
        <v>455</v>
      </c>
      <c r="TQA101" t="s">
        <v>455</v>
      </c>
      <c r="TQB101" t="s">
        <v>455</v>
      </c>
      <c r="TQC101" t="s">
        <v>455</v>
      </c>
      <c r="TQD101" t="s">
        <v>455</v>
      </c>
      <c r="TQE101" t="s">
        <v>455</v>
      </c>
      <c r="TQF101" t="s">
        <v>455</v>
      </c>
      <c r="TQG101" t="s">
        <v>455</v>
      </c>
      <c r="TQH101" t="s">
        <v>455</v>
      </c>
      <c r="TQI101" t="s">
        <v>455</v>
      </c>
      <c r="TQJ101" t="s">
        <v>455</v>
      </c>
      <c r="TQK101" t="s">
        <v>455</v>
      </c>
      <c r="TQL101" t="s">
        <v>455</v>
      </c>
      <c r="TQM101" t="s">
        <v>455</v>
      </c>
      <c r="TQN101" t="s">
        <v>455</v>
      </c>
      <c r="TQO101" t="s">
        <v>455</v>
      </c>
      <c r="TQP101" t="s">
        <v>455</v>
      </c>
      <c r="TQQ101" t="s">
        <v>455</v>
      </c>
      <c r="TQR101" t="s">
        <v>455</v>
      </c>
      <c r="TQS101" t="s">
        <v>455</v>
      </c>
      <c r="TQT101" t="s">
        <v>455</v>
      </c>
      <c r="TQU101" t="s">
        <v>455</v>
      </c>
      <c r="TQV101" t="s">
        <v>455</v>
      </c>
      <c r="TQW101" t="s">
        <v>455</v>
      </c>
      <c r="TQX101" t="s">
        <v>455</v>
      </c>
      <c r="TQY101" t="s">
        <v>455</v>
      </c>
      <c r="TQZ101" t="s">
        <v>455</v>
      </c>
      <c r="TRA101" t="s">
        <v>455</v>
      </c>
      <c r="TRB101" t="s">
        <v>455</v>
      </c>
      <c r="TRC101" t="s">
        <v>455</v>
      </c>
      <c r="TRD101" t="s">
        <v>455</v>
      </c>
      <c r="TRE101" t="s">
        <v>455</v>
      </c>
      <c r="TRF101" t="s">
        <v>455</v>
      </c>
      <c r="TRG101" t="s">
        <v>455</v>
      </c>
      <c r="TRH101" t="s">
        <v>455</v>
      </c>
      <c r="TRI101" t="s">
        <v>455</v>
      </c>
      <c r="TRJ101" t="s">
        <v>455</v>
      </c>
      <c r="TRK101" t="s">
        <v>455</v>
      </c>
      <c r="TRL101" t="s">
        <v>455</v>
      </c>
      <c r="TRM101" t="s">
        <v>455</v>
      </c>
      <c r="TRN101" t="s">
        <v>455</v>
      </c>
      <c r="TRO101" t="s">
        <v>455</v>
      </c>
      <c r="TRP101" t="s">
        <v>455</v>
      </c>
      <c r="TRQ101" t="s">
        <v>455</v>
      </c>
      <c r="TRR101" t="s">
        <v>455</v>
      </c>
      <c r="TRS101" t="s">
        <v>455</v>
      </c>
      <c r="TRT101" t="s">
        <v>455</v>
      </c>
      <c r="TRU101" t="s">
        <v>455</v>
      </c>
      <c r="TRV101" t="s">
        <v>455</v>
      </c>
      <c r="TRW101" t="s">
        <v>455</v>
      </c>
      <c r="TRX101" t="s">
        <v>455</v>
      </c>
      <c r="TRY101" t="s">
        <v>455</v>
      </c>
      <c r="TRZ101" t="s">
        <v>455</v>
      </c>
      <c r="TSA101" t="s">
        <v>455</v>
      </c>
      <c r="TSB101" t="s">
        <v>455</v>
      </c>
      <c r="TSC101" t="s">
        <v>455</v>
      </c>
      <c r="TSD101" t="s">
        <v>455</v>
      </c>
      <c r="TSE101" t="s">
        <v>455</v>
      </c>
      <c r="TSF101" t="s">
        <v>455</v>
      </c>
      <c r="TSG101" t="s">
        <v>455</v>
      </c>
      <c r="TSH101" t="s">
        <v>455</v>
      </c>
      <c r="TSI101" t="s">
        <v>455</v>
      </c>
      <c r="TSJ101" t="s">
        <v>455</v>
      </c>
      <c r="TSK101" t="s">
        <v>455</v>
      </c>
      <c r="TSL101" t="s">
        <v>455</v>
      </c>
      <c r="TSM101" t="s">
        <v>455</v>
      </c>
      <c r="TSN101" t="s">
        <v>455</v>
      </c>
      <c r="TSO101" t="s">
        <v>455</v>
      </c>
      <c r="TSP101" t="s">
        <v>455</v>
      </c>
      <c r="TSQ101" t="s">
        <v>455</v>
      </c>
      <c r="TSR101" t="s">
        <v>455</v>
      </c>
      <c r="TSS101" t="s">
        <v>455</v>
      </c>
      <c r="TST101" t="s">
        <v>455</v>
      </c>
      <c r="TSU101" t="s">
        <v>455</v>
      </c>
      <c r="TSV101" t="s">
        <v>455</v>
      </c>
      <c r="TSW101" t="s">
        <v>455</v>
      </c>
      <c r="TSX101" t="s">
        <v>455</v>
      </c>
      <c r="TSY101" t="s">
        <v>455</v>
      </c>
      <c r="TSZ101" t="s">
        <v>455</v>
      </c>
      <c r="TTA101" t="s">
        <v>455</v>
      </c>
      <c r="TTB101" t="s">
        <v>455</v>
      </c>
      <c r="TTC101" t="s">
        <v>455</v>
      </c>
      <c r="TTD101" t="s">
        <v>455</v>
      </c>
      <c r="TTE101" t="s">
        <v>455</v>
      </c>
      <c r="TTF101" t="s">
        <v>455</v>
      </c>
      <c r="TTG101" t="s">
        <v>455</v>
      </c>
      <c r="TTH101" t="s">
        <v>455</v>
      </c>
      <c r="TTI101" t="s">
        <v>455</v>
      </c>
      <c r="TTJ101" t="s">
        <v>455</v>
      </c>
      <c r="TTK101" t="s">
        <v>455</v>
      </c>
      <c r="TTL101" t="s">
        <v>455</v>
      </c>
      <c r="TTM101" t="s">
        <v>455</v>
      </c>
      <c r="TTN101" t="s">
        <v>455</v>
      </c>
      <c r="TTO101" t="s">
        <v>455</v>
      </c>
      <c r="TTP101" t="s">
        <v>455</v>
      </c>
      <c r="TTQ101" t="s">
        <v>455</v>
      </c>
      <c r="TTR101" t="s">
        <v>455</v>
      </c>
      <c r="TTS101" t="s">
        <v>455</v>
      </c>
      <c r="TTT101" t="s">
        <v>455</v>
      </c>
      <c r="TTU101" t="s">
        <v>455</v>
      </c>
      <c r="TTV101" t="s">
        <v>455</v>
      </c>
      <c r="TTW101" t="s">
        <v>455</v>
      </c>
      <c r="TTX101" t="s">
        <v>455</v>
      </c>
      <c r="TTY101" t="s">
        <v>455</v>
      </c>
      <c r="TTZ101" t="s">
        <v>455</v>
      </c>
      <c r="TUA101" t="s">
        <v>455</v>
      </c>
      <c r="TUB101" t="s">
        <v>455</v>
      </c>
      <c r="TUC101" t="s">
        <v>455</v>
      </c>
      <c r="TUD101" t="s">
        <v>455</v>
      </c>
      <c r="TUE101" t="s">
        <v>455</v>
      </c>
      <c r="TUF101" t="s">
        <v>455</v>
      </c>
      <c r="TUG101" t="s">
        <v>455</v>
      </c>
      <c r="TUH101" t="s">
        <v>455</v>
      </c>
      <c r="TUI101" t="s">
        <v>455</v>
      </c>
      <c r="TUJ101" t="s">
        <v>455</v>
      </c>
      <c r="TUK101" t="s">
        <v>455</v>
      </c>
      <c r="TUL101" t="s">
        <v>455</v>
      </c>
      <c r="TUM101" t="s">
        <v>455</v>
      </c>
      <c r="TUN101" t="s">
        <v>455</v>
      </c>
      <c r="TUO101" t="s">
        <v>455</v>
      </c>
      <c r="TUP101" t="s">
        <v>455</v>
      </c>
      <c r="TUQ101" t="s">
        <v>455</v>
      </c>
      <c r="TUR101" t="s">
        <v>455</v>
      </c>
      <c r="TUS101" t="s">
        <v>455</v>
      </c>
      <c r="TUT101" t="s">
        <v>455</v>
      </c>
      <c r="TUU101" t="s">
        <v>455</v>
      </c>
      <c r="TUV101" t="s">
        <v>455</v>
      </c>
      <c r="TUW101" t="s">
        <v>455</v>
      </c>
      <c r="TUX101" t="s">
        <v>455</v>
      </c>
      <c r="TUY101" t="s">
        <v>455</v>
      </c>
      <c r="TUZ101" t="s">
        <v>455</v>
      </c>
      <c r="TVA101" t="s">
        <v>455</v>
      </c>
      <c r="TVB101" t="s">
        <v>455</v>
      </c>
      <c r="TVC101" t="s">
        <v>455</v>
      </c>
      <c r="TVD101" t="s">
        <v>455</v>
      </c>
      <c r="TVE101" t="s">
        <v>455</v>
      </c>
      <c r="TVF101" t="s">
        <v>455</v>
      </c>
      <c r="TVG101" t="s">
        <v>455</v>
      </c>
      <c r="TVH101" t="s">
        <v>455</v>
      </c>
      <c r="TVI101" t="s">
        <v>455</v>
      </c>
      <c r="TVJ101" t="s">
        <v>455</v>
      </c>
      <c r="TVK101" t="s">
        <v>455</v>
      </c>
      <c r="TVL101" t="s">
        <v>455</v>
      </c>
      <c r="TVM101" t="s">
        <v>455</v>
      </c>
      <c r="TVN101" t="s">
        <v>455</v>
      </c>
      <c r="TVO101" t="s">
        <v>455</v>
      </c>
      <c r="TVP101" t="s">
        <v>455</v>
      </c>
      <c r="TVQ101" t="s">
        <v>455</v>
      </c>
      <c r="TVR101" t="s">
        <v>455</v>
      </c>
      <c r="TVS101" t="s">
        <v>455</v>
      </c>
      <c r="TVT101" t="s">
        <v>455</v>
      </c>
      <c r="TVU101" t="s">
        <v>455</v>
      </c>
      <c r="TVV101" t="s">
        <v>455</v>
      </c>
      <c r="TVW101" t="s">
        <v>455</v>
      </c>
      <c r="TVX101" t="s">
        <v>455</v>
      </c>
      <c r="TVY101" t="s">
        <v>455</v>
      </c>
      <c r="TVZ101" t="s">
        <v>455</v>
      </c>
      <c r="TWA101" t="s">
        <v>455</v>
      </c>
      <c r="TWB101" t="s">
        <v>455</v>
      </c>
      <c r="TWC101" t="s">
        <v>455</v>
      </c>
      <c r="TWD101" t="s">
        <v>455</v>
      </c>
      <c r="TWE101" t="s">
        <v>455</v>
      </c>
      <c r="TWF101" t="s">
        <v>455</v>
      </c>
      <c r="TWG101" t="s">
        <v>455</v>
      </c>
      <c r="TWH101" t="s">
        <v>455</v>
      </c>
      <c r="TWI101" t="s">
        <v>455</v>
      </c>
      <c r="TWJ101" t="s">
        <v>455</v>
      </c>
      <c r="TWK101" t="s">
        <v>455</v>
      </c>
      <c r="TWL101" t="s">
        <v>455</v>
      </c>
      <c r="TWM101" t="s">
        <v>455</v>
      </c>
      <c r="TWN101" t="s">
        <v>455</v>
      </c>
      <c r="TWO101" t="s">
        <v>455</v>
      </c>
      <c r="TWP101" t="s">
        <v>455</v>
      </c>
      <c r="TWQ101" t="s">
        <v>455</v>
      </c>
      <c r="TWR101" t="s">
        <v>455</v>
      </c>
      <c r="TWS101" t="s">
        <v>455</v>
      </c>
      <c r="TWT101" t="s">
        <v>455</v>
      </c>
      <c r="TWU101" t="s">
        <v>455</v>
      </c>
      <c r="TWV101" t="s">
        <v>455</v>
      </c>
      <c r="TWW101" t="s">
        <v>455</v>
      </c>
      <c r="TWX101" t="s">
        <v>455</v>
      </c>
      <c r="TWY101" t="s">
        <v>455</v>
      </c>
      <c r="TWZ101" t="s">
        <v>455</v>
      </c>
      <c r="TXA101" t="s">
        <v>455</v>
      </c>
      <c r="TXB101" t="s">
        <v>455</v>
      </c>
      <c r="TXC101" t="s">
        <v>455</v>
      </c>
      <c r="TXD101" t="s">
        <v>455</v>
      </c>
      <c r="TXE101" t="s">
        <v>455</v>
      </c>
      <c r="TXF101" t="s">
        <v>455</v>
      </c>
      <c r="TXG101" t="s">
        <v>455</v>
      </c>
      <c r="TXH101" t="s">
        <v>455</v>
      </c>
      <c r="TXI101" t="s">
        <v>455</v>
      </c>
      <c r="TXJ101" t="s">
        <v>455</v>
      </c>
      <c r="TXK101" t="s">
        <v>455</v>
      </c>
      <c r="TXL101" t="s">
        <v>455</v>
      </c>
      <c r="TXM101" t="s">
        <v>455</v>
      </c>
      <c r="TXN101" t="s">
        <v>455</v>
      </c>
      <c r="TXO101" t="s">
        <v>455</v>
      </c>
      <c r="TXP101" t="s">
        <v>455</v>
      </c>
      <c r="TXQ101" t="s">
        <v>455</v>
      </c>
      <c r="TXR101" t="s">
        <v>455</v>
      </c>
      <c r="TXS101" t="s">
        <v>455</v>
      </c>
      <c r="TXT101" t="s">
        <v>455</v>
      </c>
      <c r="TXU101" t="s">
        <v>455</v>
      </c>
      <c r="TXV101" t="s">
        <v>455</v>
      </c>
      <c r="TXW101" t="s">
        <v>455</v>
      </c>
      <c r="TXX101" t="s">
        <v>455</v>
      </c>
      <c r="TXY101" t="s">
        <v>455</v>
      </c>
      <c r="TXZ101" t="s">
        <v>455</v>
      </c>
      <c r="TYA101" t="s">
        <v>455</v>
      </c>
      <c r="TYB101" t="s">
        <v>455</v>
      </c>
      <c r="TYC101" t="s">
        <v>455</v>
      </c>
      <c r="TYD101" t="s">
        <v>455</v>
      </c>
      <c r="TYE101" t="s">
        <v>455</v>
      </c>
      <c r="TYF101" t="s">
        <v>455</v>
      </c>
      <c r="TYG101" t="s">
        <v>455</v>
      </c>
      <c r="TYH101" t="s">
        <v>455</v>
      </c>
      <c r="TYI101" t="s">
        <v>455</v>
      </c>
      <c r="TYJ101" t="s">
        <v>455</v>
      </c>
      <c r="TYK101" t="s">
        <v>455</v>
      </c>
      <c r="TYL101" t="s">
        <v>455</v>
      </c>
      <c r="TYM101" t="s">
        <v>455</v>
      </c>
      <c r="TYN101" t="s">
        <v>455</v>
      </c>
      <c r="TYO101" t="s">
        <v>455</v>
      </c>
      <c r="TYP101" t="s">
        <v>455</v>
      </c>
      <c r="TYQ101" t="s">
        <v>455</v>
      </c>
      <c r="TYR101" t="s">
        <v>455</v>
      </c>
      <c r="TYS101" t="s">
        <v>455</v>
      </c>
      <c r="TYT101" t="s">
        <v>455</v>
      </c>
      <c r="TYU101" t="s">
        <v>455</v>
      </c>
      <c r="TYV101" t="s">
        <v>455</v>
      </c>
      <c r="TYW101" t="s">
        <v>455</v>
      </c>
      <c r="TYX101" t="s">
        <v>455</v>
      </c>
      <c r="TYY101" t="s">
        <v>455</v>
      </c>
      <c r="TYZ101" t="s">
        <v>455</v>
      </c>
      <c r="TZA101" t="s">
        <v>455</v>
      </c>
      <c r="TZB101" t="s">
        <v>455</v>
      </c>
      <c r="TZC101" t="s">
        <v>455</v>
      </c>
      <c r="TZD101" t="s">
        <v>455</v>
      </c>
      <c r="TZE101" t="s">
        <v>455</v>
      </c>
      <c r="TZF101" t="s">
        <v>455</v>
      </c>
      <c r="TZG101" t="s">
        <v>455</v>
      </c>
      <c r="TZH101" t="s">
        <v>455</v>
      </c>
      <c r="TZI101" t="s">
        <v>455</v>
      </c>
      <c r="TZJ101" t="s">
        <v>455</v>
      </c>
      <c r="TZK101" t="s">
        <v>455</v>
      </c>
      <c r="TZL101" t="s">
        <v>455</v>
      </c>
      <c r="TZM101" t="s">
        <v>455</v>
      </c>
      <c r="TZN101" t="s">
        <v>455</v>
      </c>
      <c r="TZO101" t="s">
        <v>455</v>
      </c>
      <c r="TZP101" t="s">
        <v>455</v>
      </c>
      <c r="TZQ101" t="s">
        <v>455</v>
      </c>
      <c r="TZR101" t="s">
        <v>455</v>
      </c>
      <c r="TZS101" t="s">
        <v>455</v>
      </c>
      <c r="TZT101" t="s">
        <v>455</v>
      </c>
      <c r="TZU101" t="s">
        <v>455</v>
      </c>
      <c r="TZV101" t="s">
        <v>455</v>
      </c>
      <c r="TZW101" t="s">
        <v>455</v>
      </c>
      <c r="TZX101" t="s">
        <v>455</v>
      </c>
      <c r="TZY101" t="s">
        <v>455</v>
      </c>
      <c r="TZZ101" t="s">
        <v>455</v>
      </c>
      <c r="UAA101" t="s">
        <v>455</v>
      </c>
      <c r="UAB101" t="s">
        <v>455</v>
      </c>
      <c r="UAC101" t="s">
        <v>455</v>
      </c>
      <c r="UAD101" t="s">
        <v>455</v>
      </c>
      <c r="UAE101" t="s">
        <v>455</v>
      </c>
      <c r="UAF101" t="s">
        <v>455</v>
      </c>
      <c r="UAG101" t="s">
        <v>455</v>
      </c>
      <c r="UAH101" t="s">
        <v>455</v>
      </c>
      <c r="UAI101" t="s">
        <v>455</v>
      </c>
      <c r="UAJ101" t="s">
        <v>455</v>
      </c>
      <c r="UAK101" t="s">
        <v>455</v>
      </c>
      <c r="UAL101" t="s">
        <v>455</v>
      </c>
      <c r="UAM101" t="s">
        <v>455</v>
      </c>
      <c r="UAN101" t="s">
        <v>455</v>
      </c>
      <c r="UAO101" t="s">
        <v>455</v>
      </c>
      <c r="UAP101" t="s">
        <v>455</v>
      </c>
      <c r="UAQ101" t="s">
        <v>455</v>
      </c>
      <c r="UAR101" t="s">
        <v>455</v>
      </c>
      <c r="UAS101" t="s">
        <v>455</v>
      </c>
      <c r="UAT101" t="s">
        <v>455</v>
      </c>
      <c r="UAU101" t="s">
        <v>455</v>
      </c>
      <c r="UAV101" t="s">
        <v>455</v>
      </c>
      <c r="UAW101" t="s">
        <v>455</v>
      </c>
      <c r="UAX101" t="s">
        <v>455</v>
      </c>
      <c r="UAY101" t="s">
        <v>455</v>
      </c>
      <c r="UAZ101" t="s">
        <v>455</v>
      </c>
      <c r="UBA101" t="s">
        <v>455</v>
      </c>
      <c r="UBB101" t="s">
        <v>455</v>
      </c>
      <c r="UBC101" t="s">
        <v>455</v>
      </c>
      <c r="UBD101" t="s">
        <v>455</v>
      </c>
      <c r="UBE101" t="s">
        <v>455</v>
      </c>
      <c r="UBF101" t="s">
        <v>455</v>
      </c>
      <c r="UBG101" t="s">
        <v>455</v>
      </c>
      <c r="UBH101" t="s">
        <v>455</v>
      </c>
      <c r="UBI101" t="s">
        <v>455</v>
      </c>
      <c r="UBJ101" t="s">
        <v>455</v>
      </c>
      <c r="UBK101" t="s">
        <v>455</v>
      </c>
      <c r="UBL101" t="s">
        <v>455</v>
      </c>
      <c r="UBM101" t="s">
        <v>455</v>
      </c>
      <c r="UBN101" t="s">
        <v>455</v>
      </c>
      <c r="UBO101" t="s">
        <v>455</v>
      </c>
      <c r="UBP101" t="s">
        <v>455</v>
      </c>
      <c r="UBQ101" t="s">
        <v>455</v>
      </c>
      <c r="UBR101" t="s">
        <v>455</v>
      </c>
      <c r="UBS101" t="s">
        <v>455</v>
      </c>
      <c r="UBT101" t="s">
        <v>455</v>
      </c>
      <c r="UBU101" t="s">
        <v>455</v>
      </c>
      <c r="UBV101" t="s">
        <v>455</v>
      </c>
      <c r="UBW101" t="s">
        <v>455</v>
      </c>
      <c r="UBX101" t="s">
        <v>455</v>
      </c>
      <c r="UBY101" t="s">
        <v>455</v>
      </c>
      <c r="UBZ101" t="s">
        <v>455</v>
      </c>
      <c r="UCA101" t="s">
        <v>455</v>
      </c>
      <c r="UCB101" t="s">
        <v>455</v>
      </c>
      <c r="UCC101" t="s">
        <v>455</v>
      </c>
      <c r="UCD101" t="s">
        <v>455</v>
      </c>
      <c r="UCE101" t="s">
        <v>455</v>
      </c>
      <c r="UCF101" t="s">
        <v>455</v>
      </c>
      <c r="UCG101" t="s">
        <v>455</v>
      </c>
      <c r="UCH101" t="s">
        <v>455</v>
      </c>
      <c r="UCI101" t="s">
        <v>455</v>
      </c>
      <c r="UCJ101" t="s">
        <v>455</v>
      </c>
      <c r="UCK101" t="s">
        <v>455</v>
      </c>
      <c r="UCL101" t="s">
        <v>455</v>
      </c>
      <c r="UCM101" t="s">
        <v>455</v>
      </c>
      <c r="UCN101" t="s">
        <v>455</v>
      </c>
      <c r="UCO101" t="s">
        <v>455</v>
      </c>
      <c r="UCP101" t="s">
        <v>455</v>
      </c>
      <c r="UCQ101" t="s">
        <v>455</v>
      </c>
      <c r="UCR101" t="s">
        <v>455</v>
      </c>
      <c r="UCS101" t="s">
        <v>455</v>
      </c>
      <c r="UCT101" t="s">
        <v>455</v>
      </c>
      <c r="UCU101" t="s">
        <v>455</v>
      </c>
      <c r="UCV101" t="s">
        <v>455</v>
      </c>
      <c r="UCW101" t="s">
        <v>455</v>
      </c>
      <c r="UCX101" t="s">
        <v>455</v>
      </c>
      <c r="UCY101" t="s">
        <v>455</v>
      </c>
      <c r="UCZ101" t="s">
        <v>455</v>
      </c>
      <c r="UDA101" t="s">
        <v>455</v>
      </c>
      <c r="UDB101" t="s">
        <v>455</v>
      </c>
      <c r="UDC101" t="s">
        <v>455</v>
      </c>
      <c r="UDD101" t="s">
        <v>455</v>
      </c>
      <c r="UDE101" t="s">
        <v>455</v>
      </c>
      <c r="UDF101" t="s">
        <v>455</v>
      </c>
      <c r="UDG101" t="s">
        <v>455</v>
      </c>
      <c r="UDH101" t="s">
        <v>455</v>
      </c>
      <c r="UDI101" t="s">
        <v>455</v>
      </c>
      <c r="UDJ101" t="s">
        <v>455</v>
      </c>
      <c r="UDK101" t="s">
        <v>455</v>
      </c>
      <c r="UDL101" t="s">
        <v>455</v>
      </c>
      <c r="UDM101" t="s">
        <v>455</v>
      </c>
      <c r="UDN101" t="s">
        <v>455</v>
      </c>
      <c r="UDO101" t="s">
        <v>455</v>
      </c>
      <c r="UDP101" t="s">
        <v>455</v>
      </c>
      <c r="UDQ101" t="s">
        <v>455</v>
      </c>
      <c r="UDR101" t="s">
        <v>455</v>
      </c>
      <c r="UDS101" t="s">
        <v>455</v>
      </c>
      <c r="UDT101" t="s">
        <v>455</v>
      </c>
      <c r="UDU101" t="s">
        <v>455</v>
      </c>
      <c r="UDV101" t="s">
        <v>455</v>
      </c>
      <c r="UDW101" t="s">
        <v>455</v>
      </c>
      <c r="UDX101" t="s">
        <v>455</v>
      </c>
      <c r="UDY101" t="s">
        <v>455</v>
      </c>
      <c r="UDZ101" t="s">
        <v>455</v>
      </c>
      <c r="UEA101" t="s">
        <v>455</v>
      </c>
      <c r="UEB101" t="s">
        <v>455</v>
      </c>
      <c r="UEC101" t="s">
        <v>455</v>
      </c>
      <c r="UED101" t="s">
        <v>455</v>
      </c>
      <c r="UEE101" t="s">
        <v>455</v>
      </c>
      <c r="UEF101" t="s">
        <v>455</v>
      </c>
      <c r="UEG101" t="s">
        <v>455</v>
      </c>
      <c r="UEH101" t="s">
        <v>455</v>
      </c>
      <c r="UEI101" t="s">
        <v>455</v>
      </c>
      <c r="UEJ101" t="s">
        <v>455</v>
      </c>
      <c r="UEK101" t="s">
        <v>455</v>
      </c>
      <c r="UEL101" t="s">
        <v>455</v>
      </c>
      <c r="UEM101" t="s">
        <v>455</v>
      </c>
      <c r="UEN101" t="s">
        <v>455</v>
      </c>
      <c r="UEO101" t="s">
        <v>455</v>
      </c>
      <c r="UEP101" t="s">
        <v>455</v>
      </c>
      <c r="UEQ101" t="s">
        <v>455</v>
      </c>
      <c r="UER101" t="s">
        <v>455</v>
      </c>
      <c r="UES101" t="s">
        <v>455</v>
      </c>
      <c r="UET101" t="s">
        <v>455</v>
      </c>
      <c r="UEU101" t="s">
        <v>455</v>
      </c>
      <c r="UEV101" t="s">
        <v>455</v>
      </c>
      <c r="UEW101" t="s">
        <v>455</v>
      </c>
      <c r="UEX101" t="s">
        <v>455</v>
      </c>
      <c r="UEY101" t="s">
        <v>455</v>
      </c>
      <c r="UEZ101" t="s">
        <v>455</v>
      </c>
      <c r="UFA101" t="s">
        <v>455</v>
      </c>
      <c r="UFB101" t="s">
        <v>455</v>
      </c>
      <c r="UFC101" t="s">
        <v>455</v>
      </c>
      <c r="UFD101" t="s">
        <v>455</v>
      </c>
      <c r="UFE101" t="s">
        <v>455</v>
      </c>
      <c r="UFF101" t="s">
        <v>455</v>
      </c>
      <c r="UFG101" t="s">
        <v>455</v>
      </c>
      <c r="UFH101" t="s">
        <v>455</v>
      </c>
      <c r="UFI101" t="s">
        <v>455</v>
      </c>
      <c r="UFJ101" t="s">
        <v>455</v>
      </c>
      <c r="UFK101" t="s">
        <v>455</v>
      </c>
      <c r="UFL101" t="s">
        <v>455</v>
      </c>
      <c r="UFM101" t="s">
        <v>455</v>
      </c>
      <c r="UFN101" t="s">
        <v>455</v>
      </c>
      <c r="UFO101" t="s">
        <v>455</v>
      </c>
      <c r="UFP101" t="s">
        <v>455</v>
      </c>
      <c r="UFQ101" t="s">
        <v>455</v>
      </c>
      <c r="UFR101" t="s">
        <v>455</v>
      </c>
      <c r="UFS101" t="s">
        <v>455</v>
      </c>
      <c r="UFT101" t="s">
        <v>455</v>
      </c>
      <c r="UFU101" t="s">
        <v>455</v>
      </c>
      <c r="UFV101" t="s">
        <v>455</v>
      </c>
      <c r="UFW101" t="s">
        <v>455</v>
      </c>
      <c r="UFX101" t="s">
        <v>455</v>
      </c>
      <c r="UFY101" t="s">
        <v>455</v>
      </c>
      <c r="UFZ101" t="s">
        <v>455</v>
      </c>
      <c r="UGA101" t="s">
        <v>455</v>
      </c>
      <c r="UGB101" t="s">
        <v>455</v>
      </c>
      <c r="UGC101" t="s">
        <v>455</v>
      </c>
      <c r="UGD101" t="s">
        <v>455</v>
      </c>
      <c r="UGE101" t="s">
        <v>455</v>
      </c>
      <c r="UGF101" t="s">
        <v>455</v>
      </c>
      <c r="UGG101" t="s">
        <v>455</v>
      </c>
      <c r="UGH101" t="s">
        <v>455</v>
      </c>
      <c r="UGI101" t="s">
        <v>455</v>
      </c>
      <c r="UGJ101" t="s">
        <v>455</v>
      </c>
      <c r="UGK101" t="s">
        <v>455</v>
      </c>
      <c r="UGL101" t="s">
        <v>455</v>
      </c>
      <c r="UGM101" t="s">
        <v>455</v>
      </c>
      <c r="UGN101" t="s">
        <v>455</v>
      </c>
      <c r="UGO101" t="s">
        <v>455</v>
      </c>
      <c r="UGP101" t="s">
        <v>455</v>
      </c>
      <c r="UGQ101" t="s">
        <v>455</v>
      </c>
      <c r="UGR101" t="s">
        <v>455</v>
      </c>
      <c r="UGS101" t="s">
        <v>455</v>
      </c>
      <c r="UGT101" t="s">
        <v>455</v>
      </c>
      <c r="UGU101" t="s">
        <v>455</v>
      </c>
      <c r="UGV101" t="s">
        <v>455</v>
      </c>
      <c r="UGW101" t="s">
        <v>455</v>
      </c>
      <c r="UGX101" t="s">
        <v>455</v>
      </c>
      <c r="UGY101" t="s">
        <v>455</v>
      </c>
      <c r="UGZ101" t="s">
        <v>455</v>
      </c>
      <c r="UHA101" t="s">
        <v>455</v>
      </c>
      <c r="UHB101" t="s">
        <v>455</v>
      </c>
      <c r="UHC101" t="s">
        <v>455</v>
      </c>
      <c r="UHD101" t="s">
        <v>455</v>
      </c>
      <c r="UHE101" t="s">
        <v>455</v>
      </c>
      <c r="UHF101" t="s">
        <v>455</v>
      </c>
      <c r="UHG101" t="s">
        <v>455</v>
      </c>
      <c r="UHH101" t="s">
        <v>455</v>
      </c>
      <c r="UHI101" t="s">
        <v>455</v>
      </c>
      <c r="UHJ101" t="s">
        <v>455</v>
      </c>
      <c r="UHK101" t="s">
        <v>455</v>
      </c>
      <c r="UHL101" t="s">
        <v>455</v>
      </c>
      <c r="UHM101" t="s">
        <v>455</v>
      </c>
      <c r="UHN101" t="s">
        <v>455</v>
      </c>
      <c r="UHO101" t="s">
        <v>455</v>
      </c>
      <c r="UHP101" t="s">
        <v>455</v>
      </c>
      <c r="UHQ101" t="s">
        <v>455</v>
      </c>
      <c r="UHR101" t="s">
        <v>455</v>
      </c>
      <c r="UHS101" t="s">
        <v>455</v>
      </c>
      <c r="UHT101" t="s">
        <v>455</v>
      </c>
      <c r="UHU101" t="s">
        <v>455</v>
      </c>
      <c r="UHV101" t="s">
        <v>455</v>
      </c>
      <c r="UHW101" t="s">
        <v>455</v>
      </c>
      <c r="UHX101" t="s">
        <v>455</v>
      </c>
      <c r="UHY101" t="s">
        <v>455</v>
      </c>
      <c r="UHZ101" t="s">
        <v>455</v>
      </c>
      <c r="UIA101" t="s">
        <v>455</v>
      </c>
      <c r="UIB101" t="s">
        <v>455</v>
      </c>
      <c r="UIC101" t="s">
        <v>455</v>
      </c>
      <c r="UID101" t="s">
        <v>455</v>
      </c>
      <c r="UIE101" t="s">
        <v>455</v>
      </c>
      <c r="UIF101" t="s">
        <v>455</v>
      </c>
      <c r="UIG101" t="s">
        <v>455</v>
      </c>
      <c r="UIH101" t="s">
        <v>455</v>
      </c>
      <c r="UII101" t="s">
        <v>455</v>
      </c>
      <c r="UIJ101" t="s">
        <v>455</v>
      </c>
      <c r="UIK101" t="s">
        <v>455</v>
      </c>
      <c r="UIL101" t="s">
        <v>455</v>
      </c>
      <c r="UIM101" t="s">
        <v>455</v>
      </c>
      <c r="UIN101" t="s">
        <v>455</v>
      </c>
      <c r="UIO101" t="s">
        <v>455</v>
      </c>
      <c r="UIP101" t="s">
        <v>455</v>
      </c>
      <c r="UIQ101" t="s">
        <v>455</v>
      </c>
      <c r="UIR101" t="s">
        <v>455</v>
      </c>
      <c r="UIS101" t="s">
        <v>455</v>
      </c>
      <c r="UIT101" t="s">
        <v>455</v>
      </c>
      <c r="UIU101" t="s">
        <v>455</v>
      </c>
      <c r="UIV101" t="s">
        <v>455</v>
      </c>
      <c r="UIW101" t="s">
        <v>455</v>
      </c>
      <c r="UIX101" t="s">
        <v>455</v>
      </c>
      <c r="UIY101" t="s">
        <v>455</v>
      </c>
      <c r="UIZ101" t="s">
        <v>455</v>
      </c>
      <c r="UJA101" t="s">
        <v>455</v>
      </c>
      <c r="UJB101" t="s">
        <v>455</v>
      </c>
      <c r="UJC101" t="s">
        <v>455</v>
      </c>
      <c r="UJD101" t="s">
        <v>455</v>
      </c>
      <c r="UJE101" t="s">
        <v>455</v>
      </c>
      <c r="UJF101" t="s">
        <v>455</v>
      </c>
      <c r="UJG101" t="s">
        <v>455</v>
      </c>
      <c r="UJH101" t="s">
        <v>455</v>
      </c>
      <c r="UJI101" t="s">
        <v>455</v>
      </c>
      <c r="UJJ101" t="s">
        <v>455</v>
      </c>
      <c r="UJK101" t="s">
        <v>455</v>
      </c>
      <c r="UJL101" t="s">
        <v>455</v>
      </c>
      <c r="UJM101" t="s">
        <v>455</v>
      </c>
      <c r="UJN101" t="s">
        <v>455</v>
      </c>
      <c r="UJO101" t="s">
        <v>455</v>
      </c>
      <c r="UJP101" t="s">
        <v>455</v>
      </c>
      <c r="UJQ101" t="s">
        <v>455</v>
      </c>
      <c r="UJR101" t="s">
        <v>455</v>
      </c>
      <c r="UJS101" t="s">
        <v>455</v>
      </c>
      <c r="UJT101" t="s">
        <v>455</v>
      </c>
      <c r="UJU101" t="s">
        <v>455</v>
      </c>
      <c r="UJV101" t="s">
        <v>455</v>
      </c>
      <c r="UJW101" t="s">
        <v>455</v>
      </c>
      <c r="UJX101" t="s">
        <v>455</v>
      </c>
      <c r="UJY101" t="s">
        <v>455</v>
      </c>
      <c r="UJZ101" t="s">
        <v>455</v>
      </c>
      <c r="UKA101" t="s">
        <v>455</v>
      </c>
      <c r="UKB101" t="s">
        <v>455</v>
      </c>
      <c r="UKC101" t="s">
        <v>455</v>
      </c>
      <c r="UKD101" t="s">
        <v>455</v>
      </c>
      <c r="UKE101" t="s">
        <v>455</v>
      </c>
      <c r="UKF101" t="s">
        <v>455</v>
      </c>
      <c r="UKG101" t="s">
        <v>455</v>
      </c>
      <c r="UKH101" t="s">
        <v>455</v>
      </c>
      <c r="UKI101" t="s">
        <v>455</v>
      </c>
      <c r="UKJ101" t="s">
        <v>455</v>
      </c>
      <c r="UKK101" t="s">
        <v>455</v>
      </c>
      <c r="UKL101" t="s">
        <v>455</v>
      </c>
      <c r="UKM101" t="s">
        <v>455</v>
      </c>
      <c r="UKN101" t="s">
        <v>455</v>
      </c>
      <c r="UKO101" t="s">
        <v>455</v>
      </c>
      <c r="UKP101" t="s">
        <v>455</v>
      </c>
      <c r="UKQ101" t="s">
        <v>455</v>
      </c>
      <c r="UKR101" t="s">
        <v>455</v>
      </c>
      <c r="UKS101" t="s">
        <v>455</v>
      </c>
      <c r="UKT101" t="s">
        <v>455</v>
      </c>
      <c r="UKU101" t="s">
        <v>455</v>
      </c>
      <c r="UKV101" t="s">
        <v>455</v>
      </c>
      <c r="UKW101" t="s">
        <v>455</v>
      </c>
      <c r="UKX101" t="s">
        <v>455</v>
      </c>
      <c r="UKY101" t="s">
        <v>455</v>
      </c>
      <c r="UKZ101" t="s">
        <v>455</v>
      </c>
      <c r="ULA101" t="s">
        <v>455</v>
      </c>
      <c r="ULB101" t="s">
        <v>455</v>
      </c>
      <c r="ULC101" t="s">
        <v>455</v>
      </c>
      <c r="ULD101" t="s">
        <v>455</v>
      </c>
      <c r="ULE101" t="s">
        <v>455</v>
      </c>
      <c r="ULF101" t="s">
        <v>455</v>
      </c>
      <c r="ULG101" t="s">
        <v>455</v>
      </c>
      <c r="ULH101" t="s">
        <v>455</v>
      </c>
      <c r="ULI101" t="s">
        <v>455</v>
      </c>
      <c r="ULJ101" t="s">
        <v>455</v>
      </c>
      <c r="ULK101" t="s">
        <v>455</v>
      </c>
      <c r="ULL101" t="s">
        <v>455</v>
      </c>
      <c r="ULM101" t="s">
        <v>455</v>
      </c>
      <c r="ULN101" t="s">
        <v>455</v>
      </c>
      <c r="ULO101" t="s">
        <v>455</v>
      </c>
      <c r="ULP101" t="s">
        <v>455</v>
      </c>
      <c r="ULQ101" t="s">
        <v>455</v>
      </c>
      <c r="ULR101" t="s">
        <v>455</v>
      </c>
      <c r="ULS101" t="s">
        <v>455</v>
      </c>
      <c r="ULT101" t="s">
        <v>455</v>
      </c>
      <c r="ULU101" t="s">
        <v>455</v>
      </c>
      <c r="ULV101" t="s">
        <v>455</v>
      </c>
      <c r="ULW101" t="s">
        <v>455</v>
      </c>
      <c r="ULX101" t="s">
        <v>455</v>
      </c>
      <c r="ULY101" t="s">
        <v>455</v>
      </c>
      <c r="ULZ101" t="s">
        <v>455</v>
      </c>
      <c r="UMA101" t="s">
        <v>455</v>
      </c>
      <c r="UMB101" t="s">
        <v>455</v>
      </c>
      <c r="UMC101" t="s">
        <v>455</v>
      </c>
      <c r="UMD101" t="s">
        <v>455</v>
      </c>
      <c r="UME101" t="s">
        <v>455</v>
      </c>
      <c r="UMF101" t="s">
        <v>455</v>
      </c>
      <c r="UMG101" t="s">
        <v>455</v>
      </c>
      <c r="UMH101" t="s">
        <v>455</v>
      </c>
      <c r="UMI101" t="s">
        <v>455</v>
      </c>
      <c r="UMJ101" t="s">
        <v>455</v>
      </c>
      <c r="UMK101" t="s">
        <v>455</v>
      </c>
      <c r="UML101" t="s">
        <v>455</v>
      </c>
      <c r="UMM101" t="s">
        <v>455</v>
      </c>
      <c r="UMN101" t="s">
        <v>455</v>
      </c>
      <c r="UMO101" t="s">
        <v>455</v>
      </c>
      <c r="UMP101" t="s">
        <v>455</v>
      </c>
      <c r="UMQ101" t="s">
        <v>455</v>
      </c>
      <c r="UMR101" t="s">
        <v>455</v>
      </c>
      <c r="UMS101" t="s">
        <v>455</v>
      </c>
      <c r="UMT101" t="s">
        <v>455</v>
      </c>
      <c r="UMU101" t="s">
        <v>455</v>
      </c>
      <c r="UMV101" t="s">
        <v>455</v>
      </c>
      <c r="UMW101" t="s">
        <v>455</v>
      </c>
      <c r="UMX101" t="s">
        <v>455</v>
      </c>
      <c r="UMY101" t="s">
        <v>455</v>
      </c>
      <c r="UMZ101" t="s">
        <v>455</v>
      </c>
      <c r="UNA101" t="s">
        <v>455</v>
      </c>
      <c r="UNB101" t="s">
        <v>455</v>
      </c>
      <c r="UNC101" t="s">
        <v>455</v>
      </c>
      <c r="UND101" t="s">
        <v>455</v>
      </c>
      <c r="UNE101" t="s">
        <v>455</v>
      </c>
      <c r="UNF101" t="s">
        <v>455</v>
      </c>
      <c r="UNG101" t="s">
        <v>455</v>
      </c>
      <c r="UNH101" t="s">
        <v>455</v>
      </c>
      <c r="UNI101" t="s">
        <v>455</v>
      </c>
      <c r="UNJ101" t="s">
        <v>455</v>
      </c>
      <c r="UNK101" t="s">
        <v>455</v>
      </c>
      <c r="UNL101" t="s">
        <v>455</v>
      </c>
      <c r="UNM101" t="s">
        <v>455</v>
      </c>
      <c r="UNN101" t="s">
        <v>455</v>
      </c>
      <c r="UNO101" t="s">
        <v>455</v>
      </c>
      <c r="UNP101" t="s">
        <v>455</v>
      </c>
      <c r="UNQ101" t="s">
        <v>455</v>
      </c>
      <c r="UNR101" t="s">
        <v>455</v>
      </c>
      <c r="UNS101" t="s">
        <v>455</v>
      </c>
      <c r="UNT101" t="s">
        <v>455</v>
      </c>
      <c r="UNU101" t="s">
        <v>455</v>
      </c>
      <c r="UNV101" t="s">
        <v>455</v>
      </c>
      <c r="UNW101" t="s">
        <v>455</v>
      </c>
      <c r="UNX101" t="s">
        <v>455</v>
      </c>
      <c r="UNY101" t="s">
        <v>455</v>
      </c>
      <c r="UNZ101" t="s">
        <v>455</v>
      </c>
      <c r="UOA101" t="s">
        <v>455</v>
      </c>
      <c r="UOB101" t="s">
        <v>455</v>
      </c>
      <c r="UOC101" t="s">
        <v>455</v>
      </c>
      <c r="UOD101" t="s">
        <v>455</v>
      </c>
      <c r="UOE101" t="s">
        <v>455</v>
      </c>
      <c r="UOF101" t="s">
        <v>455</v>
      </c>
      <c r="UOG101" t="s">
        <v>455</v>
      </c>
      <c r="UOH101" t="s">
        <v>455</v>
      </c>
      <c r="UOI101" t="s">
        <v>455</v>
      </c>
      <c r="UOJ101" t="s">
        <v>455</v>
      </c>
      <c r="UOK101" t="s">
        <v>455</v>
      </c>
      <c r="UOL101" t="s">
        <v>455</v>
      </c>
      <c r="UOM101" t="s">
        <v>455</v>
      </c>
      <c r="UON101" t="s">
        <v>455</v>
      </c>
      <c r="UOO101" t="s">
        <v>455</v>
      </c>
      <c r="UOP101" t="s">
        <v>455</v>
      </c>
      <c r="UOQ101" t="s">
        <v>455</v>
      </c>
      <c r="UOR101" t="s">
        <v>455</v>
      </c>
      <c r="UOS101" t="s">
        <v>455</v>
      </c>
      <c r="UOT101" t="s">
        <v>455</v>
      </c>
      <c r="UOU101" t="s">
        <v>455</v>
      </c>
      <c r="UOV101" t="s">
        <v>455</v>
      </c>
      <c r="UOW101" t="s">
        <v>455</v>
      </c>
      <c r="UOX101" t="s">
        <v>455</v>
      </c>
      <c r="UOY101" t="s">
        <v>455</v>
      </c>
      <c r="UOZ101" t="s">
        <v>455</v>
      </c>
      <c r="UPA101" t="s">
        <v>455</v>
      </c>
      <c r="UPB101" t="s">
        <v>455</v>
      </c>
      <c r="UPC101" t="s">
        <v>455</v>
      </c>
      <c r="UPD101" t="s">
        <v>455</v>
      </c>
      <c r="UPE101" t="s">
        <v>455</v>
      </c>
      <c r="UPF101" t="s">
        <v>455</v>
      </c>
      <c r="UPG101" t="s">
        <v>455</v>
      </c>
      <c r="UPH101" t="s">
        <v>455</v>
      </c>
      <c r="UPI101" t="s">
        <v>455</v>
      </c>
      <c r="UPJ101" t="s">
        <v>455</v>
      </c>
      <c r="UPK101" t="s">
        <v>455</v>
      </c>
      <c r="UPL101" t="s">
        <v>455</v>
      </c>
      <c r="UPM101" t="s">
        <v>455</v>
      </c>
      <c r="UPN101" t="s">
        <v>455</v>
      </c>
      <c r="UPO101" t="s">
        <v>455</v>
      </c>
      <c r="UPP101" t="s">
        <v>455</v>
      </c>
      <c r="UPQ101" t="s">
        <v>455</v>
      </c>
      <c r="UPR101" t="s">
        <v>455</v>
      </c>
      <c r="UPS101" t="s">
        <v>455</v>
      </c>
      <c r="UPT101" t="s">
        <v>455</v>
      </c>
      <c r="UPU101" t="s">
        <v>455</v>
      </c>
      <c r="UPV101" t="s">
        <v>455</v>
      </c>
      <c r="UPW101" t="s">
        <v>455</v>
      </c>
      <c r="UPX101" t="s">
        <v>455</v>
      </c>
      <c r="UPY101" t="s">
        <v>455</v>
      </c>
      <c r="UPZ101" t="s">
        <v>455</v>
      </c>
      <c r="UQA101" t="s">
        <v>455</v>
      </c>
      <c r="UQB101" t="s">
        <v>455</v>
      </c>
      <c r="UQC101" t="s">
        <v>455</v>
      </c>
      <c r="UQD101" t="s">
        <v>455</v>
      </c>
      <c r="UQE101" t="s">
        <v>455</v>
      </c>
      <c r="UQF101" t="s">
        <v>455</v>
      </c>
      <c r="UQG101" t="s">
        <v>455</v>
      </c>
      <c r="UQH101" t="s">
        <v>455</v>
      </c>
      <c r="UQI101" t="s">
        <v>455</v>
      </c>
      <c r="UQJ101" t="s">
        <v>455</v>
      </c>
      <c r="UQK101" t="s">
        <v>455</v>
      </c>
      <c r="UQL101" t="s">
        <v>455</v>
      </c>
      <c r="UQM101" t="s">
        <v>455</v>
      </c>
      <c r="UQN101" t="s">
        <v>455</v>
      </c>
      <c r="UQO101" t="s">
        <v>455</v>
      </c>
      <c r="UQP101" t="s">
        <v>455</v>
      </c>
      <c r="UQQ101" t="s">
        <v>455</v>
      </c>
      <c r="UQR101" t="s">
        <v>455</v>
      </c>
      <c r="UQS101" t="s">
        <v>455</v>
      </c>
      <c r="UQT101" t="s">
        <v>455</v>
      </c>
      <c r="UQU101" t="s">
        <v>455</v>
      </c>
      <c r="UQV101" t="s">
        <v>455</v>
      </c>
      <c r="UQW101" t="s">
        <v>455</v>
      </c>
      <c r="UQX101" t="s">
        <v>455</v>
      </c>
      <c r="UQY101" t="s">
        <v>455</v>
      </c>
      <c r="UQZ101" t="s">
        <v>455</v>
      </c>
      <c r="URA101" t="s">
        <v>455</v>
      </c>
      <c r="URB101" t="s">
        <v>455</v>
      </c>
      <c r="URC101" t="s">
        <v>455</v>
      </c>
      <c r="URD101" t="s">
        <v>455</v>
      </c>
      <c r="URE101" t="s">
        <v>455</v>
      </c>
      <c r="URF101" t="s">
        <v>455</v>
      </c>
      <c r="URG101" t="s">
        <v>455</v>
      </c>
      <c r="URH101" t="s">
        <v>455</v>
      </c>
      <c r="URI101" t="s">
        <v>455</v>
      </c>
      <c r="URJ101" t="s">
        <v>455</v>
      </c>
      <c r="URK101" t="s">
        <v>455</v>
      </c>
      <c r="URL101" t="s">
        <v>455</v>
      </c>
      <c r="URM101" t="s">
        <v>455</v>
      </c>
      <c r="URN101" t="s">
        <v>455</v>
      </c>
      <c r="URO101" t="s">
        <v>455</v>
      </c>
      <c r="URP101" t="s">
        <v>455</v>
      </c>
      <c r="URQ101" t="s">
        <v>455</v>
      </c>
      <c r="URR101" t="s">
        <v>455</v>
      </c>
      <c r="URS101" t="s">
        <v>455</v>
      </c>
      <c r="URT101" t="s">
        <v>455</v>
      </c>
      <c r="URU101" t="s">
        <v>455</v>
      </c>
      <c r="URV101" t="s">
        <v>455</v>
      </c>
      <c r="URW101" t="s">
        <v>455</v>
      </c>
      <c r="URX101" t="s">
        <v>455</v>
      </c>
      <c r="URY101" t="s">
        <v>455</v>
      </c>
      <c r="URZ101" t="s">
        <v>455</v>
      </c>
      <c r="USA101" t="s">
        <v>455</v>
      </c>
      <c r="USB101" t="s">
        <v>455</v>
      </c>
      <c r="USC101" t="s">
        <v>455</v>
      </c>
      <c r="USD101" t="s">
        <v>455</v>
      </c>
      <c r="USE101" t="s">
        <v>455</v>
      </c>
      <c r="USF101" t="s">
        <v>455</v>
      </c>
      <c r="USG101" t="s">
        <v>455</v>
      </c>
      <c r="USH101" t="s">
        <v>455</v>
      </c>
      <c r="USI101" t="s">
        <v>455</v>
      </c>
      <c r="USJ101" t="s">
        <v>455</v>
      </c>
      <c r="USK101" t="s">
        <v>455</v>
      </c>
      <c r="USL101" t="s">
        <v>455</v>
      </c>
      <c r="USM101" t="s">
        <v>455</v>
      </c>
      <c r="USN101" t="s">
        <v>455</v>
      </c>
      <c r="USO101" t="s">
        <v>455</v>
      </c>
      <c r="USP101" t="s">
        <v>455</v>
      </c>
      <c r="USQ101" t="s">
        <v>455</v>
      </c>
      <c r="USR101" t="s">
        <v>455</v>
      </c>
      <c r="USS101" t="s">
        <v>455</v>
      </c>
      <c r="UST101" t="s">
        <v>455</v>
      </c>
      <c r="USU101" t="s">
        <v>455</v>
      </c>
      <c r="USV101" t="s">
        <v>455</v>
      </c>
      <c r="USW101" t="s">
        <v>455</v>
      </c>
      <c r="USX101" t="s">
        <v>455</v>
      </c>
      <c r="USY101" t="s">
        <v>455</v>
      </c>
      <c r="USZ101" t="s">
        <v>455</v>
      </c>
      <c r="UTA101" t="s">
        <v>455</v>
      </c>
      <c r="UTB101" t="s">
        <v>455</v>
      </c>
      <c r="UTC101" t="s">
        <v>455</v>
      </c>
      <c r="UTD101" t="s">
        <v>455</v>
      </c>
      <c r="UTE101" t="s">
        <v>455</v>
      </c>
      <c r="UTF101" t="s">
        <v>455</v>
      </c>
      <c r="UTG101" t="s">
        <v>455</v>
      </c>
      <c r="UTH101" t="s">
        <v>455</v>
      </c>
      <c r="UTI101" t="s">
        <v>455</v>
      </c>
      <c r="UTJ101" t="s">
        <v>455</v>
      </c>
      <c r="UTK101" t="s">
        <v>455</v>
      </c>
      <c r="UTL101" t="s">
        <v>455</v>
      </c>
      <c r="UTM101" t="s">
        <v>455</v>
      </c>
      <c r="UTN101" t="s">
        <v>455</v>
      </c>
      <c r="UTO101" t="s">
        <v>455</v>
      </c>
      <c r="UTP101" t="s">
        <v>455</v>
      </c>
      <c r="UTQ101" t="s">
        <v>455</v>
      </c>
      <c r="UTR101" t="s">
        <v>455</v>
      </c>
      <c r="UTS101" t="s">
        <v>455</v>
      </c>
      <c r="UTT101" t="s">
        <v>455</v>
      </c>
      <c r="UTU101" t="s">
        <v>455</v>
      </c>
      <c r="UTV101" t="s">
        <v>455</v>
      </c>
      <c r="UTW101" t="s">
        <v>455</v>
      </c>
      <c r="UTX101" t="s">
        <v>455</v>
      </c>
      <c r="UTY101" t="s">
        <v>455</v>
      </c>
      <c r="UTZ101" t="s">
        <v>455</v>
      </c>
      <c r="UUA101" t="s">
        <v>455</v>
      </c>
      <c r="UUB101" t="s">
        <v>455</v>
      </c>
      <c r="UUC101" t="s">
        <v>455</v>
      </c>
      <c r="UUD101" t="s">
        <v>455</v>
      </c>
      <c r="UUE101" t="s">
        <v>455</v>
      </c>
      <c r="UUF101" t="s">
        <v>455</v>
      </c>
      <c r="UUG101" t="s">
        <v>455</v>
      </c>
      <c r="UUH101" t="s">
        <v>455</v>
      </c>
      <c r="UUI101" t="s">
        <v>455</v>
      </c>
      <c r="UUJ101" t="s">
        <v>455</v>
      </c>
      <c r="UUK101" t="s">
        <v>455</v>
      </c>
      <c r="UUL101" t="s">
        <v>455</v>
      </c>
      <c r="UUM101" t="s">
        <v>455</v>
      </c>
      <c r="UUN101" t="s">
        <v>455</v>
      </c>
      <c r="UUO101" t="s">
        <v>455</v>
      </c>
      <c r="UUP101" t="s">
        <v>455</v>
      </c>
      <c r="UUQ101" t="s">
        <v>455</v>
      </c>
      <c r="UUR101" t="s">
        <v>455</v>
      </c>
      <c r="UUS101" t="s">
        <v>455</v>
      </c>
      <c r="UUT101" t="s">
        <v>455</v>
      </c>
      <c r="UUU101" t="s">
        <v>455</v>
      </c>
      <c r="UUV101" t="s">
        <v>455</v>
      </c>
      <c r="UUW101" t="s">
        <v>455</v>
      </c>
      <c r="UUX101" t="s">
        <v>455</v>
      </c>
      <c r="UUY101" t="s">
        <v>455</v>
      </c>
      <c r="UUZ101" t="s">
        <v>455</v>
      </c>
      <c r="UVA101" t="s">
        <v>455</v>
      </c>
      <c r="UVB101" t="s">
        <v>455</v>
      </c>
      <c r="UVC101" t="s">
        <v>455</v>
      </c>
      <c r="UVD101" t="s">
        <v>455</v>
      </c>
      <c r="UVE101" t="s">
        <v>455</v>
      </c>
      <c r="UVF101" t="s">
        <v>455</v>
      </c>
      <c r="UVG101" t="s">
        <v>455</v>
      </c>
      <c r="UVH101" t="s">
        <v>455</v>
      </c>
      <c r="UVI101" t="s">
        <v>455</v>
      </c>
      <c r="UVJ101" t="s">
        <v>455</v>
      </c>
      <c r="UVK101" t="s">
        <v>455</v>
      </c>
      <c r="UVL101" t="s">
        <v>455</v>
      </c>
      <c r="UVM101" t="s">
        <v>455</v>
      </c>
      <c r="UVN101" t="s">
        <v>455</v>
      </c>
      <c r="UVO101" t="s">
        <v>455</v>
      </c>
      <c r="UVP101" t="s">
        <v>455</v>
      </c>
      <c r="UVQ101" t="s">
        <v>455</v>
      </c>
      <c r="UVR101" t="s">
        <v>455</v>
      </c>
      <c r="UVS101" t="s">
        <v>455</v>
      </c>
      <c r="UVT101" t="s">
        <v>455</v>
      </c>
      <c r="UVU101" t="s">
        <v>455</v>
      </c>
      <c r="UVV101" t="s">
        <v>455</v>
      </c>
      <c r="UVW101" t="s">
        <v>455</v>
      </c>
      <c r="UVX101" t="s">
        <v>455</v>
      </c>
      <c r="UVY101" t="s">
        <v>455</v>
      </c>
      <c r="UVZ101" t="s">
        <v>455</v>
      </c>
      <c r="UWA101" t="s">
        <v>455</v>
      </c>
      <c r="UWB101" t="s">
        <v>455</v>
      </c>
      <c r="UWC101" t="s">
        <v>455</v>
      </c>
      <c r="UWD101" t="s">
        <v>455</v>
      </c>
      <c r="UWE101" t="s">
        <v>455</v>
      </c>
      <c r="UWF101" t="s">
        <v>455</v>
      </c>
      <c r="UWG101" t="s">
        <v>455</v>
      </c>
      <c r="UWH101" t="s">
        <v>455</v>
      </c>
      <c r="UWI101" t="s">
        <v>455</v>
      </c>
      <c r="UWJ101" t="s">
        <v>455</v>
      </c>
      <c r="UWK101" t="s">
        <v>455</v>
      </c>
      <c r="UWL101" t="s">
        <v>455</v>
      </c>
      <c r="UWM101" t="s">
        <v>455</v>
      </c>
      <c r="UWN101" t="s">
        <v>455</v>
      </c>
      <c r="UWO101" t="s">
        <v>455</v>
      </c>
      <c r="UWP101" t="s">
        <v>455</v>
      </c>
      <c r="UWQ101" t="s">
        <v>455</v>
      </c>
      <c r="UWR101" t="s">
        <v>455</v>
      </c>
      <c r="UWS101" t="s">
        <v>455</v>
      </c>
      <c r="UWT101" t="s">
        <v>455</v>
      </c>
      <c r="UWU101" t="s">
        <v>455</v>
      </c>
      <c r="UWV101" t="s">
        <v>455</v>
      </c>
      <c r="UWW101" t="s">
        <v>455</v>
      </c>
      <c r="UWX101" t="s">
        <v>455</v>
      </c>
      <c r="UWY101" t="s">
        <v>455</v>
      </c>
      <c r="UWZ101" t="s">
        <v>455</v>
      </c>
      <c r="UXA101" t="s">
        <v>455</v>
      </c>
      <c r="UXB101" t="s">
        <v>455</v>
      </c>
      <c r="UXC101" t="s">
        <v>455</v>
      </c>
      <c r="UXD101" t="s">
        <v>455</v>
      </c>
      <c r="UXE101" t="s">
        <v>455</v>
      </c>
      <c r="UXF101" t="s">
        <v>455</v>
      </c>
      <c r="UXG101" t="s">
        <v>455</v>
      </c>
      <c r="UXH101" t="s">
        <v>455</v>
      </c>
      <c r="UXI101" t="s">
        <v>455</v>
      </c>
      <c r="UXJ101" t="s">
        <v>455</v>
      </c>
      <c r="UXK101" t="s">
        <v>455</v>
      </c>
      <c r="UXL101" t="s">
        <v>455</v>
      </c>
      <c r="UXM101" t="s">
        <v>455</v>
      </c>
      <c r="UXN101" t="s">
        <v>455</v>
      </c>
      <c r="UXO101" t="s">
        <v>455</v>
      </c>
      <c r="UXP101" t="s">
        <v>455</v>
      </c>
      <c r="UXQ101" t="s">
        <v>455</v>
      </c>
      <c r="UXR101" t="s">
        <v>455</v>
      </c>
      <c r="UXS101" t="s">
        <v>455</v>
      </c>
      <c r="UXT101" t="s">
        <v>455</v>
      </c>
      <c r="UXU101" t="s">
        <v>455</v>
      </c>
      <c r="UXV101" t="s">
        <v>455</v>
      </c>
      <c r="UXW101" t="s">
        <v>455</v>
      </c>
      <c r="UXX101" t="s">
        <v>455</v>
      </c>
      <c r="UXY101" t="s">
        <v>455</v>
      </c>
      <c r="UXZ101" t="s">
        <v>455</v>
      </c>
      <c r="UYA101" t="s">
        <v>455</v>
      </c>
      <c r="UYB101" t="s">
        <v>455</v>
      </c>
      <c r="UYC101" t="s">
        <v>455</v>
      </c>
      <c r="UYD101" t="s">
        <v>455</v>
      </c>
      <c r="UYE101" t="s">
        <v>455</v>
      </c>
      <c r="UYF101" t="s">
        <v>455</v>
      </c>
      <c r="UYG101" t="s">
        <v>455</v>
      </c>
      <c r="UYH101" t="s">
        <v>455</v>
      </c>
      <c r="UYI101" t="s">
        <v>455</v>
      </c>
      <c r="UYJ101" t="s">
        <v>455</v>
      </c>
      <c r="UYK101" t="s">
        <v>455</v>
      </c>
      <c r="UYL101" t="s">
        <v>455</v>
      </c>
      <c r="UYM101" t="s">
        <v>455</v>
      </c>
      <c r="UYN101" t="s">
        <v>455</v>
      </c>
      <c r="UYO101" t="s">
        <v>455</v>
      </c>
      <c r="UYP101" t="s">
        <v>455</v>
      </c>
      <c r="UYQ101" t="s">
        <v>455</v>
      </c>
      <c r="UYR101" t="s">
        <v>455</v>
      </c>
      <c r="UYS101" t="s">
        <v>455</v>
      </c>
      <c r="UYT101" t="s">
        <v>455</v>
      </c>
      <c r="UYU101" t="s">
        <v>455</v>
      </c>
      <c r="UYV101" t="s">
        <v>455</v>
      </c>
      <c r="UYW101" t="s">
        <v>455</v>
      </c>
      <c r="UYX101" t="s">
        <v>455</v>
      </c>
      <c r="UYY101" t="s">
        <v>455</v>
      </c>
      <c r="UYZ101" t="s">
        <v>455</v>
      </c>
      <c r="UZA101" t="s">
        <v>455</v>
      </c>
      <c r="UZB101" t="s">
        <v>455</v>
      </c>
      <c r="UZC101" t="s">
        <v>455</v>
      </c>
      <c r="UZD101" t="s">
        <v>455</v>
      </c>
      <c r="UZE101" t="s">
        <v>455</v>
      </c>
      <c r="UZF101" t="s">
        <v>455</v>
      </c>
      <c r="UZG101" t="s">
        <v>455</v>
      </c>
      <c r="UZH101" t="s">
        <v>455</v>
      </c>
      <c r="UZI101" t="s">
        <v>455</v>
      </c>
      <c r="UZJ101" t="s">
        <v>455</v>
      </c>
      <c r="UZK101" t="s">
        <v>455</v>
      </c>
      <c r="UZL101" t="s">
        <v>455</v>
      </c>
      <c r="UZM101" t="s">
        <v>455</v>
      </c>
      <c r="UZN101" t="s">
        <v>455</v>
      </c>
      <c r="UZO101" t="s">
        <v>455</v>
      </c>
      <c r="UZP101" t="s">
        <v>455</v>
      </c>
      <c r="UZQ101" t="s">
        <v>455</v>
      </c>
      <c r="UZR101" t="s">
        <v>455</v>
      </c>
      <c r="UZS101" t="s">
        <v>455</v>
      </c>
      <c r="UZT101" t="s">
        <v>455</v>
      </c>
      <c r="UZU101" t="s">
        <v>455</v>
      </c>
      <c r="UZV101" t="s">
        <v>455</v>
      </c>
      <c r="UZW101" t="s">
        <v>455</v>
      </c>
      <c r="UZX101" t="s">
        <v>455</v>
      </c>
      <c r="UZY101" t="s">
        <v>455</v>
      </c>
      <c r="UZZ101" t="s">
        <v>455</v>
      </c>
      <c r="VAA101" t="s">
        <v>455</v>
      </c>
      <c r="VAB101" t="s">
        <v>455</v>
      </c>
      <c r="VAC101" t="s">
        <v>455</v>
      </c>
      <c r="VAD101" t="s">
        <v>455</v>
      </c>
      <c r="VAE101" t="s">
        <v>455</v>
      </c>
      <c r="VAF101" t="s">
        <v>455</v>
      </c>
      <c r="VAG101" t="s">
        <v>455</v>
      </c>
      <c r="VAH101" t="s">
        <v>455</v>
      </c>
      <c r="VAI101" t="s">
        <v>455</v>
      </c>
      <c r="VAJ101" t="s">
        <v>455</v>
      </c>
      <c r="VAK101" t="s">
        <v>455</v>
      </c>
      <c r="VAL101" t="s">
        <v>455</v>
      </c>
      <c r="VAM101" t="s">
        <v>455</v>
      </c>
      <c r="VAN101" t="s">
        <v>455</v>
      </c>
      <c r="VAO101" t="s">
        <v>455</v>
      </c>
      <c r="VAP101" t="s">
        <v>455</v>
      </c>
      <c r="VAQ101" t="s">
        <v>455</v>
      </c>
      <c r="VAR101" t="s">
        <v>455</v>
      </c>
      <c r="VAS101" t="s">
        <v>455</v>
      </c>
      <c r="VAT101" t="s">
        <v>455</v>
      </c>
      <c r="VAU101" t="s">
        <v>455</v>
      </c>
      <c r="VAV101" t="s">
        <v>455</v>
      </c>
      <c r="VAW101" t="s">
        <v>455</v>
      </c>
      <c r="VAX101" t="s">
        <v>455</v>
      </c>
      <c r="VAY101" t="s">
        <v>455</v>
      </c>
      <c r="VAZ101" t="s">
        <v>455</v>
      </c>
      <c r="VBA101" t="s">
        <v>455</v>
      </c>
      <c r="VBB101" t="s">
        <v>455</v>
      </c>
      <c r="VBC101" t="s">
        <v>455</v>
      </c>
      <c r="VBD101" t="s">
        <v>455</v>
      </c>
      <c r="VBE101" t="s">
        <v>455</v>
      </c>
      <c r="VBF101" t="s">
        <v>455</v>
      </c>
      <c r="VBG101" t="s">
        <v>455</v>
      </c>
      <c r="VBH101" t="s">
        <v>455</v>
      </c>
      <c r="VBI101" t="s">
        <v>455</v>
      </c>
      <c r="VBJ101" t="s">
        <v>455</v>
      </c>
      <c r="VBK101" t="s">
        <v>455</v>
      </c>
      <c r="VBL101" t="s">
        <v>455</v>
      </c>
      <c r="VBM101" t="s">
        <v>455</v>
      </c>
      <c r="VBN101" t="s">
        <v>455</v>
      </c>
      <c r="VBO101" t="s">
        <v>455</v>
      </c>
      <c r="VBP101" t="s">
        <v>455</v>
      </c>
      <c r="VBQ101" t="s">
        <v>455</v>
      </c>
      <c r="VBR101" t="s">
        <v>455</v>
      </c>
      <c r="VBS101" t="s">
        <v>455</v>
      </c>
      <c r="VBT101" t="s">
        <v>455</v>
      </c>
      <c r="VBU101" t="s">
        <v>455</v>
      </c>
      <c r="VBV101" t="s">
        <v>455</v>
      </c>
      <c r="VBW101" t="s">
        <v>455</v>
      </c>
      <c r="VBX101" t="s">
        <v>455</v>
      </c>
      <c r="VBY101" t="s">
        <v>455</v>
      </c>
      <c r="VBZ101" t="s">
        <v>455</v>
      </c>
      <c r="VCA101" t="s">
        <v>455</v>
      </c>
      <c r="VCB101" t="s">
        <v>455</v>
      </c>
      <c r="VCC101" t="s">
        <v>455</v>
      </c>
      <c r="VCD101" t="s">
        <v>455</v>
      </c>
      <c r="VCE101" t="s">
        <v>455</v>
      </c>
      <c r="VCF101" t="s">
        <v>455</v>
      </c>
      <c r="VCG101" t="s">
        <v>455</v>
      </c>
      <c r="VCH101" t="s">
        <v>455</v>
      </c>
      <c r="VCI101" t="s">
        <v>455</v>
      </c>
      <c r="VCJ101" t="s">
        <v>455</v>
      </c>
      <c r="VCK101" t="s">
        <v>455</v>
      </c>
      <c r="VCL101" t="s">
        <v>455</v>
      </c>
      <c r="VCM101" t="s">
        <v>455</v>
      </c>
      <c r="VCN101" t="s">
        <v>455</v>
      </c>
      <c r="VCO101" t="s">
        <v>455</v>
      </c>
      <c r="VCP101" t="s">
        <v>455</v>
      </c>
      <c r="VCQ101" t="s">
        <v>455</v>
      </c>
      <c r="VCR101" t="s">
        <v>455</v>
      </c>
      <c r="VCS101" t="s">
        <v>455</v>
      </c>
      <c r="VCT101" t="s">
        <v>455</v>
      </c>
      <c r="VCU101" t="s">
        <v>455</v>
      </c>
      <c r="VCV101" t="s">
        <v>455</v>
      </c>
      <c r="VCW101" t="s">
        <v>455</v>
      </c>
      <c r="VCX101" t="s">
        <v>455</v>
      </c>
      <c r="VCY101" t="s">
        <v>455</v>
      </c>
      <c r="VCZ101" t="s">
        <v>455</v>
      </c>
      <c r="VDA101" t="s">
        <v>455</v>
      </c>
      <c r="VDB101" t="s">
        <v>455</v>
      </c>
      <c r="VDC101" t="s">
        <v>455</v>
      </c>
      <c r="VDD101" t="s">
        <v>455</v>
      </c>
      <c r="VDE101" t="s">
        <v>455</v>
      </c>
      <c r="VDF101" t="s">
        <v>455</v>
      </c>
      <c r="VDG101" t="s">
        <v>455</v>
      </c>
      <c r="VDH101" t="s">
        <v>455</v>
      </c>
      <c r="VDI101" t="s">
        <v>455</v>
      </c>
      <c r="VDJ101" t="s">
        <v>455</v>
      </c>
      <c r="VDK101" t="s">
        <v>455</v>
      </c>
      <c r="VDL101" t="s">
        <v>455</v>
      </c>
      <c r="VDM101" t="s">
        <v>455</v>
      </c>
      <c r="VDN101" t="s">
        <v>455</v>
      </c>
      <c r="VDO101" t="s">
        <v>455</v>
      </c>
      <c r="VDP101" t="s">
        <v>455</v>
      </c>
      <c r="VDQ101" t="s">
        <v>455</v>
      </c>
      <c r="VDR101" t="s">
        <v>455</v>
      </c>
      <c r="VDS101" t="s">
        <v>455</v>
      </c>
      <c r="VDT101" t="s">
        <v>455</v>
      </c>
      <c r="VDU101" t="s">
        <v>455</v>
      </c>
      <c r="VDV101" t="s">
        <v>455</v>
      </c>
      <c r="VDW101" t="s">
        <v>455</v>
      </c>
      <c r="VDX101" t="s">
        <v>455</v>
      </c>
      <c r="VDY101" t="s">
        <v>455</v>
      </c>
      <c r="VDZ101" t="s">
        <v>455</v>
      </c>
      <c r="VEA101" t="s">
        <v>455</v>
      </c>
      <c r="VEB101" t="s">
        <v>455</v>
      </c>
      <c r="VEC101" t="s">
        <v>455</v>
      </c>
      <c r="VED101" t="s">
        <v>455</v>
      </c>
      <c r="VEE101" t="s">
        <v>455</v>
      </c>
      <c r="VEF101" t="s">
        <v>455</v>
      </c>
      <c r="VEG101" t="s">
        <v>455</v>
      </c>
      <c r="VEH101" t="s">
        <v>455</v>
      </c>
      <c r="VEI101" t="s">
        <v>455</v>
      </c>
      <c r="VEJ101" t="s">
        <v>455</v>
      </c>
      <c r="VEK101" t="s">
        <v>455</v>
      </c>
      <c r="VEL101" t="s">
        <v>455</v>
      </c>
      <c r="VEM101" t="s">
        <v>455</v>
      </c>
      <c r="VEN101" t="s">
        <v>455</v>
      </c>
      <c r="VEO101" t="s">
        <v>455</v>
      </c>
      <c r="VEP101" t="s">
        <v>455</v>
      </c>
      <c r="VEQ101" t="s">
        <v>455</v>
      </c>
      <c r="VER101" t="s">
        <v>455</v>
      </c>
      <c r="VES101" t="s">
        <v>455</v>
      </c>
      <c r="VET101" t="s">
        <v>455</v>
      </c>
      <c r="VEU101" t="s">
        <v>455</v>
      </c>
      <c r="VEV101" t="s">
        <v>455</v>
      </c>
      <c r="VEW101" t="s">
        <v>455</v>
      </c>
      <c r="VEX101" t="s">
        <v>455</v>
      </c>
      <c r="VEY101" t="s">
        <v>455</v>
      </c>
      <c r="VEZ101" t="s">
        <v>455</v>
      </c>
      <c r="VFA101" t="s">
        <v>455</v>
      </c>
      <c r="VFB101" t="s">
        <v>455</v>
      </c>
      <c r="VFC101" t="s">
        <v>455</v>
      </c>
      <c r="VFD101" t="s">
        <v>455</v>
      </c>
      <c r="VFE101" t="s">
        <v>455</v>
      </c>
      <c r="VFF101" t="s">
        <v>455</v>
      </c>
      <c r="VFG101" t="s">
        <v>455</v>
      </c>
      <c r="VFH101" t="s">
        <v>455</v>
      </c>
      <c r="VFI101" t="s">
        <v>455</v>
      </c>
      <c r="VFJ101" t="s">
        <v>455</v>
      </c>
      <c r="VFK101" t="s">
        <v>455</v>
      </c>
      <c r="VFL101" t="s">
        <v>455</v>
      </c>
      <c r="VFM101" t="s">
        <v>455</v>
      </c>
      <c r="VFN101" t="s">
        <v>455</v>
      </c>
      <c r="VFO101" t="s">
        <v>455</v>
      </c>
      <c r="VFP101" t="s">
        <v>455</v>
      </c>
      <c r="VFQ101" t="s">
        <v>455</v>
      </c>
      <c r="VFR101" t="s">
        <v>455</v>
      </c>
      <c r="VFS101" t="s">
        <v>455</v>
      </c>
      <c r="VFT101" t="s">
        <v>455</v>
      </c>
      <c r="VFU101" t="s">
        <v>455</v>
      </c>
      <c r="VFV101" t="s">
        <v>455</v>
      </c>
      <c r="VFW101" t="s">
        <v>455</v>
      </c>
      <c r="VFX101" t="s">
        <v>455</v>
      </c>
      <c r="VFY101" t="s">
        <v>455</v>
      </c>
      <c r="VFZ101" t="s">
        <v>455</v>
      </c>
      <c r="VGA101" t="s">
        <v>455</v>
      </c>
      <c r="VGB101" t="s">
        <v>455</v>
      </c>
      <c r="VGC101" t="s">
        <v>455</v>
      </c>
      <c r="VGD101" t="s">
        <v>455</v>
      </c>
      <c r="VGE101" t="s">
        <v>455</v>
      </c>
      <c r="VGF101" t="s">
        <v>455</v>
      </c>
      <c r="VGG101" t="s">
        <v>455</v>
      </c>
      <c r="VGH101" t="s">
        <v>455</v>
      </c>
      <c r="VGI101" t="s">
        <v>455</v>
      </c>
      <c r="VGJ101" t="s">
        <v>455</v>
      </c>
      <c r="VGK101" t="s">
        <v>455</v>
      </c>
      <c r="VGL101" t="s">
        <v>455</v>
      </c>
      <c r="VGM101" t="s">
        <v>455</v>
      </c>
      <c r="VGN101" t="s">
        <v>455</v>
      </c>
      <c r="VGO101" t="s">
        <v>455</v>
      </c>
      <c r="VGP101" t="s">
        <v>455</v>
      </c>
      <c r="VGQ101" t="s">
        <v>455</v>
      </c>
      <c r="VGR101" t="s">
        <v>455</v>
      </c>
      <c r="VGS101" t="s">
        <v>455</v>
      </c>
      <c r="VGT101" t="s">
        <v>455</v>
      </c>
      <c r="VGU101" t="s">
        <v>455</v>
      </c>
      <c r="VGV101" t="s">
        <v>455</v>
      </c>
      <c r="VGW101" t="s">
        <v>455</v>
      </c>
      <c r="VGX101" t="s">
        <v>455</v>
      </c>
      <c r="VGY101" t="s">
        <v>455</v>
      </c>
      <c r="VGZ101" t="s">
        <v>455</v>
      </c>
      <c r="VHA101" t="s">
        <v>455</v>
      </c>
      <c r="VHB101" t="s">
        <v>455</v>
      </c>
      <c r="VHC101" t="s">
        <v>455</v>
      </c>
      <c r="VHD101" t="s">
        <v>455</v>
      </c>
      <c r="VHE101" t="s">
        <v>455</v>
      </c>
      <c r="VHF101" t="s">
        <v>455</v>
      </c>
      <c r="VHG101" t="s">
        <v>455</v>
      </c>
      <c r="VHH101" t="s">
        <v>455</v>
      </c>
      <c r="VHI101" t="s">
        <v>455</v>
      </c>
      <c r="VHJ101" t="s">
        <v>455</v>
      </c>
      <c r="VHK101" t="s">
        <v>455</v>
      </c>
      <c r="VHL101" t="s">
        <v>455</v>
      </c>
      <c r="VHM101" t="s">
        <v>455</v>
      </c>
      <c r="VHN101" t="s">
        <v>455</v>
      </c>
      <c r="VHO101" t="s">
        <v>455</v>
      </c>
      <c r="VHP101" t="s">
        <v>455</v>
      </c>
      <c r="VHQ101" t="s">
        <v>455</v>
      </c>
      <c r="VHR101" t="s">
        <v>455</v>
      </c>
      <c r="VHS101" t="s">
        <v>455</v>
      </c>
      <c r="VHT101" t="s">
        <v>455</v>
      </c>
      <c r="VHU101" t="s">
        <v>455</v>
      </c>
      <c r="VHV101" t="s">
        <v>455</v>
      </c>
      <c r="VHW101" t="s">
        <v>455</v>
      </c>
      <c r="VHX101" t="s">
        <v>455</v>
      </c>
      <c r="VHY101" t="s">
        <v>455</v>
      </c>
      <c r="VHZ101" t="s">
        <v>455</v>
      </c>
      <c r="VIA101" t="s">
        <v>455</v>
      </c>
      <c r="VIB101" t="s">
        <v>455</v>
      </c>
      <c r="VIC101" t="s">
        <v>455</v>
      </c>
      <c r="VID101" t="s">
        <v>455</v>
      </c>
      <c r="VIE101" t="s">
        <v>455</v>
      </c>
      <c r="VIF101" t="s">
        <v>455</v>
      </c>
      <c r="VIG101" t="s">
        <v>455</v>
      </c>
      <c r="VIH101" t="s">
        <v>455</v>
      </c>
      <c r="VII101" t="s">
        <v>455</v>
      </c>
      <c r="VIJ101" t="s">
        <v>455</v>
      </c>
      <c r="VIK101" t="s">
        <v>455</v>
      </c>
      <c r="VIL101" t="s">
        <v>455</v>
      </c>
      <c r="VIM101" t="s">
        <v>455</v>
      </c>
      <c r="VIN101" t="s">
        <v>455</v>
      </c>
      <c r="VIO101" t="s">
        <v>455</v>
      </c>
      <c r="VIP101" t="s">
        <v>455</v>
      </c>
      <c r="VIQ101" t="s">
        <v>455</v>
      </c>
      <c r="VIR101" t="s">
        <v>455</v>
      </c>
      <c r="VIS101" t="s">
        <v>455</v>
      </c>
      <c r="VIT101" t="s">
        <v>455</v>
      </c>
      <c r="VIU101" t="s">
        <v>455</v>
      </c>
      <c r="VIV101" t="s">
        <v>455</v>
      </c>
      <c r="VIW101" t="s">
        <v>455</v>
      </c>
      <c r="VIX101" t="s">
        <v>455</v>
      </c>
      <c r="VIY101" t="s">
        <v>455</v>
      </c>
      <c r="VIZ101" t="s">
        <v>455</v>
      </c>
      <c r="VJA101" t="s">
        <v>455</v>
      </c>
      <c r="VJB101" t="s">
        <v>455</v>
      </c>
      <c r="VJC101" t="s">
        <v>455</v>
      </c>
      <c r="VJD101" t="s">
        <v>455</v>
      </c>
      <c r="VJE101" t="s">
        <v>455</v>
      </c>
      <c r="VJF101" t="s">
        <v>455</v>
      </c>
      <c r="VJG101" t="s">
        <v>455</v>
      </c>
      <c r="VJH101" t="s">
        <v>455</v>
      </c>
      <c r="VJI101" t="s">
        <v>455</v>
      </c>
      <c r="VJJ101" t="s">
        <v>455</v>
      </c>
      <c r="VJK101" t="s">
        <v>455</v>
      </c>
      <c r="VJL101" t="s">
        <v>455</v>
      </c>
      <c r="VJM101" t="s">
        <v>455</v>
      </c>
      <c r="VJN101" t="s">
        <v>455</v>
      </c>
      <c r="VJO101" t="s">
        <v>455</v>
      </c>
      <c r="VJP101" t="s">
        <v>455</v>
      </c>
      <c r="VJQ101" t="s">
        <v>455</v>
      </c>
      <c r="VJR101" t="s">
        <v>455</v>
      </c>
      <c r="VJS101" t="s">
        <v>455</v>
      </c>
      <c r="VJT101" t="s">
        <v>455</v>
      </c>
      <c r="VJU101" t="s">
        <v>455</v>
      </c>
      <c r="VJV101" t="s">
        <v>455</v>
      </c>
      <c r="VJW101" t="s">
        <v>455</v>
      </c>
      <c r="VJX101" t="s">
        <v>455</v>
      </c>
      <c r="VJY101" t="s">
        <v>455</v>
      </c>
      <c r="VJZ101" t="s">
        <v>455</v>
      </c>
      <c r="VKA101" t="s">
        <v>455</v>
      </c>
      <c r="VKB101" t="s">
        <v>455</v>
      </c>
      <c r="VKC101" t="s">
        <v>455</v>
      </c>
      <c r="VKD101" t="s">
        <v>455</v>
      </c>
      <c r="VKE101" t="s">
        <v>455</v>
      </c>
      <c r="VKF101" t="s">
        <v>455</v>
      </c>
      <c r="VKG101" t="s">
        <v>455</v>
      </c>
      <c r="VKH101" t="s">
        <v>455</v>
      </c>
      <c r="VKI101" t="s">
        <v>455</v>
      </c>
      <c r="VKJ101" t="s">
        <v>455</v>
      </c>
      <c r="VKK101" t="s">
        <v>455</v>
      </c>
      <c r="VKL101" t="s">
        <v>455</v>
      </c>
      <c r="VKM101" t="s">
        <v>455</v>
      </c>
      <c r="VKN101" t="s">
        <v>455</v>
      </c>
      <c r="VKO101" t="s">
        <v>455</v>
      </c>
      <c r="VKP101" t="s">
        <v>455</v>
      </c>
      <c r="VKQ101" t="s">
        <v>455</v>
      </c>
      <c r="VKR101" t="s">
        <v>455</v>
      </c>
      <c r="VKS101" t="s">
        <v>455</v>
      </c>
      <c r="VKT101" t="s">
        <v>455</v>
      </c>
      <c r="VKU101" t="s">
        <v>455</v>
      </c>
      <c r="VKV101" t="s">
        <v>455</v>
      </c>
      <c r="VKW101" t="s">
        <v>455</v>
      </c>
      <c r="VKX101" t="s">
        <v>455</v>
      </c>
      <c r="VKY101" t="s">
        <v>455</v>
      </c>
      <c r="VKZ101" t="s">
        <v>455</v>
      </c>
      <c r="VLA101" t="s">
        <v>455</v>
      </c>
      <c r="VLB101" t="s">
        <v>455</v>
      </c>
      <c r="VLC101" t="s">
        <v>455</v>
      </c>
      <c r="VLD101" t="s">
        <v>455</v>
      </c>
      <c r="VLE101" t="s">
        <v>455</v>
      </c>
      <c r="VLF101" t="s">
        <v>455</v>
      </c>
      <c r="VLG101" t="s">
        <v>455</v>
      </c>
      <c r="VLH101" t="s">
        <v>455</v>
      </c>
      <c r="VLI101" t="s">
        <v>455</v>
      </c>
      <c r="VLJ101" t="s">
        <v>455</v>
      </c>
      <c r="VLK101" t="s">
        <v>455</v>
      </c>
      <c r="VLL101" t="s">
        <v>455</v>
      </c>
      <c r="VLM101" t="s">
        <v>455</v>
      </c>
      <c r="VLN101" t="s">
        <v>455</v>
      </c>
      <c r="VLO101" t="s">
        <v>455</v>
      </c>
      <c r="VLP101" t="s">
        <v>455</v>
      </c>
      <c r="VLQ101" t="s">
        <v>455</v>
      </c>
      <c r="VLR101" t="s">
        <v>455</v>
      </c>
      <c r="VLS101" t="s">
        <v>455</v>
      </c>
      <c r="VLT101" t="s">
        <v>455</v>
      </c>
      <c r="VLU101" t="s">
        <v>455</v>
      </c>
      <c r="VLV101" t="s">
        <v>455</v>
      </c>
      <c r="VLW101" t="s">
        <v>455</v>
      </c>
      <c r="VLX101" t="s">
        <v>455</v>
      </c>
      <c r="VLY101" t="s">
        <v>455</v>
      </c>
      <c r="VLZ101" t="s">
        <v>455</v>
      </c>
      <c r="VMA101" t="s">
        <v>455</v>
      </c>
      <c r="VMB101" t="s">
        <v>455</v>
      </c>
      <c r="VMC101" t="s">
        <v>455</v>
      </c>
      <c r="VMD101" t="s">
        <v>455</v>
      </c>
      <c r="VME101" t="s">
        <v>455</v>
      </c>
      <c r="VMF101" t="s">
        <v>455</v>
      </c>
      <c r="VMG101" t="s">
        <v>455</v>
      </c>
      <c r="VMH101" t="s">
        <v>455</v>
      </c>
      <c r="VMI101" t="s">
        <v>455</v>
      </c>
      <c r="VMJ101" t="s">
        <v>455</v>
      </c>
      <c r="VMK101" t="s">
        <v>455</v>
      </c>
      <c r="VML101" t="s">
        <v>455</v>
      </c>
      <c r="VMM101" t="s">
        <v>455</v>
      </c>
      <c r="VMN101" t="s">
        <v>455</v>
      </c>
      <c r="VMO101" t="s">
        <v>455</v>
      </c>
      <c r="VMP101" t="s">
        <v>455</v>
      </c>
      <c r="VMQ101" t="s">
        <v>455</v>
      </c>
      <c r="VMR101" t="s">
        <v>455</v>
      </c>
      <c r="VMS101" t="s">
        <v>455</v>
      </c>
      <c r="VMT101" t="s">
        <v>455</v>
      </c>
      <c r="VMU101" t="s">
        <v>455</v>
      </c>
      <c r="VMV101" t="s">
        <v>455</v>
      </c>
      <c r="VMW101" t="s">
        <v>455</v>
      </c>
      <c r="VMX101" t="s">
        <v>455</v>
      </c>
      <c r="VMY101" t="s">
        <v>455</v>
      </c>
      <c r="VMZ101" t="s">
        <v>455</v>
      </c>
      <c r="VNA101" t="s">
        <v>455</v>
      </c>
      <c r="VNB101" t="s">
        <v>455</v>
      </c>
      <c r="VNC101" t="s">
        <v>455</v>
      </c>
      <c r="VND101" t="s">
        <v>455</v>
      </c>
      <c r="VNE101" t="s">
        <v>455</v>
      </c>
      <c r="VNF101" t="s">
        <v>455</v>
      </c>
      <c r="VNG101" t="s">
        <v>455</v>
      </c>
      <c r="VNH101" t="s">
        <v>455</v>
      </c>
      <c r="VNI101" t="s">
        <v>455</v>
      </c>
      <c r="VNJ101" t="s">
        <v>455</v>
      </c>
      <c r="VNK101" t="s">
        <v>455</v>
      </c>
      <c r="VNL101" t="s">
        <v>455</v>
      </c>
      <c r="VNM101" t="s">
        <v>455</v>
      </c>
      <c r="VNN101" t="s">
        <v>455</v>
      </c>
      <c r="VNO101" t="s">
        <v>455</v>
      </c>
      <c r="VNP101" t="s">
        <v>455</v>
      </c>
      <c r="VNQ101" t="s">
        <v>455</v>
      </c>
      <c r="VNR101" t="s">
        <v>455</v>
      </c>
      <c r="VNS101" t="s">
        <v>455</v>
      </c>
      <c r="VNT101" t="s">
        <v>455</v>
      </c>
      <c r="VNU101" t="s">
        <v>455</v>
      </c>
      <c r="VNV101" t="s">
        <v>455</v>
      </c>
      <c r="VNW101" t="s">
        <v>455</v>
      </c>
      <c r="VNX101" t="s">
        <v>455</v>
      </c>
      <c r="VNY101" t="s">
        <v>455</v>
      </c>
      <c r="VNZ101" t="s">
        <v>455</v>
      </c>
      <c r="VOA101" t="s">
        <v>455</v>
      </c>
      <c r="VOB101" t="s">
        <v>455</v>
      </c>
      <c r="VOC101" t="s">
        <v>455</v>
      </c>
      <c r="VOD101" t="s">
        <v>455</v>
      </c>
      <c r="VOE101" t="s">
        <v>455</v>
      </c>
      <c r="VOF101" t="s">
        <v>455</v>
      </c>
      <c r="VOG101" t="s">
        <v>455</v>
      </c>
      <c r="VOH101" t="s">
        <v>455</v>
      </c>
      <c r="VOI101" t="s">
        <v>455</v>
      </c>
      <c r="VOJ101" t="s">
        <v>455</v>
      </c>
      <c r="VOK101" t="s">
        <v>455</v>
      </c>
      <c r="VOL101" t="s">
        <v>455</v>
      </c>
      <c r="VOM101" t="s">
        <v>455</v>
      </c>
      <c r="VON101" t="s">
        <v>455</v>
      </c>
      <c r="VOO101" t="s">
        <v>455</v>
      </c>
      <c r="VOP101" t="s">
        <v>455</v>
      </c>
      <c r="VOQ101" t="s">
        <v>455</v>
      </c>
      <c r="VOR101" t="s">
        <v>455</v>
      </c>
      <c r="VOS101" t="s">
        <v>455</v>
      </c>
      <c r="VOT101" t="s">
        <v>455</v>
      </c>
      <c r="VOU101" t="s">
        <v>455</v>
      </c>
      <c r="VOV101" t="s">
        <v>455</v>
      </c>
      <c r="VOW101" t="s">
        <v>455</v>
      </c>
      <c r="VOX101" t="s">
        <v>455</v>
      </c>
      <c r="VOY101" t="s">
        <v>455</v>
      </c>
      <c r="VOZ101" t="s">
        <v>455</v>
      </c>
      <c r="VPA101" t="s">
        <v>455</v>
      </c>
      <c r="VPB101" t="s">
        <v>455</v>
      </c>
      <c r="VPC101" t="s">
        <v>455</v>
      </c>
      <c r="VPD101" t="s">
        <v>455</v>
      </c>
      <c r="VPE101" t="s">
        <v>455</v>
      </c>
      <c r="VPF101" t="s">
        <v>455</v>
      </c>
      <c r="VPG101" t="s">
        <v>455</v>
      </c>
      <c r="VPH101" t="s">
        <v>455</v>
      </c>
      <c r="VPI101" t="s">
        <v>455</v>
      </c>
      <c r="VPJ101" t="s">
        <v>455</v>
      </c>
      <c r="VPK101" t="s">
        <v>455</v>
      </c>
      <c r="VPL101" t="s">
        <v>455</v>
      </c>
      <c r="VPM101" t="s">
        <v>455</v>
      </c>
      <c r="VPN101" t="s">
        <v>455</v>
      </c>
      <c r="VPO101" t="s">
        <v>455</v>
      </c>
      <c r="VPP101" t="s">
        <v>455</v>
      </c>
      <c r="VPQ101" t="s">
        <v>455</v>
      </c>
      <c r="VPR101" t="s">
        <v>455</v>
      </c>
      <c r="VPS101" t="s">
        <v>455</v>
      </c>
      <c r="VPT101" t="s">
        <v>455</v>
      </c>
      <c r="VPU101" t="s">
        <v>455</v>
      </c>
      <c r="VPV101" t="s">
        <v>455</v>
      </c>
      <c r="VPW101" t="s">
        <v>455</v>
      </c>
      <c r="VPX101" t="s">
        <v>455</v>
      </c>
      <c r="VPY101" t="s">
        <v>455</v>
      </c>
      <c r="VPZ101" t="s">
        <v>455</v>
      </c>
      <c r="VQA101" t="s">
        <v>455</v>
      </c>
      <c r="VQB101" t="s">
        <v>455</v>
      </c>
      <c r="VQC101" t="s">
        <v>455</v>
      </c>
      <c r="VQD101" t="s">
        <v>455</v>
      </c>
      <c r="VQE101" t="s">
        <v>455</v>
      </c>
      <c r="VQF101" t="s">
        <v>455</v>
      </c>
      <c r="VQG101" t="s">
        <v>455</v>
      </c>
      <c r="VQH101" t="s">
        <v>455</v>
      </c>
      <c r="VQI101" t="s">
        <v>455</v>
      </c>
      <c r="VQJ101" t="s">
        <v>455</v>
      </c>
      <c r="VQK101" t="s">
        <v>455</v>
      </c>
      <c r="VQL101" t="s">
        <v>455</v>
      </c>
      <c r="VQM101" t="s">
        <v>455</v>
      </c>
      <c r="VQN101" t="s">
        <v>455</v>
      </c>
      <c r="VQO101" t="s">
        <v>455</v>
      </c>
      <c r="VQP101" t="s">
        <v>455</v>
      </c>
      <c r="VQQ101" t="s">
        <v>455</v>
      </c>
      <c r="VQR101" t="s">
        <v>455</v>
      </c>
      <c r="VQS101" t="s">
        <v>455</v>
      </c>
      <c r="VQT101" t="s">
        <v>455</v>
      </c>
      <c r="VQU101" t="s">
        <v>455</v>
      </c>
      <c r="VQV101" t="s">
        <v>455</v>
      </c>
      <c r="VQW101" t="s">
        <v>455</v>
      </c>
      <c r="VQX101" t="s">
        <v>455</v>
      </c>
      <c r="VQY101" t="s">
        <v>455</v>
      </c>
      <c r="VQZ101" t="s">
        <v>455</v>
      </c>
      <c r="VRA101" t="s">
        <v>455</v>
      </c>
      <c r="VRB101" t="s">
        <v>455</v>
      </c>
      <c r="VRC101" t="s">
        <v>455</v>
      </c>
      <c r="VRD101" t="s">
        <v>455</v>
      </c>
      <c r="VRE101" t="s">
        <v>455</v>
      </c>
      <c r="VRF101" t="s">
        <v>455</v>
      </c>
      <c r="VRG101" t="s">
        <v>455</v>
      </c>
      <c r="VRH101" t="s">
        <v>455</v>
      </c>
      <c r="VRI101" t="s">
        <v>455</v>
      </c>
      <c r="VRJ101" t="s">
        <v>455</v>
      </c>
      <c r="VRK101" t="s">
        <v>455</v>
      </c>
      <c r="VRL101" t="s">
        <v>455</v>
      </c>
      <c r="VRM101" t="s">
        <v>455</v>
      </c>
      <c r="VRN101" t="s">
        <v>455</v>
      </c>
      <c r="VRO101" t="s">
        <v>455</v>
      </c>
      <c r="VRP101" t="s">
        <v>455</v>
      </c>
      <c r="VRQ101" t="s">
        <v>455</v>
      </c>
      <c r="VRR101" t="s">
        <v>455</v>
      </c>
      <c r="VRS101" t="s">
        <v>455</v>
      </c>
      <c r="VRT101" t="s">
        <v>455</v>
      </c>
      <c r="VRU101" t="s">
        <v>455</v>
      </c>
      <c r="VRV101" t="s">
        <v>455</v>
      </c>
      <c r="VRW101" t="s">
        <v>455</v>
      </c>
      <c r="VRX101" t="s">
        <v>455</v>
      </c>
      <c r="VRY101" t="s">
        <v>455</v>
      </c>
      <c r="VRZ101" t="s">
        <v>455</v>
      </c>
      <c r="VSA101" t="s">
        <v>455</v>
      </c>
      <c r="VSB101" t="s">
        <v>455</v>
      </c>
      <c r="VSC101" t="s">
        <v>455</v>
      </c>
      <c r="VSD101" t="s">
        <v>455</v>
      </c>
      <c r="VSE101" t="s">
        <v>455</v>
      </c>
      <c r="VSF101" t="s">
        <v>455</v>
      </c>
      <c r="VSG101" t="s">
        <v>455</v>
      </c>
      <c r="VSH101" t="s">
        <v>455</v>
      </c>
      <c r="VSI101" t="s">
        <v>455</v>
      </c>
      <c r="VSJ101" t="s">
        <v>455</v>
      </c>
      <c r="VSK101" t="s">
        <v>455</v>
      </c>
      <c r="VSL101" t="s">
        <v>455</v>
      </c>
      <c r="VSM101" t="s">
        <v>455</v>
      </c>
      <c r="VSN101" t="s">
        <v>455</v>
      </c>
      <c r="VSO101" t="s">
        <v>455</v>
      </c>
      <c r="VSP101" t="s">
        <v>455</v>
      </c>
      <c r="VSQ101" t="s">
        <v>455</v>
      </c>
      <c r="VSR101" t="s">
        <v>455</v>
      </c>
      <c r="VSS101" t="s">
        <v>455</v>
      </c>
      <c r="VST101" t="s">
        <v>455</v>
      </c>
      <c r="VSU101" t="s">
        <v>455</v>
      </c>
      <c r="VSV101" t="s">
        <v>455</v>
      </c>
      <c r="VSW101" t="s">
        <v>455</v>
      </c>
      <c r="VSX101" t="s">
        <v>455</v>
      </c>
      <c r="VSY101" t="s">
        <v>455</v>
      </c>
      <c r="VSZ101" t="s">
        <v>455</v>
      </c>
      <c r="VTA101" t="s">
        <v>455</v>
      </c>
      <c r="VTB101" t="s">
        <v>455</v>
      </c>
      <c r="VTC101" t="s">
        <v>455</v>
      </c>
      <c r="VTD101" t="s">
        <v>455</v>
      </c>
      <c r="VTE101" t="s">
        <v>455</v>
      </c>
      <c r="VTF101" t="s">
        <v>455</v>
      </c>
      <c r="VTG101" t="s">
        <v>455</v>
      </c>
      <c r="VTH101" t="s">
        <v>455</v>
      </c>
      <c r="VTI101" t="s">
        <v>455</v>
      </c>
      <c r="VTJ101" t="s">
        <v>455</v>
      </c>
      <c r="VTK101" t="s">
        <v>455</v>
      </c>
      <c r="VTL101" t="s">
        <v>455</v>
      </c>
      <c r="VTM101" t="s">
        <v>455</v>
      </c>
      <c r="VTN101" t="s">
        <v>455</v>
      </c>
      <c r="VTO101" t="s">
        <v>455</v>
      </c>
      <c r="VTP101" t="s">
        <v>455</v>
      </c>
      <c r="VTQ101" t="s">
        <v>455</v>
      </c>
      <c r="VTR101" t="s">
        <v>455</v>
      </c>
      <c r="VTS101" t="s">
        <v>455</v>
      </c>
      <c r="VTT101" t="s">
        <v>455</v>
      </c>
      <c r="VTU101" t="s">
        <v>455</v>
      </c>
      <c r="VTV101" t="s">
        <v>455</v>
      </c>
      <c r="VTW101" t="s">
        <v>455</v>
      </c>
      <c r="VTX101" t="s">
        <v>455</v>
      </c>
      <c r="VTY101" t="s">
        <v>455</v>
      </c>
      <c r="VTZ101" t="s">
        <v>455</v>
      </c>
      <c r="VUA101" t="s">
        <v>455</v>
      </c>
      <c r="VUB101" t="s">
        <v>455</v>
      </c>
      <c r="VUC101" t="s">
        <v>455</v>
      </c>
      <c r="VUD101" t="s">
        <v>455</v>
      </c>
      <c r="VUE101" t="s">
        <v>455</v>
      </c>
      <c r="VUF101" t="s">
        <v>455</v>
      </c>
      <c r="VUG101" t="s">
        <v>455</v>
      </c>
      <c r="VUH101" t="s">
        <v>455</v>
      </c>
      <c r="VUI101" t="s">
        <v>455</v>
      </c>
      <c r="VUJ101" t="s">
        <v>455</v>
      </c>
      <c r="VUK101" t="s">
        <v>455</v>
      </c>
      <c r="VUL101" t="s">
        <v>455</v>
      </c>
      <c r="VUM101" t="s">
        <v>455</v>
      </c>
      <c r="VUN101" t="s">
        <v>455</v>
      </c>
      <c r="VUO101" t="s">
        <v>455</v>
      </c>
      <c r="VUP101" t="s">
        <v>455</v>
      </c>
      <c r="VUQ101" t="s">
        <v>455</v>
      </c>
      <c r="VUR101" t="s">
        <v>455</v>
      </c>
      <c r="VUS101" t="s">
        <v>455</v>
      </c>
      <c r="VUT101" t="s">
        <v>455</v>
      </c>
      <c r="VUU101" t="s">
        <v>455</v>
      </c>
      <c r="VUV101" t="s">
        <v>455</v>
      </c>
      <c r="VUW101" t="s">
        <v>455</v>
      </c>
      <c r="VUX101" t="s">
        <v>455</v>
      </c>
      <c r="VUY101" t="s">
        <v>455</v>
      </c>
      <c r="VUZ101" t="s">
        <v>455</v>
      </c>
      <c r="VVA101" t="s">
        <v>455</v>
      </c>
      <c r="VVB101" t="s">
        <v>455</v>
      </c>
      <c r="VVC101" t="s">
        <v>455</v>
      </c>
      <c r="VVD101" t="s">
        <v>455</v>
      </c>
      <c r="VVE101" t="s">
        <v>455</v>
      </c>
      <c r="VVF101" t="s">
        <v>455</v>
      </c>
      <c r="VVG101" t="s">
        <v>455</v>
      </c>
      <c r="VVH101" t="s">
        <v>455</v>
      </c>
      <c r="VVI101" t="s">
        <v>455</v>
      </c>
      <c r="VVJ101" t="s">
        <v>455</v>
      </c>
      <c r="VVK101" t="s">
        <v>455</v>
      </c>
      <c r="VVL101" t="s">
        <v>455</v>
      </c>
      <c r="VVM101" t="s">
        <v>455</v>
      </c>
      <c r="VVN101" t="s">
        <v>455</v>
      </c>
      <c r="VVO101" t="s">
        <v>455</v>
      </c>
      <c r="VVP101" t="s">
        <v>455</v>
      </c>
      <c r="VVQ101" t="s">
        <v>455</v>
      </c>
      <c r="VVR101" t="s">
        <v>455</v>
      </c>
      <c r="VVS101" t="s">
        <v>455</v>
      </c>
      <c r="VVT101" t="s">
        <v>455</v>
      </c>
      <c r="VVU101" t="s">
        <v>455</v>
      </c>
      <c r="VVV101" t="s">
        <v>455</v>
      </c>
      <c r="VVW101" t="s">
        <v>455</v>
      </c>
      <c r="VVX101" t="s">
        <v>455</v>
      </c>
      <c r="VVY101" t="s">
        <v>455</v>
      </c>
      <c r="VVZ101" t="s">
        <v>455</v>
      </c>
      <c r="VWA101" t="s">
        <v>455</v>
      </c>
      <c r="VWB101" t="s">
        <v>455</v>
      </c>
      <c r="VWC101" t="s">
        <v>455</v>
      </c>
      <c r="VWD101" t="s">
        <v>455</v>
      </c>
      <c r="VWE101" t="s">
        <v>455</v>
      </c>
      <c r="VWF101" t="s">
        <v>455</v>
      </c>
      <c r="VWG101" t="s">
        <v>455</v>
      </c>
      <c r="VWH101" t="s">
        <v>455</v>
      </c>
      <c r="VWI101" t="s">
        <v>455</v>
      </c>
      <c r="VWJ101" t="s">
        <v>455</v>
      </c>
      <c r="VWK101" t="s">
        <v>455</v>
      </c>
      <c r="VWL101" t="s">
        <v>455</v>
      </c>
      <c r="VWM101" t="s">
        <v>455</v>
      </c>
      <c r="VWN101" t="s">
        <v>455</v>
      </c>
      <c r="VWO101" t="s">
        <v>455</v>
      </c>
      <c r="VWP101" t="s">
        <v>455</v>
      </c>
      <c r="VWQ101" t="s">
        <v>455</v>
      </c>
      <c r="VWR101" t="s">
        <v>455</v>
      </c>
      <c r="VWS101" t="s">
        <v>455</v>
      </c>
      <c r="VWT101" t="s">
        <v>455</v>
      </c>
      <c r="VWU101" t="s">
        <v>455</v>
      </c>
      <c r="VWV101" t="s">
        <v>455</v>
      </c>
      <c r="VWW101" t="s">
        <v>455</v>
      </c>
      <c r="VWX101" t="s">
        <v>455</v>
      </c>
      <c r="VWY101" t="s">
        <v>455</v>
      </c>
      <c r="VWZ101" t="s">
        <v>455</v>
      </c>
      <c r="VXA101" t="s">
        <v>455</v>
      </c>
      <c r="VXB101" t="s">
        <v>455</v>
      </c>
      <c r="VXC101" t="s">
        <v>455</v>
      </c>
      <c r="VXD101" t="s">
        <v>455</v>
      </c>
      <c r="VXE101" t="s">
        <v>455</v>
      </c>
      <c r="VXF101" t="s">
        <v>455</v>
      </c>
      <c r="VXG101" t="s">
        <v>455</v>
      </c>
      <c r="VXH101" t="s">
        <v>455</v>
      </c>
      <c r="VXI101" t="s">
        <v>455</v>
      </c>
      <c r="VXJ101" t="s">
        <v>455</v>
      </c>
      <c r="VXK101" t="s">
        <v>455</v>
      </c>
      <c r="VXL101" t="s">
        <v>455</v>
      </c>
      <c r="VXM101" t="s">
        <v>455</v>
      </c>
      <c r="VXN101" t="s">
        <v>455</v>
      </c>
      <c r="VXO101" t="s">
        <v>455</v>
      </c>
      <c r="VXP101" t="s">
        <v>455</v>
      </c>
      <c r="VXQ101" t="s">
        <v>455</v>
      </c>
      <c r="VXR101" t="s">
        <v>455</v>
      </c>
      <c r="VXS101" t="s">
        <v>455</v>
      </c>
      <c r="VXT101" t="s">
        <v>455</v>
      </c>
      <c r="VXU101" t="s">
        <v>455</v>
      </c>
      <c r="VXV101" t="s">
        <v>455</v>
      </c>
      <c r="VXW101" t="s">
        <v>455</v>
      </c>
      <c r="VXX101" t="s">
        <v>455</v>
      </c>
      <c r="VXY101" t="s">
        <v>455</v>
      </c>
      <c r="VXZ101" t="s">
        <v>455</v>
      </c>
      <c r="VYA101" t="s">
        <v>455</v>
      </c>
      <c r="VYB101" t="s">
        <v>455</v>
      </c>
      <c r="VYC101" t="s">
        <v>455</v>
      </c>
      <c r="VYD101" t="s">
        <v>455</v>
      </c>
      <c r="VYE101" t="s">
        <v>455</v>
      </c>
      <c r="VYF101" t="s">
        <v>455</v>
      </c>
      <c r="VYG101" t="s">
        <v>455</v>
      </c>
      <c r="VYH101" t="s">
        <v>455</v>
      </c>
      <c r="VYI101" t="s">
        <v>455</v>
      </c>
      <c r="VYJ101" t="s">
        <v>455</v>
      </c>
      <c r="VYK101" t="s">
        <v>455</v>
      </c>
      <c r="VYL101" t="s">
        <v>455</v>
      </c>
      <c r="VYM101" t="s">
        <v>455</v>
      </c>
      <c r="VYN101" t="s">
        <v>455</v>
      </c>
      <c r="VYO101" t="s">
        <v>455</v>
      </c>
      <c r="VYP101" t="s">
        <v>455</v>
      </c>
      <c r="VYQ101" t="s">
        <v>455</v>
      </c>
      <c r="VYR101" t="s">
        <v>455</v>
      </c>
      <c r="VYS101" t="s">
        <v>455</v>
      </c>
      <c r="VYT101" t="s">
        <v>455</v>
      </c>
      <c r="VYU101" t="s">
        <v>455</v>
      </c>
      <c r="VYV101" t="s">
        <v>455</v>
      </c>
      <c r="VYW101" t="s">
        <v>455</v>
      </c>
      <c r="VYX101" t="s">
        <v>455</v>
      </c>
      <c r="VYY101" t="s">
        <v>455</v>
      </c>
      <c r="VYZ101" t="s">
        <v>455</v>
      </c>
      <c r="VZA101" t="s">
        <v>455</v>
      </c>
      <c r="VZB101" t="s">
        <v>455</v>
      </c>
      <c r="VZC101" t="s">
        <v>455</v>
      </c>
      <c r="VZD101" t="s">
        <v>455</v>
      </c>
      <c r="VZE101" t="s">
        <v>455</v>
      </c>
      <c r="VZF101" t="s">
        <v>455</v>
      </c>
      <c r="VZG101" t="s">
        <v>455</v>
      </c>
      <c r="VZH101" t="s">
        <v>455</v>
      </c>
      <c r="VZI101" t="s">
        <v>455</v>
      </c>
      <c r="VZJ101" t="s">
        <v>455</v>
      </c>
      <c r="VZK101" t="s">
        <v>455</v>
      </c>
      <c r="VZL101" t="s">
        <v>455</v>
      </c>
      <c r="VZM101" t="s">
        <v>455</v>
      </c>
      <c r="VZN101" t="s">
        <v>455</v>
      </c>
      <c r="VZO101" t="s">
        <v>455</v>
      </c>
      <c r="VZP101" t="s">
        <v>455</v>
      </c>
      <c r="VZQ101" t="s">
        <v>455</v>
      </c>
      <c r="VZR101" t="s">
        <v>455</v>
      </c>
      <c r="VZS101" t="s">
        <v>455</v>
      </c>
      <c r="VZT101" t="s">
        <v>455</v>
      </c>
      <c r="VZU101" t="s">
        <v>455</v>
      </c>
      <c r="VZV101" t="s">
        <v>455</v>
      </c>
      <c r="VZW101" t="s">
        <v>455</v>
      </c>
      <c r="VZX101" t="s">
        <v>455</v>
      </c>
      <c r="VZY101" t="s">
        <v>455</v>
      </c>
      <c r="VZZ101" t="s">
        <v>455</v>
      </c>
      <c r="WAA101" t="s">
        <v>455</v>
      </c>
      <c r="WAB101" t="s">
        <v>455</v>
      </c>
      <c r="WAC101" t="s">
        <v>455</v>
      </c>
      <c r="WAD101" t="s">
        <v>455</v>
      </c>
      <c r="WAE101" t="s">
        <v>455</v>
      </c>
      <c r="WAF101" t="s">
        <v>455</v>
      </c>
      <c r="WAG101" t="s">
        <v>455</v>
      </c>
      <c r="WAH101" t="s">
        <v>455</v>
      </c>
      <c r="WAI101" t="s">
        <v>455</v>
      </c>
      <c r="WAJ101" t="s">
        <v>455</v>
      </c>
      <c r="WAK101" t="s">
        <v>455</v>
      </c>
      <c r="WAL101" t="s">
        <v>455</v>
      </c>
      <c r="WAM101" t="s">
        <v>455</v>
      </c>
      <c r="WAN101" t="s">
        <v>455</v>
      </c>
      <c r="WAO101" t="s">
        <v>455</v>
      </c>
      <c r="WAP101" t="s">
        <v>455</v>
      </c>
      <c r="WAQ101" t="s">
        <v>455</v>
      </c>
      <c r="WAR101" t="s">
        <v>455</v>
      </c>
      <c r="WAS101" t="s">
        <v>455</v>
      </c>
      <c r="WAT101" t="s">
        <v>455</v>
      </c>
      <c r="WAU101" t="s">
        <v>455</v>
      </c>
      <c r="WAV101" t="s">
        <v>455</v>
      </c>
      <c r="WAW101" t="s">
        <v>455</v>
      </c>
      <c r="WAX101" t="s">
        <v>455</v>
      </c>
      <c r="WAY101" t="s">
        <v>455</v>
      </c>
      <c r="WAZ101" t="s">
        <v>455</v>
      </c>
      <c r="WBA101" t="s">
        <v>455</v>
      </c>
      <c r="WBB101" t="s">
        <v>455</v>
      </c>
      <c r="WBC101" t="s">
        <v>455</v>
      </c>
      <c r="WBD101" t="s">
        <v>455</v>
      </c>
      <c r="WBE101" t="s">
        <v>455</v>
      </c>
      <c r="WBF101" t="s">
        <v>455</v>
      </c>
      <c r="WBG101" t="s">
        <v>455</v>
      </c>
      <c r="WBH101" t="s">
        <v>455</v>
      </c>
      <c r="WBI101" t="s">
        <v>455</v>
      </c>
      <c r="WBJ101" t="s">
        <v>455</v>
      </c>
      <c r="WBK101" t="s">
        <v>455</v>
      </c>
      <c r="WBL101" t="s">
        <v>455</v>
      </c>
      <c r="WBM101" t="s">
        <v>455</v>
      </c>
      <c r="WBN101" t="s">
        <v>455</v>
      </c>
      <c r="WBO101" t="s">
        <v>455</v>
      </c>
      <c r="WBP101" t="s">
        <v>455</v>
      </c>
      <c r="WBQ101" t="s">
        <v>455</v>
      </c>
      <c r="WBR101" t="s">
        <v>455</v>
      </c>
      <c r="WBS101" t="s">
        <v>455</v>
      </c>
      <c r="WBT101" t="s">
        <v>455</v>
      </c>
      <c r="WBU101" t="s">
        <v>455</v>
      </c>
      <c r="WBV101" t="s">
        <v>455</v>
      </c>
      <c r="WBW101" t="s">
        <v>455</v>
      </c>
      <c r="WBX101" t="s">
        <v>455</v>
      </c>
      <c r="WBY101" t="s">
        <v>455</v>
      </c>
      <c r="WBZ101" t="s">
        <v>455</v>
      </c>
      <c r="WCA101" t="s">
        <v>455</v>
      </c>
      <c r="WCB101" t="s">
        <v>455</v>
      </c>
      <c r="WCC101" t="s">
        <v>455</v>
      </c>
      <c r="WCD101" t="s">
        <v>455</v>
      </c>
      <c r="WCE101" t="s">
        <v>455</v>
      </c>
      <c r="WCF101" t="s">
        <v>455</v>
      </c>
      <c r="WCG101" t="s">
        <v>455</v>
      </c>
      <c r="WCH101" t="s">
        <v>455</v>
      </c>
      <c r="WCI101" t="s">
        <v>455</v>
      </c>
      <c r="WCJ101" t="s">
        <v>455</v>
      </c>
      <c r="WCK101" t="s">
        <v>455</v>
      </c>
      <c r="WCL101" t="s">
        <v>455</v>
      </c>
      <c r="WCM101" t="s">
        <v>455</v>
      </c>
      <c r="WCN101" t="s">
        <v>455</v>
      </c>
      <c r="WCO101" t="s">
        <v>455</v>
      </c>
      <c r="WCP101" t="s">
        <v>455</v>
      </c>
      <c r="WCQ101" t="s">
        <v>455</v>
      </c>
      <c r="WCR101" t="s">
        <v>455</v>
      </c>
      <c r="WCS101" t="s">
        <v>455</v>
      </c>
      <c r="WCT101" t="s">
        <v>455</v>
      </c>
      <c r="WCU101" t="s">
        <v>455</v>
      </c>
      <c r="WCV101" t="s">
        <v>455</v>
      </c>
      <c r="WCW101" t="s">
        <v>455</v>
      </c>
      <c r="WCX101" t="s">
        <v>455</v>
      </c>
      <c r="WCY101" t="s">
        <v>455</v>
      </c>
      <c r="WCZ101" t="s">
        <v>455</v>
      </c>
      <c r="WDA101" t="s">
        <v>455</v>
      </c>
      <c r="WDB101" t="s">
        <v>455</v>
      </c>
      <c r="WDC101" t="s">
        <v>455</v>
      </c>
      <c r="WDD101" t="s">
        <v>455</v>
      </c>
      <c r="WDE101" t="s">
        <v>455</v>
      </c>
      <c r="WDF101" t="s">
        <v>455</v>
      </c>
      <c r="WDG101" t="s">
        <v>455</v>
      </c>
      <c r="WDH101" t="s">
        <v>455</v>
      </c>
      <c r="WDI101" t="s">
        <v>455</v>
      </c>
      <c r="WDJ101" t="s">
        <v>455</v>
      </c>
      <c r="WDK101" t="s">
        <v>455</v>
      </c>
      <c r="WDL101" t="s">
        <v>455</v>
      </c>
      <c r="WDM101" t="s">
        <v>455</v>
      </c>
      <c r="WDN101" t="s">
        <v>455</v>
      </c>
      <c r="WDO101" t="s">
        <v>455</v>
      </c>
      <c r="WDP101" t="s">
        <v>455</v>
      </c>
      <c r="WDQ101" t="s">
        <v>455</v>
      </c>
      <c r="WDR101" t="s">
        <v>455</v>
      </c>
      <c r="WDS101" t="s">
        <v>455</v>
      </c>
      <c r="WDT101" t="s">
        <v>455</v>
      </c>
      <c r="WDU101" t="s">
        <v>455</v>
      </c>
      <c r="WDV101" t="s">
        <v>455</v>
      </c>
      <c r="WDW101" t="s">
        <v>455</v>
      </c>
      <c r="WDX101" t="s">
        <v>455</v>
      </c>
      <c r="WDY101" t="s">
        <v>455</v>
      </c>
      <c r="WDZ101" t="s">
        <v>455</v>
      </c>
      <c r="WEA101" t="s">
        <v>455</v>
      </c>
      <c r="WEB101" t="s">
        <v>455</v>
      </c>
      <c r="WEC101" t="s">
        <v>455</v>
      </c>
      <c r="WED101" t="s">
        <v>455</v>
      </c>
      <c r="WEE101" t="s">
        <v>455</v>
      </c>
      <c r="WEF101" t="s">
        <v>455</v>
      </c>
      <c r="WEG101" t="s">
        <v>455</v>
      </c>
      <c r="WEH101" t="s">
        <v>455</v>
      </c>
      <c r="WEI101" t="s">
        <v>455</v>
      </c>
      <c r="WEJ101" t="s">
        <v>455</v>
      </c>
      <c r="WEK101" t="s">
        <v>455</v>
      </c>
      <c r="WEL101" t="s">
        <v>455</v>
      </c>
      <c r="WEM101" t="s">
        <v>455</v>
      </c>
      <c r="WEN101" t="s">
        <v>455</v>
      </c>
      <c r="WEO101" t="s">
        <v>455</v>
      </c>
      <c r="WEP101" t="s">
        <v>455</v>
      </c>
      <c r="WEQ101" t="s">
        <v>455</v>
      </c>
      <c r="WER101" t="s">
        <v>455</v>
      </c>
      <c r="WES101" t="s">
        <v>455</v>
      </c>
      <c r="WET101" t="s">
        <v>455</v>
      </c>
      <c r="WEU101" t="s">
        <v>455</v>
      </c>
      <c r="WEV101" t="s">
        <v>455</v>
      </c>
      <c r="WEW101" t="s">
        <v>455</v>
      </c>
      <c r="WEX101" t="s">
        <v>455</v>
      </c>
      <c r="WEY101" t="s">
        <v>455</v>
      </c>
      <c r="WEZ101" t="s">
        <v>455</v>
      </c>
      <c r="WFA101" t="s">
        <v>455</v>
      </c>
      <c r="WFB101" t="s">
        <v>455</v>
      </c>
      <c r="WFC101" t="s">
        <v>455</v>
      </c>
      <c r="WFD101" t="s">
        <v>455</v>
      </c>
      <c r="WFE101" t="s">
        <v>455</v>
      </c>
      <c r="WFF101" t="s">
        <v>455</v>
      </c>
      <c r="WFG101" t="s">
        <v>455</v>
      </c>
      <c r="WFH101" t="s">
        <v>455</v>
      </c>
      <c r="WFI101" t="s">
        <v>455</v>
      </c>
      <c r="WFJ101" t="s">
        <v>455</v>
      </c>
      <c r="WFK101" t="s">
        <v>455</v>
      </c>
      <c r="WFL101" t="s">
        <v>455</v>
      </c>
      <c r="WFM101" t="s">
        <v>455</v>
      </c>
      <c r="WFN101" t="s">
        <v>455</v>
      </c>
      <c r="WFO101" t="s">
        <v>455</v>
      </c>
      <c r="WFP101" t="s">
        <v>455</v>
      </c>
      <c r="WFQ101" t="s">
        <v>455</v>
      </c>
      <c r="WFR101" t="s">
        <v>455</v>
      </c>
      <c r="WFS101" t="s">
        <v>455</v>
      </c>
      <c r="WFT101" t="s">
        <v>455</v>
      </c>
      <c r="WFU101" t="s">
        <v>455</v>
      </c>
      <c r="WFV101" t="s">
        <v>455</v>
      </c>
      <c r="WFW101" t="s">
        <v>455</v>
      </c>
      <c r="WFX101" t="s">
        <v>455</v>
      </c>
      <c r="WFY101" t="s">
        <v>455</v>
      </c>
      <c r="WFZ101" t="s">
        <v>455</v>
      </c>
      <c r="WGA101" t="s">
        <v>455</v>
      </c>
      <c r="WGB101" t="s">
        <v>455</v>
      </c>
      <c r="WGC101" t="s">
        <v>455</v>
      </c>
      <c r="WGD101" t="s">
        <v>455</v>
      </c>
      <c r="WGE101" t="s">
        <v>455</v>
      </c>
      <c r="WGF101" t="s">
        <v>455</v>
      </c>
      <c r="WGG101" t="s">
        <v>455</v>
      </c>
      <c r="WGH101" t="s">
        <v>455</v>
      </c>
      <c r="WGI101" t="s">
        <v>455</v>
      </c>
      <c r="WGJ101" t="s">
        <v>455</v>
      </c>
      <c r="WGK101" t="s">
        <v>455</v>
      </c>
      <c r="WGL101" t="s">
        <v>455</v>
      </c>
      <c r="WGM101" t="s">
        <v>455</v>
      </c>
      <c r="WGN101" t="s">
        <v>455</v>
      </c>
      <c r="WGO101" t="s">
        <v>455</v>
      </c>
      <c r="WGP101" t="s">
        <v>455</v>
      </c>
      <c r="WGQ101" t="s">
        <v>455</v>
      </c>
      <c r="WGR101" t="s">
        <v>455</v>
      </c>
      <c r="WGS101" t="s">
        <v>455</v>
      </c>
      <c r="WGT101" t="s">
        <v>455</v>
      </c>
      <c r="WGU101" t="s">
        <v>455</v>
      </c>
      <c r="WGV101" t="s">
        <v>455</v>
      </c>
      <c r="WGW101" t="s">
        <v>455</v>
      </c>
      <c r="WGX101" t="s">
        <v>455</v>
      </c>
      <c r="WGY101" t="s">
        <v>455</v>
      </c>
      <c r="WGZ101" t="s">
        <v>455</v>
      </c>
      <c r="WHA101" t="s">
        <v>455</v>
      </c>
      <c r="WHB101" t="s">
        <v>455</v>
      </c>
      <c r="WHC101" t="s">
        <v>455</v>
      </c>
      <c r="WHD101" t="s">
        <v>455</v>
      </c>
      <c r="WHE101" t="s">
        <v>455</v>
      </c>
      <c r="WHF101" t="s">
        <v>455</v>
      </c>
      <c r="WHG101" t="s">
        <v>455</v>
      </c>
      <c r="WHH101" t="s">
        <v>455</v>
      </c>
      <c r="WHI101" t="s">
        <v>455</v>
      </c>
      <c r="WHJ101" t="s">
        <v>455</v>
      </c>
      <c r="WHK101" t="s">
        <v>455</v>
      </c>
      <c r="WHL101" t="s">
        <v>455</v>
      </c>
      <c r="WHM101" t="s">
        <v>455</v>
      </c>
      <c r="WHN101" t="s">
        <v>455</v>
      </c>
      <c r="WHO101" t="s">
        <v>455</v>
      </c>
      <c r="WHP101" t="s">
        <v>455</v>
      </c>
      <c r="WHQ101" t="s">
        <v>455</v>
      </c>
      <c r="WHR101" t="s">
        <v>455</v>
      </c>
      <c r="WHS101" t="s">
        <v>455</v>
      </c>
      <c r="WHT101" t="s">
        <v>455</v>
      </c>
      <c r="WHU101" t="s">
        <v>455</v>
      </c>
      <c r="WHV101" t="s">
        <v>455</v>
      </c>
      <c r="WHW101" t="s">
        <v>455</v>
      </c>
      <c r="WHX101" t="s">
        <v>455</v>
      </c>
      <c r="WHY101" t="s">
        <v>455</v>
      </c>
      <c r="WHZ101" t="s">
        <v>455</v>
      </c>
      <c r="WIA101" t="s">
        <v>455</v>
      </c>
      <c r="WIB101" t="s">
        <v>455</v>
      </c>
      <c r="WIC101" t="s">
        <v>455</v>
      </c>
      <c r="WID101" t="s">
        <v>455</v>
      </c>
      <c r="WIE101" t="s">
        <v>455</v>
      </c>
      <c r="WIF101" t="s">
        <v>455</v>
      </c>
      <c r="WIG101" t="s">
        <v>455</v>
      </c>
      <c r="WIH101" t="s">
        <v>455</v>
      </c>
      <c r="WII101" t="s">
        <v>455</v>
      </c>
      <c r="WIJ101" t="s">
        <v>455</v>
      </c>
      <c r="WIK101" t="s">
        <v>455</v>
      </c>
      <c r="WIL101" t="s">
        <v>455</v>
      </c>
      <c r="WIM101" t="s">
        <v>455</v>
      </c>
      <c r="WIN101" t="s">
        <v>455</v>
      </c>
      <c r="WIO101" t="s">
        <v>455</v>
      </c>
      <c r="WIP101" t="s">
        <v>455</v>
      </c>
      <c r="WIQ101" t="s">
        <v>455</v>
      </c>
      <c r="WIR101" t="s">
        <v>455</v>
      </c>
      <c r="WIS101" t="s">
        <v>455</v>
      </c>
      <c r="WIT101" t="s">
        <v>455</v>
      </c>
      <c r="WIU101" t="s">
        <v>455</v>
      </c>
      <c r="WIV101" t="s">
        <v>455</v>
      </c>
      <c r="WIW101" t="s">
        <v>455</v>
      </c>
      <c r="WIX101" t="s">
        <v>455</v>
      </c>
      <c r="WIY101" t="s">
        <v>455</v>
      </c>
      <c r="WIZ101" t="s">
        <v>455</v>
      </c>
      <c r="WJA101" t="s">
        <v>455</v>
      </c>
      <c r="WJB101" t="s">
        <v>455</v>
      </c>
      <c r="WJC101" t="s">
        <v>455</v>
      </c>
      <c r="WJD101" t="s">
        <v>455</v>
      </c>
      <c r="WJE101" t="s">
        <v>455</v>
      </c>
      <c r="WJF101" t="s">
        <v>455</v>
      </c>
      <c r="WJG101" t="s">
        <v>455</v>
      </c>
      <c r="WJH101" t="s">
        <v>455</v>
      </c>
      <c r="WJI101" t="s">
        <v>455</v>
      </c>
      <c r="WJJ101" t="s">
        <v>455</v>
      </c>
      <c r="WJK101" t="s">
        <v>455</v>
      </c>
      <c r="WJL101" t="s">
        <v>455</v>
      </c>
      <c r="WJM101" t="s">
        <v>455</v>
      </c>
      <c r="WJN101" t="s">
        <v>455</v>
      </c>
      <c r="WJO101" t="s">
        <v>455</v>
      </c>
      <c r="WJP101" t="s">
        <v>455</v>
      </c>
      <c r="WJQ101" t="s">
        <v>455</v>
      </c>
      <c r="WJR101" t="s">
        <v>455</v>
      </c>
      <c r="WJS101" t="s">
        <v>455</v>
      </c>
      <c r="WJT101" t="s">
        <v>455</v>
      </c>
      <c r="WJU101" t="s">
        <v>455</v>
      </c>
      <c r="WJV101" t="s">
        <v>455</v>
      </c>
      <c r="WJW101" t="s">
        <v>455</v>
      </c>
      <c r="WJX101" t="s">
        <v>455</v>
      </c>
      <c r="WJY101" t="s">
        <v>455</v>
      </c>
      <c r="WJZ101" t="s">
        <v>455</v>
      </c>
      <c r="WKA101" t="s">
        <v>455</v>
      </c>
      <c r="WKB101" t="s">
        <v>455</v>
      </c>
      <c r="WKC101" t="s">
        <v>455</v>
      </c>
      <c r="WKD101" t="s">
        <v>455</v>
      </c>
      <c r="WKE101" t="s">
        <v>455</v>
      </c>
      <c r="WKF101" t="s">
        <v>455</v>
      </c>
      <c r="WKG101" t="s">
        <v>455</v>
      </c>
      <c r="WKH101" t="s">
        <v>455</v>
      </c>
      <c r="WKI101" t="s">
        <v>455</v>
      </c>
      <c r="WKJ101" t="s">
        <v>455</v>
      </c>
      <c r="WKK101" t="s">
        <v>455</v>
      </c>
      <c r="WKL101" t="s">
        <v>455</v>
      </c>
      <c r="WKM101" t="s">
        <v>455</v>
      </c>
      <c r="WKN101" t="s">
        <v>455</v>
      </c>
      <c r="WKO101" t="s">
        <v>455</v>
      </c>
      <c r="WKP101" t="s">
        <v>455</v>
      </c>
      <c r="WKQ101" t="s">
        <v>455</v>
      </c>
      <c r="WKR101" t="s">
        <v>455</v>
      </c>
      <c r="WKS101" t="s">
        <v>455</v>
      </c>
      <c r="WKT101" t="s">
        <v>455</v>
      </c>
      <c r="WKU101" t="s">
        <v>455</v>
      </c>
      <c r="WKV101" t="s">
        <v>455</v>
      </c>
      <c r="WKW101" t="s">
        <v>455</v>
      </c>
      <c r="WKX101" t="s">
        <v>455</v>
      </c>
      <c r="WKY101" t="s">
        <v>455</v>
      </c>
      <c r="WKZ101" t="s">
        <v>455</v>
      </c>
      <c r="WLA101" t="s">
        <v>455</v>
      </c>
      <c r="WLB101" t="s">
        <v>455</v>
      </c>
      <c r="WLC101" t="s">
        <v>455</v>
      </c>
      <c r="WLD101" t="s">
        <v>455</v>
      </c>
      <c r="WLE101" t="s">
        <v>455</v>
      </c>
      <c r="WLF101" t="s">
        <v>455</v>
      </c>
      <c r="WLG101" t="s">
        <v>455</v>
      </c>
      <c r="WLH101" t="s">
        <v>455</v>
      </c>
      <c r="WLI101" t="s">
        <v>455</v>
      </c>
      <c r="WLJ101" t="s">
        <v>455</v>
      </c>
      <c r="WLK101" t="s">
        <v>455</v>
      </c>
      <c r="WLL101" t="s">
        <v>455</v>
      </c>
      <c r="WLM101" t="s">
        <v>455</v>
      </c>
      <c r="WLN101" t="s">
        <v>455</v>
      </c>
      <c r="WLO101" t="s">
        <v>455</v>
      </c>
      <c r="WLP101" t="s">
        <v>455</v>
      </c>
      <c r="WLQ101" t="s">
        <v>455</v>
      </c>
      <c r="WLR101" t="s">
        <v>455</v>
      </c>
      <c r="WLS101" t="s">
        <v>455</v>
      </c>
      <c r="WLT101" t="s">
        <v>455</v>
      </c>
      <c r="WLU101" t="s">
        <v>455</v>
      </c>
      <c r="WLV101" t="s">
        <v>455</v>
      </c>
      <c r="WLW101" t="s">
        <v>455</v>
      </c>
      <c r="WLX101" t="s">
        <v>455</v>
      </c>
      <c r="WLY101" t="s">
        <v>455</v>
      </c>
      <c r="WLZ101" t="s">
        <v>455</v>
      </c>
      <c r="WMA101" t="s">
        <v>455</v>
      </c>
      <c r="WMB101" t="s">
        <v>455</v>
      </c>
      <c r="WMC101" t="s">
        <v>455</v>
      </c>
      <c r="WMD101" t="s">
        <v>455</v>
      </c>
      <c r="WME101" t="s">
        <v>455</v>
      </c>
      <c r="WMF101" t="s">
        <v>455</v>
      </c>
      <c r="WMG101" t="s">
        <v>455</v>
      </c>
      <c r="WMH101" t="s">
        <v>455</v>
      </c>
      <c r="WMI101" t="s">
        <v>455</v>
      </c>
      <c r="WMJ101" t="s">
        <v>455</v>
      </c>
      <c r="WMK101" t="s">
        <v>455</v>
      </c>
      <c r="WML101" t="s">
        <v>455</v>
      </c>
      <c r="WMM101" t="s">
        <v>455</v>
      </c>
      <c r="WMN101" t="s">
        <v>455</v>
      </c>
      <c r="WMO101" t="s">
        <v>455</v>
      </c>
      <c r="WMP101" t="s">
        <v>455</v>
      </c>
      <c r="WMQ101" t="s">
        <v>455</v>
      </c>
      <c r="WMR101" t="s">
        <v>455</v>
      </c>
      <c r="WMS101" t="s">
        <v>455</v>
      </c>
      <c r="WMT101" t="s">
        <v>455</v>
      </c>
      <c r="WMU101" t="s">
        <v>455</v>
      </c>
      <c r="WMV101" t="s">
        <v>455</v>
      </c>
      <c r="WMW101" t="s">
        <v>455</v>
      </c>
      <c r="WMX101" t="s">
        <v>455</v>
      </c>
      <c r="WMY101" t="s">
        <v>455</v>
      </c>
      <c r="WMZ101" t="s">
        <v>455</v>
      </c>
      <c r="WNA101" t="s">
        <v>455</v>
      </c>
      <c r="WNB101" t="s">
        <v>455</v>
      </c>
      <c r="WNC101" t="s">
        <v>455</v>
      </c>
      <c r="WND101" t="s">
        <v>455</v>
      </c>
      <c r="WNE101" t="s">
        <v>455</v>
      </c>
      <c r="WNF101" t="s">
        <v>455</v>
      </c>
      <c r="WNG101" t="s">
        <v>455</v>
      </c>
      <c r="WNH101" t="s">
        <v>455</v>
      </c>
      <c r="WNI101" t="s">
        <v>455</v>
      </c>
      <c r="WNJ101" t="s">
        <v>455</v>
      </c>
      <c r="WNK101" t="s">
        <v>455</v>
      </c>
      <c r="WNL101" t="s">
        <v>455</v>
      </c>
      <c r="WNM101" t="s">
        <v>455</v>
      </c>
      <c r="WNN101" t="s">
        <v>455</v>
      </c>
      <c r="WNO101" t="s">
        <v>455</v>
      </c>
      <c r="WNP101" t="s">
        <v>455</v>
      </c>
      <c r="WNQ101" t="s">
        <v>455</v>
      </c>
      <c r="WNR101" t="s">
        <v>455</v>
      </c>
      <c r="WNS101" t="s">
        <v>455</v>
      </c>
      <c r="WNT101" t="s">
        <v>455</v>
      </c>
      <c r="WNU101" t="s">
        <v>455</v>
      </c>
      <c r="WNV101" t="s">
        <v>455</v>
      </c>
      <c r="WNW101" t="s">
        <v>455</v>
      </c>
      <c r="WNX101" t="s">
        <v>455</v>
      </c>
      <c r="WNY101" t="s">
        <v>455</v>
      </c>
      <c r="WNZ101" t="s">
        <v>455</v>
      </c>
      <c r="WOA101" t="s">
        <v>455</v>
      </c>
      <c r="WOB101" t="s">
        <v>455</v>
      </c>
      <c r="WOC101" t="s">
        <v>455</v>
      </c>
      <c r="WOD101" t="s">
        <v>455</v>
      </c>
      <c r="WOE101" t="s">
        <v>455</v>
      </c>
      <c r="WOF101" t="s">
        <v>455</v>
      </c>
      <c r="WOG101" t="s">
        <v>455</v>
      </c>
      <c r="WOH101" t="s">
        <v>455</v>
      </c>
      <c r="WOI101" t="s">
        <v>455</v>
      </c>
      <c r="WOJ101" t="s">
        <v>455</v>
      </c>
      <c r="WOK101" t="s">
        <v>455</v>
      </c>
      <c r="WOL101" t="s">
        <v>455</v>
      </c>
      <c r="WOM101" t="s">
        <v>455</v>
      </c>
      <c r="WON101" t="s">
        <v>455</v>
      </c>
      <c r="WOO101" t="s">
        <v>455</v>
      </c>
      <c r="WOP101" t="s">
        <v>455</v>
      </c>
      <c r="WOQ101" t="s">
        <v>455</v>
      </c>
      <c r="WOR101" t="s">
        <v>455</v>
      </c>
      <c r="WOS101" t="s">
        <v>455</v>
      </c>
      <c r="WOT101" t="s">
        <v>455</v>
      </c>
      <c r="WOU101" t="s">
        <v>455</v>
      </c>
      <c r="WOV101" t="s">
        <v>455</v>
      </c>
      <c r="WOW101" t="s">
        <v>455</v>
      </c>
      <c r="WOX101" t="s">
        <v>455</v>
      </c>
      <c r="WOY101" t="s">
        <v>455</v>
      </c>
      <c r="WOZ101" t="s">
        <v>455</v>
      </c>
      <c r="WPA101" t="s">
        <v>455</v>
      </c>
      <c r="WPB101" t="s">
        <v>455</v>
      </c>
      <c r="WPC101" t="s">
        <v>455</v>
      </c>
      <c r="WPD101" t="s">
        <v>455</v>
      </c>
      <c r="WPE101" t="s">
        <v>455</v>
      </c>
      <c r="WPF101" t="s">
        <v>455</v>
      </c>
      <c r="WPG101" t="s">
        <v>455</v>
      </c>
      <c r="WPH101" t="s">
        <v>455</v>
      </c>
      <c r="WPI101" t="s">
        <v>455</v>
      </c>
      <c r="WPJ101" t="s">
        <v>455</v>
      </c>
      <c r="WPK101" t="s">
        <v>455</v>
      </c>
      <c r="WPL101" t="s">
        <v>455</v>
      </c>
      <c r="WPM101" t="s">
        <v>455</v>
      </c>
      <c r="WPN101" t="s">
        <v>455</v>
      </c>
      <c r="WPO101" t="s">
        <v>455</v>
      </c>
      <c r="WPP101" t="s">
        <v>455</v>
      </c>
      <c r="WPQ101" t="s">
        <v>455</v>
      </c>
      <c r="WPR101" t="s">
        <v>455</v>
      </c>
      <c r="WPS101" t="s">
        <v>455</v>
      </c>
      <c r="WPT101" t="s">
        <v>455</v>
      </c>
      <c r="WPU101" t="s">
        <v>455</v>
      </c>
      <c r="WPV101" t="s">
        <v>455</v>
      </c>
      <c r="WPW101" t="s">
        <v>455</v>
      </c>
      <c r="WPX101" t="s">
        <v>455</v>
      </c>
      <c r="WPY101" t="s">
        <v>455</v>
      </c>
      <c r="WPZ101" t="s">
        <v>455</v>
      </c>
      <c r="WQA101" t="s">
        <v>455</v>
      </c>
      <c r="WQB101" t="s">
        <v>455</v>
      </c>
      <c r="WQC101" t="s">
        <v>455</v>
      </c>
      <c r="WQD101" t="s">
        <v>455</v>
      </c>
      <c r="WQE101" t="s">
        <v>455</v>
      </c>
      <c r="WQF101" t="s">
        <v>455</v>
      </c>
      <c r="WQG101" t="s">
        <v>455</v>
      </c>
      <c r="WQH101" t="s">
        <v>455</v>
      </c>
      <c r="WQI101" t="s">
        <v>455</v>
      </c>
      <c r="WQJ101" t="s">
        <v>455</v>
      </c>
      <c r="WQK101" t="s">
        <v>455</v>
      </c>
      <c r="WQL101" t="s">
        <v>455</v>
      </c>
      <c r="WQM101" t="s">
        <v>455</v>
      </c>
      <c r="WQN101" t="s">
        <v>455</v>
      </c>
      <c r="WQO101" t="s">
        <v>455</v>
      </c>
      <c r="WQP101" t="s">
        <v>455</v>
      </c>
      <c r="WQQ101" t="s">
        <v>455</v>
      </c>
      <c r="WQR101" t="s">
        <v>455</v>
      </c>
      <c r="WQS101" t="s">
        <v>455</v>
      </c>
      <c r="WQT101" t="s">
        <v>455</v>
      </c>
      <c r="WQU101" t="s">
        <v>455</v>
      </c>
      <c r="WQV101" t="s">
        <v>455</v>
      </c>
      <c r="WQW101" t="s">
        <v>455</v>
      </c>
      <c r="WQX101" t="s">
        <v>455</v>
      </c>
      <c r="WQY101" t="s">
        <v>455</v>
      </c>
      <c r="WQZ101" t="s">
        <v>455</v>
      </c>
      <c r="WRA101" t="s">
        <v>455</v>
      </c>
      <c r="WRB101" t="s">
        <v>455</v>
      </c>
      <c r="WRC101" t="s">
        <v>455</v>
      </c>
      <c r="WRD101" t="s">
        <v>455</v>
      </c>
      <c r="WRE101" t="s">
        <v>455</v>
      </c>
      <c r="WRF101" t="s">
        <v>455</v>
      </c>
      <c r="WRG101" t="s">
        <v>455</v>
      </c>
      <c r="WRH101" t="s">
        <v>455</v>
      </c>
      <c r="WRI101" t="s">
        <v>455</v>
      </c>
      <c r="WRJ101" t="s">
        <v>455</v>
      </c>
      <c r="WRK101" t="s">
        <v>455</v>
      </c>
      <c r="WRL101" t="s">
        <v>455</v>
      </c>
      <c r="WRM101" t="s">
        <v>455</v>
      </c>
      <c r="WRN101" t="s">
        <v>455</v>
      </c>
      <c r="WRO101" t="s">
        <v>455</v>
      </c>
      <c r="WRP101" t="s">
        <v>455</v>
      </c>
      <c r="WRQ101" t="s">
        <v>455</v>
      </c>
      <c r="WRR101" t="s">
        <v>455</v>
      </c>
      <c r="WRS101" t="s">
        <v>455</v>
      </c>
      <c r="WRT101" t="s">
        <v>455</v>
      </c>
      <c r="WRU101" t="s">
        <v>455</v>
      </c>
      <c r="WRV101" t="s">
        <v>455</v>
      </c>
      <c r="WRW101" t="s">
        <v>455</v>
      </c>
      <c r="WRX101" t="s">
        <v>455</v>
      </c>
      <c r="WRY101" t="s">
        <v>455</v>
      </c>
      <c r="WRZ101" t="s">
        <v>455</v>
      </c>
      <c r="WSA101" t="s">
        <v>455</v>
      </c>
      <c r="WSB101" t="s">
        <v>455</v>
      </c>
      <c r="WSC101" t="s">
        <v>455</v>
      </c>
      <c r="WSD101" t="s">
        <v>455</v>
      </c>
      <c r="WSE101" t="s">
        <v>455</v>
      </c>
      <c r="WSF101" t="s">
        <v>455</v>
      </c>
      <c r="WSG101" t="s">
        <v>455</v>
      </c>
      <c r="WSH101" t="s">
        <v>455</v>
      </c>
      <c r="WSI101" t="s">
        <v>455</v>
      </c>
      <c r="WSJ101" t="s">
        <v>455</v>
      </c>
      <c r="WSK101" t="s">
        <v>455</v>
      </c>
      <c r="WSL101" t="s">
        <v>455</v>
      </c>
      <c r="WSM101" t="s">
        <v>455</v>
      </c>
      <c r="WSN101" t="s">
        <v>455</v>
      </c>
      <c r="WSO101" t="s">
        <v>455</v>
      </c>
      <c r="WSP101" t="s">
        <v>455</v>
      </c>
      <c r="WSQ101" t="s">
        <v>455</v>
      </c>
      <c r="WSR101" t="s">
        <v>455</v>
      </c>
      <c r="WSS101" t="s">
        <v>455</v>
      </c>
      <c r="WST101" t="s">
        <v>455</v>
      </c>
      <c r="WSU101" t="s">
        <v>455</v>
      </c>
      <c r="WSV101" t="s">
        <v>455</v>
      </c>
      <c r="WSW101" t="s">
        <v>455</v>
      </c>
      <c r="WSX101" t="s">
        <v>455</v>
      </c>
      <c r="WSY101" t="s">
        <v>455</v>
      </c>
      <c r="WSZ101" t="s">
        <v>455</v>
      </c>
      <c r="WTA101" t="s">
        <v>455</v>
      </c>
      <c r="WTB101" t="s">
        <v>455</v>
      </c>
      <c r="WTC101" t="s">
        <v>455</v>
      </c>
      <c r="WTD101" t="s">
        <v>455</v>
      </c>
      <c r="WTE101" t="s">
        <v>455</v>
      </c>
      <c r="WTF101" t="s">
        <v>455</v>
      </c>
      <c r="WTG101" t="s">
        <v>455</v>
      </c>
      <c r="WTH101" t="s">
        <v>455</v>
      </c>
      <c r="WTI101" t="s">
        <v>455</v>
      </c>
      <c r="WTJ101" t="s">
        <v>455</v>
      </c>
      <c r="WTK101" t="s">
        <v>455</v>
      </c>
      <c r="WTL101" t="s">
        <v>455</v>
      </c>
      <c r="WTM101" t="s">
        <v>455</v>
      </c>
      <c r="WTN101" t="s">
        <v>455</v>
      </c>
      <c r="WTO101" t="s">
        <v>455</v>
      </c>
      <c r="WTP101" t="s">
        <v>455</v>
      </c>
      <c r="WTQ101" t="s">
        <v>455</v>
      </c>
      <c r="WTR101" t="s">
        <v>455</v>
      </c>
      <c r="WTS101" t="s">
        <v>455</v>
      </c>
      <c r="WTT101" t="s">
        <v>455</v>
      </c>
      <c r="WTU101" t="s">
        <v>455</v>
      </c>
      <c r="WTV101" t="s">
        <v>455</v>
      </c>
      <c r="WTW101" t="s">
        <v>455</v>
      </c>
      <c r="WTX101" t="s">
        <v>455</v>
      </c>
      <c r="WTY101" t="s">
        <v>455</v>
      </c>
      <c r="WTZ101" t="s">
        <v>455</v>
      </c>
      <c r="WUA101" t="s">
        <v>455</v>
      </c>
      <c r="WUB101" t="s">
        <v>455</v>
      </c>
      <c r="WUC101" t="s">
        <v>455</v>
      </c>
      <c r="WUD101" t="s">
        <v>455</v>
      </c>
      <c r="WUE101" t="s">
        <v>455</v>
      </c>
      <c r="WUF101" t="s">
        <v>455</v>
      </c>
      <c r="WUG101" t="s">
        <v>455</v>
      </c>
      <c r="WUH101" t="s">
        <v>455</v>
      </c>
      <c r="WUI101" t="s">
        <v>455</v>
      </c>
      <c r="WUJ101" t="s">
        <v>455</v>
      </c>
      <c r="WUK101" t="s">
        <v>455</v>
      </c>
      <c r="WUL101" t="s">
        <v>455</v>
      </c>
      <c r="WUM101" t="s">
        <v>455</v>
      </c>
      <c r="WUN101" t="s">
        <v>455</v>
      </c>
      <c r="WUO101" t="s">
        <v>455</v>
      </c>
      <c r="WUP101" t="s">
        <v>455</v>
      </c>
      <c r="WUQ101" t="s">
        <v>455</v>
      </c>
      <c r="WUR101" t="s">
        <v>455</v>
      </c>
      <c r="WUS101" t="s">
        <v>455</v>
      </c>
      <c r="WUT101" t="s">
        <v>455</v>
      </c>
      <c r="WUU101" t="s">
        <v>455</v>
      </c>
      <c r="WUV101" t="s">
        <v>455</v>
      </c>
      <c r="WUW101" t="s">
        <v>455</v>
      </c>
      <c r="WUX101" t="s">
        <v>455</v>
      </c>
      <c r="WUY101" t="s">
        <v>455</v>
      </c>
      <c r="WUZ101" t="s">
        <v>455</v>
      </c>
      <c r="WVA101" t="s">
        <v>455</v>
      </c>
      <c r="WVB101" t="s">
        <v>455</v>
      </c>
      <c r="WVC101" t="s">
        <v>455</v>
      </c>
      <c r="WVD101" t="s">
        <v>455</v>
      </c>
      <c r="WVE101" t="s">
        <v>455</v>
      </c>
      <c r="WVF101" t="s">
        <v>455</v>
      </c>
      <c r="WVG101" t="s">
        <v>455</v>
      </c>
      <c r="WVH101" t="s">
        <v>455</v>
      </c>
      <c r="WVI101" t="s">
        <v>455</v>
      </c>
      <c r="WVJ101" t="s">
        <v>455</v>
      </c>
      <c r="WVK101" t="s">
        <v>455</v>
      </c>
      <c r="WVL101" t="s">
        <v>455</v>
      </c>
      <c r="WVM101" t="s">
        <v>455</v>
      </c>
      <c r="WVN101" t="s">
        <v>455</v>
      </c>
      <c r="WVO101" t="s">
        <v>455</v>
      </c>
      <c r="WVP101" t="s">
        <v>455</v>
      </c>
      <c r="WVQ101" t="s">
        <v>455</v>
      </c>
      <c r="WVR101" t="s">
        <v>455</v>
      </c>
      <c r="WVS101" t="s">
        <v>455</v>
      </c>
      <c r="WVT101" t="s">
        <v>455</v>
      </c>
      <c r="WVU101" t="s">
        <v>455</v>
      </c>
      <c r="WVV101" t="s">
        <v>455</v>
      </c>
      <c r="WVW101" t="s">
        <v>455</v>
      </c>
      <c r="WVX101" t="s">
        <v>455</v>
      </c>
      <c r="WVY101" t="s">
        <v>455</v>
      </c>
      <c r="WVZ101" t="s">
        <v>455</v>
      </c>
      <c r="WWA101" t="s">
        <v>455</v>
      </c>
      <c r="WWB101" t="s">
        <v>455</v>
      </c>
      <c r="WWC101" t="s">
        <v>455</v>
      </c>
      <c r="WWD101" t="s">
        <v>455</v>
      </c>
      <c r="WWE101" t="s">
        <v>455</v>
      </c>
      <c r="WWF101" t="s">
        <v>455</v>
      </c>
      <c r="WWG101" t="s">
        <v>455</v>
      </c>
      <c r="WWH101" t="s">
        <v>455</v>
      </c>
      <c r="WWI101" t="s">
        <v>455</v>
      </c>
      <c r="WWJ101" t="s">
        <v>455</v>
      </c>
      <c r="WWK101" t="s">
        <v>455</v>
      </c>
      <c r="WWL101" t="s">
        <v>455</v>
      </c>
      <c r="WWM101" t="s">
        <v>455</v>
      </c>
      <c r="WWN101" t="s">
        <v>455</v>
      </c>
      <c r="WWO101" t="s">
        <v>455</v>
      </c>
      <c r="WWP101" t="s">
        <v>455</v>
      </c>
      <c r="WWQ101" t="s">
        <v>455</v>
      </c>
      <c r="WWR101" t="s">
        <v>455</v>
      </c>
      <c r="WWS101" t="s">
        <v>455</v>
      </c>
      <c r="WWT101" t="s">
        <v>455</v>
      </c>
      <c r="WWU101" t="s">
        <v>455</v>
      </c>
      <c r="WWV101" t="s">
        <v>455</v>
      </c>
      <c r="WWW101" t="s">
        <v>455</v>
      </c>
      <c r="WWX101" t="s">
        <v>455</v>
      </c>
      <c r="WWY101" t="s">
        <v>455</v>
      </c>
      <c r="WWZ101" t="s">
        <v>455</v>
      </c>
      <c r="WXA101" t="s">
        <v>455</v>
      </c>
      <c r="WXB101" t="s">
        <v>455</v>
      </c>
      <c r="WXC101" t="s">
        <v>455</v>
      </c>
      <c r="WXD101" t="s">
        <v>455</v>
      </c>
      <c r="WXE101" t="s">
        <v>455</v>
      </c>
      <c r="WXF101" t="s">
        <v>455</v>
      </c>
      <c r="WXG101" t="s">
        <v>455</v>
      </c>
      <c r="WXH101" t="s">
        <v>455</v>
      </c>
      <c r="WXI101" t="s">
        <v>455</v>
      </c>
      <c r="WXJ101" t="s">
        <v>455</v>
      </c>
      <c r="WXK101" t="s">
        <v>455</v>
      </c>
      <c r="WXL101" t="s">
        <v>455</v>
      </c>
      <c r="WXM101" t="s">
        <v>455</v>
      </c>
      <c r="WXN101" t="s">
        <v>455</v>
      </c>
      <c r="WXO101" t="s">
        <v>455</v>
      </c>
      <c r="WXP101" t="s">
        <v>455</v>
      </c>
      <c r="WXQ101" t="s">
        <v>455</v>
      </c>
      <c r="WXR101" t="s">
        <v>455</v>
      </c>
      <c r="WXS101" t="s">
        <v>455</v>
      </c>
      <c r="WXT101" t="s">
        <v>455</v>
      </c>
      <c r="WXU101" t="s">
        <v>455</v>
      </c>
      <c r="WXV101" t="s">
        <v>455</v>
      </c>
      <c r="WXW101" t="s">
        <v>455</v>
      </c>
      <c r="WXX101" t="s">
        <v>455</v>
      </c>
      <c r="WXY101" t="s">
        <v>455</v>
      </c>
      <c r="WXZ101" t="s">
        <v>455</v>
      </c>
      <c r="WYA101" t="s">
        <v>455</v>
      </c>
      <c r="WYB101" t="s">
        <v>455</v>
      </c>
      <c r="WYC101" t="s">
        <v>455</v>
      </c>
      <c r="WYD101" t="s">
        <v>455</v>
      </c>
      <c r="WYE101" t="s">
        <v>455</v>
      </c>
      <c r="WYF101" t="s">
        <v>455</v>
      </c>
      <c r="WYG101" t="s">
        <v>455</v>
      </c>
      <c r="WYH101" t="s">
        <v>455</v>
      </c>
      <c r="WYI101" t="s">
        <v>455</v>
      </c>
      <c r="WYJ101" t="s">
        <v>455</v>
      </c>
      <c r="WYK101" t="s">
        <v>455</v>
      </c>
      <c r="WYL101" t="s">
        <v>455</v>
      </c>
      <c r="WYM101" t="s">
        <v>455</v>
      </c>
      <c r="WYN101" t="s">
        <v>455</v>
      </c>
      <c r="WYO101" t="s">
        <v>455</v>
      </c>
      <c r="WYP101" t="s">
        <v>455</v>
      </c>
      <c r="WYQ101" t="s">
        <v>455</v>
      </c>
      <c r="WYR101" t="s">
        <v>455</v>
      </c>
      <c r="WYS101" t="s">
        <v>455</v>
      </c>
      <c r="WYT101" t="s">
        <v>455</v>
      </c>
      <c r="WYU101" t="s">
        <v>455</v>
      </c>
      <c r="WYV101" t="s">
        <v>455</v>
      </c>
      <c r="WYW101" t="s">
        <v>455</v>
      </c>
      <c r="WYX101" t="s">
        <v>455</v>
      </c>
      <c r="WYY101" t="s">
        <v>455</v>
      </c>
      <c r="WYZ101" t="s">
        <v>455</v>
      </c>
      <c r="WZA101" t="s">
        <v>455</v>
      </c>
      <c r="WZB101" t="s">
        <v>455</v>
      </c>
      <c r="WZC101" t="s">
        <v>455</v>
      </c>
      <c r="WZD101" t="s">
        <v>455</v>
      </c>
      <c r="WZE101" t="s">
        <v>455</v>
      </c>
      <c r="WZF101" t="s">
        <v>455</v>
      </c>
      <c r="WZG101" t="s">
        <v>455</v>
      </c>
      <c r="WZH101" t="s">
        <v>455</v>
      </c>
      <c r="WZI101" t="s">
        <v>455</v>
      </c>
      <c r="WZJ101" t="s">
        <v>455</v>
      </c>
      <c r="WZK101" t="s">
        <v>455</v>
      </c>
      <c r="WZL101" t="s">
        <v>455</v>
      </c>
      <c r="WZM101" t="s">
        <v>455</v>
      </c>
      <c r="WZN101" t="s">
        <v>455</v>
      </c>
      <c r="WZO101" t="s">
        <v>455</v>
      </c>
      <c r="WZP101" t="s">
        <v>455</v>
      </c>
      <c r="WZQ101" t="s">
        <v>455</v>
      </c>
      <c r="WZR101" t="s">
        <v>455</v>
      </c>
      <c r="WZS101" t="s">
        <v>455</v>
      </c>
      <c r="WZT101" t="s">
        <v>455</v>
      </c>
      <c r="WZU101" t="s">
        <v>455</v>
      </c>
      <c r="WZV101" t="s">
        <v>455</v>
      </c>
      <c r="WZW101" t="s">
        <v>455</v>
      </c>
      <c r="WZX101" t="s">
        <v>455</v>
      </c>
      <c r="WZY101" t="s">
        <v>455</v>
      </c>
      <c r="WZZ101" t="s">
        <v>455</v>
      </c>
      <c r="XAA101" t="s">
        <v>455</v>
      </c>
      <c r="XAB101" t="s">
        <v>455</v>
      </c>
      <c r="XAC101" t="s">
        <v>455</v>
      </c>
      <c r="XAD101" t="s">
        <v>455</v>
      </c>
      <c r="XAE101" t="s">
        <v>455</v>
      </c>
      <c r="XAF101" t="s">
        <v>455</v>
      </c>
      <c r="XAG101" t="s">
        <v>455</v>
      </c>
      <c r="XAH101" t="s">
        <v>455</v>
      </c>
      <c r="XAI101" t="s">
        <v>455</v>
      </c>
      <c r="XAJ101" t="s">
        <v>455</v>
      </c>
      <c r="XAK101" t="s">
        <v>455</v>
      </c>
      <c r="XAL101" t="s">
        <v>455</v>
      </c>
      <c r="XAM101" t="s">
        <v>455</v>
      </c>
      <c r="XAN101" t="s">
        <v>455</v>
      </c>
      <c r="XAO101" t="s">
        <v>455</v>
      </c>
      <c r="XAP101" t="s">
        <v>455</v>
      </c>
      <c r="XAQ101" t="s">
        <v>455</v>
      </c>
      <c r="XAR101" t="s">
        <v>455</v>
      </c>
      <c r="XAS101" t="s">
        <v>455</v>
      </c>
      <c r="XAT101" t="s">
        <v>455</v>
      </c>
      <c r="XAU101" t="s">
        <v>455</v>
      </c>
      <c r="XAV101" t="s">
        <v>455</v>
      </c>
      <c r="XAW101" t="s">
        <v>455</v>
      </c>
      <c r="XAX101" t="s">
        <v>455</v>
      </c>
      <c r="XAY101" t="s">
        <v>455</v>
      </c>
      <c r="XAZ101" t="s">
        <v>455</v>
      </c>
      <c r="XBA101" t="s">
        <v>455</v>
      </c>
      <c r="XBB101" t="s">
        <v>455</v>
      </c>
      <c r="XBC101" t="s">
        <v>455</v>
      </c>
      <c r="XBD101" t="s">
        <v>455</v>
      </c>
      <c r="XBE101" t="s">
        <v>455</v>
      </c>
      <c r="XBF101" t="s">
        <v>455</v>
      </c>
      <c r="XBG101" t="s">
        <v>455</v>
      </c>
      <c r="XBH101" t="s">
        <v>455</v>
      </c>
      <c r="XBI101" t="s">
        <v>455</v>
      </c>
      <c r="XBJ101" t="s">
        <v>455</v>
      </c>
      <c r="XBK101" t="s">
        <v>455</v>
      </c>
      <c r="XBL101" t="s">
        <v>455</v>
      </c>
      <c r="XBM101" t="s">
        <v>455</v>
      </c>
      <c r="XBN101" t="s">
        <v>455</v>
      </c>
      <c r="XBO101" t="s">
        <v>455</v>
      </c>
      <c r="XBP101" t="s">
        <v>455</v>
      </c>
      <c r="XBQ101" t="s">
        <v>455</v>
      </c>
      <c r="XBR101" t="s">
        <v>455</v>
      </c>
      <c r="XBS101" t="s">
        <v>455</v>
      </c>
      <c r="XBT101" t="s">
        <v>455</v>
      </c>
      <c r="XBU101" t="s">
        <v>455</v>
      </c>
      <c r="XBV101" t="s">
        <v>455</v>
      </c>
      <c r="XBW101" t="s">
        <v>455</v>
      </c>
      <c r="XBX101" t="s">
        <v>455</v>
      </c>
      <c r="XBY101" t="s">
        <v>455</v>
      </c>
      <c r="XBZ101" t="s">
        <v>455</v>
      </c>
      <c r="XCA101" t="s">
        <v>455</v>
      </c>
      <c r="XCB101" t="s">
        <v>455</v>
      </c>
      <c r="XCC101" t="s">
        <v>455</v>
      </c>
      <c r="XCD101" t="s">
        <v>455</v>
      </c>
      <c r="XCE101" t="s">
        <v>455</v>
      </c>
      <c r="XCF101" t="s">
        <v>455</v>
      </c>
      <c r="XCG101" t="s">
        <v>455</v>
      </c>
      <c r="XCH101" t="s">
        <v>455</v>
      </c>
      <c r="XCI101" t="s">
        <v>455</v>
      </c>
      <c r="XCJ101" t="s">
        <v>455</v>
      </c>
      <c r="XCK101" t="s">
        <v>455</v>
      </c>
      <c r="XCL101" t="s">
        <v>455</v>
      </c>
      <c r="XCM101" t="s">
        <v>455</v>
      </c>
      <c r="XCN101" t="s">
        <v>455</v>
      </c>
      <c r="XCO101" t="s">
        <v>455</v>
      </c>
      <c r="XCP101" t="s">
        <v>455</v>
      </c>
      <c r="XCQ101" t="s">
        <v>455</v>
      </c>
      <c r="XCR101" t="s">
        <v>455</v>
      </c>
      <c r="XCS101" t="s">
        <v>455</v>
      </c>
      <c r="XCT101" t="s">
        <v>455</v>
      </c>
      <c r="XCU101" t="s">
        <v>455</v>
      </c>
      <c r="XCV101" t="s">
        <v>455</v>
      </c>
      <c r="XCW101" t="s">
        <v>455</v>
      </c>
      <c r="XCX101" t="s">
        <v>455</v>
      </c>
      <c r="XCY101" t="s">
        <v>455</v>
      </c>
      <c r="XCZ101" t="s">
        <v>455</v>
      </c>
      <c r="XDA101" t="s">
        <v>455</v>
      </c>
      <c r="XDB101" t="s">
        <v>455</v>
      </c>
      <c r="XDC101" t="s">
        <v>455</v>
      </c>
      <c r="XDD101" t="s">
        <v>455</v>
      </c>
      <c r="XDE101" t="s">
        <v>455</v>
      </c>
      <c r="XDF101" t="s">
        <v>455</v>
      </c>
      <c r="XDG101" t="s">
        <v>455</v>
      </c>
      <c r="XDH101" t="s">
        <v>455</v>
      </c>
      <c r="XDI101" t="s">
        <v>455</v>
      </c>
      <c r="XDJ101" t="s">
        <v>455</v>
      </c>
      <c r="XDK101" t="s">
        <v>455</v>
      </c>
      <c r="XDL101" t="s">
        <v>455</v>
      </c>
      <c r="XDM101" t="s">
        <v>455</v>
      </c>
      <c r="XDN101" t="s">
        <v>455</v>
      </c>
      <c r="XDO101" t="s">
        <v>455</v>
      </c>
      <c r="XDP101" t="s">
        <v>455</v>
      </c>
      <c r="XDQ101" t="s">
        <v>455</v>
      </c>
      <c r="XDR101" t="s">
        <v>455</v>
      </c>
      <c r="XDS101" t="s">
        <v>455</v>
      </c>
      <c r="XDT101" t="s">
        <v>455</v>
      </c>
      <c r="XDU101" t="s">
        <v>455</v>
      </c>
      <c r="XDV101" t="s">
        <v>455</v>
      </c>
      <c r="XDW101" t="s">
        <v>455</v>
      </c>
      <c r="XDX101" t="s">
        <v>455</v>
      </c>
      <c r="XDY101" t="s">
        <v>455</v>
      </c>
      <c r="XDZ101" t="s">
        <v>455</v>
      </c>
      <c r="XEA101" t="s">
        <v>455</v>
      </c>
      <c r="XEB101" t="s">
        <v>455</v>
      </c>
      <c r="XEC101" t="s">
        <v>455</v>
      </c>
      <c r="XED101" t="s">
        <v>455</v>
      </c>
      <c r="XEE101" t="s">
        <v>455</v>
      </c>
      <c r="XEF101" t="s">
        <v>455</v>
      </c>
      <c r="XEG101" t="s">
        <v>455</v>
      </c>
      <c r="XEH101" t="s">
        <v>455</v>
      </c>
      <c r="XEI101" t="s">
        <v>455</v>
      </c>
      <c r="XEJ101" t="s">
        <v>455</v>
      </c>
      <c r="XEK101" t="s">
        <v>455</v>
      </c>
      <c r="XEL101" t="s">
        <v>455</v>
      </c>
      <c r="XEM101" t="s">
        <v>455</v>
      </c>
      <c r="XEN101" t="s">
        <v>455</v>
      </c>
      <c r="XEO101" t="s">
        <v>455</v>
      </c>
      <c r="XEP101" t="s">
        <v>455</v>
      </c>
      <c r="XEQ101" t="s">
        <v>455</v>
      </c>
      <c r="XER101" t="s">
        <v>455</v>
      </c>
      <c r="XES101" t="s">
        <v>455</v>
      </c>
      <c r="XET101" t="s">
        <v>455</v>
      </c>
      <c r="XEU101" t="s">
        <v>455</v>
      </c>
      <c r="XEV101" t="s">
        <v>455</v>
      </c>
      <c r="XEW101" t="s">
        <v>455</v>
      </c>
      <c r="XEX101" t="s">
        <v>455</v>
      </c>
      <c r="XEY101" t="s">
        <v>455</v>
      </c>
      <c r="XEZ101" t="s">
        <v>455</v>
      </c>
      <c r="XFA101" t="s">
        <v>455</v>
      </c>
      <c r="XFB101" t="s">
        <v>455</v>
      </c>
      <c r="XFC101" t="s">
        <v>455</v>
      </c>
      <c r="XFD101" t="s">
        <v>455</v>
      </c>
    </row>
    <row r="102" spans="1:16384" x14ac:dyDescent="0.35">
      <c r="A102" s="4" t="s">
        <v>11</v>
      </c>
      <c r="B102" s="420"/>
      <c r="C102" s="86">
        <f>'Depreciation schedule'!C99</f>
        <v>0</v>
      </c>
      <c r="D102" s="17">
        <f>'Depreciation schedule'!D99</f>
        <v>0</v>
      </c>
      <c r="E102" s="17">
        <f>'Depreciation schedule'!E99</f>
        <v>0</v>
      </c>
      <c r="F102" s="17">
        <f>'Depreciation schedule'!F99</f>
        <v>0</v>
      </c>
      <c r="G102" s="146">
        <f>'Depreciation schedule'!G99</f>
        <v>0</v>
      </c>
      <c r="H102" s="17">
        <f>'Depreciation schedule'!H99</f>
        <v>0</v>
      </c>
      <c r="I102" s="17">
        <f>'Depreciation schedule'!I99</f>
        <v>0</v>
      </c>
      <c r="J102" s="17">
        <f>'Depreciation schedule'!J99</f>
        <v>0</v>
      </c>
      <c r="K102" s="17">
        <f>'Depreciation schedule'!K99</f>
        <v>0</v>
      </c>
      <c r="L102" s="146">
        <f>'Depreciation schedule'!L99</f>
        <v>0</v>
      </c>
      <c r="M102" s="8"/>
    </row>
    <row r="103" spans="1:16384" x14ac:dyDescent="0.35">
      <c r="A103" s="4" t="s">
        <v>12</v>
      </c>
      <c r="B103" s="420"/>
      <c r="C103" s="86">
        <f>'Depreciation schedule'!C100</f>
        <v>-3820</v>
      </c>
      <c r="D103" s="17">
        <f>'Depreciation schedule'!D100</f>
        <v>-107291</v>
      </c>
      <c r="E103" s="17">
        <f>'Depreciation schedule'!E100</f>
        <v>-30169</v>
      </c>
      <c r="F103" s="17">
        <f>'Depreciation schedule'!F100</f>
        <v>-9548</v>
      </c>
      <c r="G103" s="146">
        <f>'Depreciation schedule'!G100</f>
        <v>-8821</v>
      </c>
      <c r="H103" s="17">
        <f>'Depreciation schedule'!H100</f>
        <v>-31929.8</v>
      </c>
      <c r="I103" s="17">
        <f>'Depreciation schedule'!I100</f>
        <v>-37551.759999999995</v>
      </c>
      <c r="J103" s="17">
        <f>'Depreciation schedule'!J100</f>
        <v>-23603.912</v>
      </c>
      <c r="K103" s="17">
        <f>'Depreciation schedule'!K100</f>
        <v>-22290.894399999997</v>
      </c>
      <c r="L103" s="146">
        <f>'Depreciation schedule'!L100</f>
        <v>-24839.473279999998</v>
      </c>
      <c r="M103" s="8"/>
    </row>
    <row r="104" spans="1:16384" x14ac:dyDescent="0.35">
      <c r="A104" s="4" t="s">
        <v>13</v>
      </c>
      <c r="B104" s="420"/>
      <c r="C104" s="86">
        <f>'Depreciation schedule'!C101</f>
        <v>3645</v>
      </c>
      <c r="D104" s="17">
        <f>'Depreciation schedule'!D101</f>
        <v>101532</v>
      </c>
      <c r="E104" s="17">
        <f>'Depreciation schedule'!E101</f>
        <v>26904</v>
      </c>
      <c r="F104" s="17">
        <f>'Depreciation schedule'!F101</f>
        <v>8662</v>
      </c>
      <c r="G104" s="146">
        <f>'Depreciation schedule'!G101</f>
        <v>8381</v>
      </c>
      <c r="H104" s="17">
        <f>'Depreciation schedule'!H101</f>
        <v>29824.799999999999</v>
      </c>
      <c r="I104" s="17">
        <f>'Depreciation schedule'!I101</f>
        <v>35060.759999999995</v>
      </c>
      <c r="J104" s="17">
        <f>'Depreciation schedule'!J101</f>
        <v>21766.511999999999</v>
      </c>
      <c r="K104" s="17">
        <f>'Depreciation schedule'!K101</f>
        <v>20739.0144</v>
      </c>
      <c r="L104" s="146">
        <f>'Depreciation schedule'!L101</f>
        <v>23154.417280000001</v>
      </c>
      <c r="M104" s="9"/>
    </row>
    <row r="105" spans="1:16384" x14ac:dyDescent="0.35">
      <c r="A105" s="4" t="s">
        <v>14</v>
      </c>
      <c r="B105" s="420"/>
      <c r="C105" s="86">
        <f>'Depreciation schedule'!C103</f>
        <v>-37040</v>
      </c>
      <c r="D105" s="17">
        <f>'Depreciation schedule'!D103</f>
        <v>-66541</v>
      </c>
      <c r="E105" s="17">
        <f>'Depreciation schedule'!E103</f>
        <v>-69372</v>
      </c>
      <c r="F105" s="17">
        <f>'Depreciation schedule'!F103</f>
        <v>-86589</v>
      </c>
      <c r="G105" s="146">
        <f>'Depreciation schedule'!G103</f>
        <v>-102483</v>
      </c>
      <c r="H105" s="17">
        <f>'Depreciation schedule'!H103</f>
        <v>-126420.05710249596</v>
      </c>
      <c r="I105" s="17">
        <f>'Depreciation schedule'!I103</f>
        <v>-158743.57099396028</v>
      </c>
      <c r="J105" s="17">
        <f>'Depreciation schedule'!J103</f>
        <v>-194551.5068920918</v>
      </c>
      <c r="K105" s="17">
        <f>'Depreciation schedule'!K103</f>
        <v>-214105.55506591513</v>
      </c>
      <c r="L105" s="146">
        <f>'Depreciation schedule'!L103</f>
        <v>-283451.88790509943</v>
      </c>
      <c r="M105" s="9"/>
    </row>
    <row r="106" spans="1:16384" x14ac:dyDescent="0.35">
      <c r="A106" s="4" t="s">
        <v>15</v>
      </c>
      <c r="B106" s="420"/>
      <c r="C106" s="86">
        <f>'Depreciation schedule'!C104</f>
        <v>146713</v>
      </c>
      <c r="D106" s="17">
        <f>'Depreciation schedule'!D104</f>
        <v>219652</v>
      </c>
      <c r="E106" s="17">
        <f>'Depreciation schedule'!E104</f>
        <v>245466</v>
      </c>
      <c r="F106" s="17">
        <f>'Depreciation schedule'!F104</f>
        <v>301892</v>
      </c>
      <c r="G106" s="146">
        <f>'Depreciation schedule'!G104</f>
        <v>295462</v>
      </c>
      <c r="H106" s="17">
        <f>'Depreciation schedule'!H104</f>
        <v>433946.97185665515</v>
      </c>
      <c r="I106" s="17">
        <f>'Depreciation schedule'!I104</f>
        <v>491603.7116639415</v>
      </c>
      <c r="J106" s="17">
        <f>'Depreciation schedule'!J104</f>
        <v>623693.19499680528</v>
      </c>
      <c r="K106" s="17">
        <f>'Depreciation schedule'!K104</f>
        <v>628021.21544707555</v>
      </c>
      <c r="L106" s="146">
        <f>'Depreciation schedule'!L104</f>
        <v>1017572.3801527524</v>
      </c>
      <c r="M106" s="9"/>
    </row>
    <row r="107" spans="1:16384" ht="29" x14ac:dyDescent="0.35">
      <c r="A107" s="4" t="s">
        <v>432</v>
      </c>
      <c r="B107" s="420"/>
      <c r="C107" s="86">
        <f>'Depreciation schedule'!C105</f>
        <v>0</v>
      </c>
      <c r="D107" s="17">
        <f>'Depreciation schedule'!D105</f>
        <v>0</v>
      </c>
      <c r="E107" s="17">
        <f>'Depreciation schedule'!E105</f>
        <v>0</v>
      </c>
      <c r="F107" s="17">
        <f>'Depreciation schedule'!F105</f>
        <v>0</v>
      </c>
      <c r="G107" s="146">
        <f>'Depreciation schedule'!G105</f>
        <v>0</v>
      </c>
      <c r="H107" s="17">
        <f>'Depreciation schedule'!H105</f>
        <v>0</v>
      </c>
      <c r="I107" s="17">
        <f>'Depreciation schedule'!I105</f>
        <v>0</v>
      </c>
      <c r="J107" s="17">
        <f>'Depreciation schedule'!J105</f>
        <v>0</v>
      </c>
      <c r="K107" s="17">
        <f>'Depreciation schedule'!K105</f>
        <v>0</v>
      </c>
      <c r="L107" s="146">
        <f>'Depreciation schedule'!L105</f>
        <v>0</v>
      </c>
      <c r="M107" s="9"/>
    </row>
    <row r="108" spans="1:16384" x14ac:dyDescent="0.35">
      <c r="A108" s="4" t="s">
        <v>16</v>
      </c>
      <c r="B108" s="420"/>
      <c r="C108" s="86">
        <f>'Depreciation schedule'!C106</f>
        <v>391517</v>
      </c>
      <c r="D108" s="17">
        <f>'Depreciation schedule'!D106</f>
        <v>429465</v>
      </c>
      <c r="E108" s="17">
        <f>'Depreciation schedule'!E106</f>
        <v>497747</v>
      </c>
      <c r="F108" s="17">
        <f>'Depreciation schedule'!F106</f>
        <v>632100</v>
      </c>
      <c r="G108" s="146">
        <f>'Depreciation schedule'!G106</f>
        <v>719772</v>
      </c>
      <c r="H108" s="17">
        <f>'Depreciation schedule'!H106</f>
        <v>954852.22895915108</v>
      </c>
      <c r="I108" s="17">
        <f>'Depreciation schedule'!I106</f>
        <v>1136191.7797603977</v>
      </c>
      <c r="J108" s="17">
        <f>'Depreciation schedule'!J106</f>
        <v>1441066.2579853535</v>
      </c>
      <c r="K108" s="17">
        <f>'Depreciation schedule'!K106</f>
        <v>1638760.8191015387</v>
      </c>
      <c r="L108" s="146">
        <f>'Depreciation schedule'!L106</f>
        <v>2221843.8181675375</v>
      </c>
      <c r="M108" s="9"/>
    </row>
    <row r="109" spans="1:16384" x14ac:dyDescent="0.35">
      <c r="A109" s="4" t="s">
        <v>6</v>
      </c>
      <c r="B109" s="420"/>
      <c r="C109" s="86">
        <f>'Depreciation schedule'!C107</f>
        <v>-244804</v>
      </c>
      <c r="D109" s="17">
        <f>'Depreciation schedule'!D107</f>
        <v>-209813</v>
      </c>
      <c r="E109" s="17">
        <f>'Depreciation schedule'!E107</f>
        <v>-252281</v>
      </c>
      <c r="F109" s="17">
        <f>'Depreciation schedule'!F107</f>
        <v>-330208</v>
      </c>
      <c r="G109" s="146">
        <f>'Depreciation schedule'!G107</f>
        <v>-424310</v>
      </c>
      <c r="H109" s="17">
        <f>'Depreciation schedule'!H107</f>
        <v>-520905.25710249593</v>
      </c>
      <c r="I109" s="17">
        <f>'Depreciation schedule'!I107</f>
        <v>-644588.06809645623</v>
      </c>
      <c r="J109" s="17">
        <f>'Depreciation schedule'!J107</f>
        <v>-817373.06298854807</v>
      </c>
      <c r="K109" s="17">
        <f>'Depreciation schedule'!K107</f>
        <v>-1010739.6036544632</v>
      </c>
      <c r="L109" s="146">
        <f>'Depreciation schedule'!L107</f>
        <v>-1271037.0742795628</v>
      </c>
    </row>
    <row r="110" spans="1:16384" x14ac:dyDescent="0.35">
      <c r="A110" s="4" t="s">
        <v>7</v>
      </c>
      <c r="B110" s="420"/>
      <c r="C110" s="86">
        <f>'Depreciation schedule'!C108</f>
        <v>146713</v>
      </c>
      <c r="D110" s="17">
        <f>'Depreciation schedule'!D108</f>
        <v>219652</v>
      </c>
      <c r="E110" s="17">
        <f>'Depreciation schedule'!E108</f>
        <v>245466</v>
      </c>
      <c r="F110" s="17">
        <f>'Depreciation schedule'!F108</f>
        <v>301892</v>
      </c>
      <c r="G110" s="146">
        <f>'Depreciation schedule'!G108</f>
        <v>295462</v>
      </c>
      <c r="H110" s="17">
        <f>'Depreciation schedule'!H108</f>
        <v>433946.97185665515</v>
      </c>
      <c r="I110" s="17">
        <f>'Depreciation schedule'!I108</f>
        <v>491603.7116639415</v>
      </c>
      <c r="J110" s="17">
        <f>'Depreciation schedule'!J108</f>
        <v>623693.1949968054</v>
      </c>
      <c r="K110" s="17">
        <f>'Depreciation schedule'!K108</f>
        <v>628021.21544707555</v>
      </c>
      <c r="L110" s="146">
        <f>'Depreciation schedule'!L108</f>
        <v>950806.74388797465</v>
      </c>
    </row>
    <row r="111" spans="1:16384" x14ac:dyDescent="0.35">
      <c r="B111" s="420"/>
      <c r="H111" s="17"/>
      <c r="I111" s="17"/>
      <c r="J111" s="17"/>
      <c r="K111" s="17"/>
      <c r="L111" s="146"/>
    </row>
    <row r="112" spans="1:16384" x14ac:dyDescent="0.35">
      <c r="A112" s="7" t="s">
        <v>24</v>
      </c>
      <c r="B112" s="420"/>
      <c r="I112" s="10"/>
      <c r="J112" s="10"/>
    </row>
    <row r="113" spans="1:12" ht="29" x14ac:dyDescent="0.35">
      <c r="A113" s="4" t="s">
        <v>430</v>
      </c>
      <c r="B113" s="420"/>
      <c r="J113" s="9"/>
    </row>
    <row r="114" spans="1:12" x14ac:dyDescent="0.35">
      <c r="A114" s="4" t="s">
        <v>5</v>
      </c>
      <c r="B114" s="420"/>
      <c r="C114" s="86">
        <v>95636</v>
      </c>
      <c r="D114" s="17">
        <v>96315</v>
      </c>
      <c r="E114" s="17">
        <v>101168</v>
      </c>
      <c r="F114" s="17">
        <v>351154</v>
      </c>
      <c r="G114" s="147">
        <v>444937</v>
      </c>
      <c r="H114" s="14">
        <f>'Depreciation schedule'!H113</f>
        <v>483068</v>
      </c>
      <c r="I114" s="14">
        <f>'Depreciation schedule'!I113</f>
        <v>544729.20000000007</v>
      </c>
      <c r="J114" s="14">
        <f>'Depreciation schedule'!J113</f>
        <v>618586.84000000008</v>
      </c>
      <c r="K114" s="14">
        <f>'Depreciation schedule'!K113</f>
        <v>708841.62938854529</v>
      </c>
      <c r="L114" s="159">
        <f>'Depreciation schedule'!L113</f>
        <v>765153.91098854528</v>
      </c>
    </row>
    <row r="115" spans="1:12" x14ac:dyDescent="0.35">
      <c r="A115" s="4" t="s">
        <v>6</v>
      </c>
      <c r="B115" s="420"/>
      <c r="C115" s="86">
        <v>-35340</v>
      </c>
      <c r="D115" s="17">
        <v>-45482</v>
      </c>
      <c r="E115" s="17">
        <v>-55292</v>
      </c>
      <c r="F115" s="17">
        <v>-97824</v>
      </c>
      <c r="G115" s="147">
        <v>-154868</v>
      </c>
      <c r="H115" s="14">
        <f>'Depreciation schedule'!H114</f>
        <v>-197997</v>
      </c>
      <c r="I115" s="14">
        <f>'Depreciation schedule'!I114</f>
        <v>-242378.84866705947</v>
      </c>
      <c r="J115" s="14">
        <f>'Depreciation schedule'!J114</f>
        <v>-197995</v>
      </c>
      <c r="K115" s="14">
        <f>'Depreciation schedule'!K114</f>
        <v>-197994</v>
      </c>
      <c r="L115" s="159">
        <f>'Depreciation schedule'!L114</f>
        <v>-197993</v>
      </c>
    </row>
    <row r="116" spans="1:12" x14ac:dyDescent="0.35">
      <c r="A116" s="4" t="s">
        <v>7</v>
      </c>
      <c r="B116" s="420"/>
      <c r="C116" s="86">
        <f>SUM(C114:C115)</f>
        <v>60296</v>
      </c>
      <c r="D116" s="17">
        <f>SUM(D114:D115)</f>
        <v>50833</v>
      </c>
      <c r="E116" s="17">
        <f>SUM(E114:E115)</f>
        <v>45876</v>
      </c>
      <c r="F116" s="17">
        <f>SUM(F114:F115)</f>
        <v>253330</v>
      </c>
      <c r="G116" s="147">
        <v>290069</v>
      </c>
      <c r="H116" s="14">
        <f>'Depreciation schedule'!H115</f>
        <v>285071</v>
      </c>
      <c r="I116" s="14">
        <f>'Depreciation schedule'!I115</f>
        <v>302350.35133294063</v>
      </c>
      <c r="J116" s="14">
        <f>'Depreciation schedule'!J115</f>
        <v>420591.84000000008</v>
      </c>
      <c r="K116" s="14">
        <f>'Depreciation schedule'!K115</f>
        <v>510847.62938854529</v>
      </c>
      <c r="L116" s="159">
        <f>'Depreciation schedule'!L115</f>
        <v>567160.91098854528</v>
      </c>
    </row>
    <row r="117" spans="1:12" x14ac:dyDescent="0.35">
      <c r="A117" s="4" t="s">
        <v>431</v>
      </c>
      <c r="B117" s="420"/>
      <c r="H117" s="14">
        <f>'Depreciation schedule'!H116</f>
        <v>0</v>
      </c>
      <c r="I117" s="14">
        <f>'Depreciation schedule'!I116</f>
        <v>0</v>
      </c>
      <c r="J117" s="14">
        <f>'Depreciation schedule'!J116</f>
        <v>0</v>
      </c>
      <c r="K117" s="14">
        <f>'Depreciation schedule'!K116</f>
        <v>0</v>
      </c>
      <c r="L117" s="159">
        <f>'Depreciation schedule'!L116</f>
        <v>0</v>
      </c>
    </row>
    <row r="118" spans="1:12" x14ac:dyDescent="0.35">
      <c r="A118" s="4" t="s">
        <v>8</v>
      </c>
      <c r="B118" s="420"/>
      <c r="H118" s="14">
        <f>'Depreciation schedule'!H117</f>
        <v>0</v>
      </c>
      <c r="I118" s="14">
        <f>'Depreciation schedule'!I117</f>
        <v>0</v>
      </c>
      <c r="J118" s="14">
        <f>'Depreciation schedule'!J117</f>
        <v>0</v>
      </c>
      <c r="K118" s="14">
        <f>'Depreciation schedule'!K117</f>
        <v>0</v>
      </c>
      <c r="L118" s="159">
        <f>'Depreciation schedule'!L117</f>
        <v>0</v>
      </c>
    </row>
    <row r="119" spans="1:12" x14ac:dyDescent="0.35">
      <c r="A119" s="4" t="s">
        <v>9</v>
      </c>
      <c r="B119" s="420"/>
      <c r="C119" s="86">
        <v>60296</v>
      </c>
      <c r="D119" s="17">
        <v>50833</v>
      </c>
      <c r="E119" s="17">
        <v>45876</v>
      </c>
      <c r="F119" s="17">
        <v>253330</v>
      </c>
      <c r="G119" s="147">
        <v>290069</v>
      </c>
      <c r="H119" s="14">
        <f>'Depreciation schedule'!H118</f>
        <v>285071</v>
      </c>
      <c r="I119" s="14">
        <f>'Depreciation schedule'!I118</f>
        <v>302350.35133294063</v>
      </c>
      <c r="J119" s="14">
        <f>'Depreciation schedule'!J118</f>
        <v>420591.84000000008</v>
      </c>
      <c r="K119" s="14">
        <f>'Depreciation schedule'!K118</f>
        <v>510847.62938854529</v>
      </c>
      <c r="L119" s="159">
        <f>'Depreciation schedule'!L118</f>
        <v>567160.91098854528</v>
      </c>
    </row>
    <row r="120" spans="1:12" x14ac:dyDescent="0.35">
      <c r="A120" s="4" t="s">
        <v>10</v>
      </c>
      <c r="B120" s="420"/>
      <c r="C120" s="86">
        <v>3571</v>
      </c>
      <c r="D120" s="17">
        <v>4989</v>
      </c>
      <c r="E120" s="17">
        <v>247145</v>
      </c>
      <c r="F120" s="17">
        <v>128008</v>
      </c>
      <c r="G120" s="147">
        <v>20856</v>
      </c>
      <c r="H120" s="14">
        <f>'Depreciation schedule'!H119</f>
        <v>80913.8</v>
      </c>
      <c r="I120" s="14">
        <f>'Depreciation schedule'!I119</f>
        <v>96382.36</v>
      </c>
      <c r="J120" s="14">
        <f>'Depreciation schedule'!J119</f>
        <v>114661.03200000001</v>
      </c>
      <c r="K120" s="14">
        <f>'Depreciation schedule'!K119</f>
        <v>88164.238400000002</v>
      </c>
      <c r="L120" s="159">
        <f>'Depreciation schedule'!L119</f>
        <v>80195.486080000017</v>
      </c>
    </row>
    <row r="121" spans="1:12" x14ac:dyDescent="0.35">
      <c r="A121" s="4" t="s">
        <v>170</v>
      </c>
      <c r="B121" s="420"/>
      <c r="D121" s="17">
        <v>-136</v>
      </c>
      <c r="E121" s="17">
        <v>5596</v>
      </c>
      <c r="H121" s="14"/>
      <c r="I121" s="14"/>
      <c r="J121" s="128"/>
      <c r="K121" s="14"/>
      <c r="L121" s="159"/>
    </row>
    <row r="122" spans="1:12" x14ac:dyDescent="0.35">
      <c r="A122" s="4" t="s">
        <v>11</v>
      </c>
      <c r="B122" s="420"/>
      <c r="C122" s="86">
        <f>'Depreciation schedule'!C121</f>
        <v>0</v>
      </c>
      <c r="D122" s="17">
        <f>'Depreciation schedule'!D121</f>
        <v>0</v>
      </c>
      <c r="E122" s="17">
        <f>'Depreciation schedule'!E121</f>
        <v>0</v>
      </c>
      <c r="F122" s="17">
        <f>'Depreciation schedule'!F121</f>
        <v>0</v>
      </c>
      <c r="G122" s="146">
        <f>'Depreciation schedule'!G121</f>
        <v>0</v>
      </c>
      <c r="H122" s="17">
        <f>'Depreciation schedule'!H121</f>
        <v>0</v>
      </c>
      <c r="I122" s="17">
        <f>'Depreciation schedule'!I121</f>
        <v>0</v>
      </c>
      <c r="J122" s="17">
        <f>'Depreciation schedule'!J121</f>
        <v>0</v>
      </c>
      <c r="K122" s="17">
        <f>'Depreciation schedule'!K121</f>
        <v>0</v>
      </c>
      <c r="L122" s="146">
        <f>'Depreciation schedule'!L121</f>
        <v>0</v>
      </c>
    </row>
    <row r="123" spans="1:12" x14ac:dyDescent="0.35">
      <c r="A123" s="4" t="s">
        <v>12</v>
      </c>
      <c r="B123" s="420"/>
      <c r="C123" s="86">
        <f>'Depreciation schedule'!C122</f>
        <v>-2892</v>
      </c>
      <c r="D123" s="17">
        <f>'Depreciation schedule'!D122</f>
        <v>-136</v>
      </c>
      <c r="E123" s="17">
        <f>'Depreciation schedule'!E122</f>
        <v>-2755</v>
      </c>
      <c r="F123" s="17">
        <f>'Depreciation schedule'!F122</f>
        <v>-34225</v>
      </c>
      <c r="G123" s="146">
        <f>'Depreciation schedule'!G122</f>
        <v>-56255</v>
      </c>
      <c r="H123" s="17">
        <f>'Depreciation schedule'!H122</f>
        <v>-19252.599999999999</v>
      </c>
      <c r="I123" s="17">
        <f>'Depreciation schedule'!I122</f>
        <v>-22524.720000000001</v>
      </c>
      <c r="J123" s="17">
        <f>'Depreciation schedule'!J122</f>
        <v>-27002.464</v>
      </c>
      <c r="K123" s="17">
        <f>'Depreciation schedule'!K122</f>
        <v>-31851.956800000004</v>
      </c>
      <c r="L123" s="146">
        <f>'Depreciation schedule'!L122</f>
        <v>-31377.348160000005</v>
      </c>
    </row>
    <row r="124" spans="1:12" x14ac:dyDescent="0.35">
      <c r="A124" s="4" t="s">
        <v>13</v>
      </c>
      <c r="B124" s="420"/>
      <c r="C124" s="86">
        <f>'Depreciation schedule'!C123</f>
        <v>2243</v>
      </c>
      <c r="D124" s="17">
        <f>'Depreciation schedule'!D123</f>
        <v>133</v>
      </c>
      <c r="E124" s="17">
        <f>'Depreciation schedule'!E123</f>
        <v>234</v>
      </c>
      <c r="F124" s="17">
        <f>'Depreciation schedule'!F123</f>
        <v>6819</v>
      </c>
      <c r="G124" s="146">
        <f>'Depreciation schedule'!G123</f>
        <v>17275</v>
      </c>
      <c r="H124" s="17">
        <f>'Depreciation schedule'!H123</f>
        <v>5340.8</v>
      </c>
      <c r="I124" s="17">
        <f>'Depreciation schedule'!I123</f>
        <v>5960.36</v>
      </c>
      <c r="J124" s="17">
        <f>'Depreciation schedule'!J123</f>
        <v>7125.8319999999994</v>
      </c>
      <c r="K124" s="17">
        <f>'Depreciation schedule'!K123</f>
        <v>8504.1983999999993</v>
      </c>
      <c r="L124" s="146">
        <f>'Depreciation schedule'!L123</f>
        <v>8841.2380799999992</v>
      </c>
    </row>
    <row r="125" spans="1:12" x14ac:dyDescent="0.35">
      <c r="A125" s="4" t="s">
        <v>14</v>
      </c>
      <c r="B125" s="420"/>
      <c r="C125" s="86">
        <v>-12385</v>
      </c>
      <c r="D125" s="17">
        <v>-9943</v>
      </c>
      <c r="E125" s="17">
        <v>-42776</v>
      </c>
      <c r="F125" s="17">
        <v>-63863</v>
      </c>
      <c r="G125" s="147">
        <v>-60404</v>
      </c>
      <c r="H125" s="14">
        <f>'Depreciation schedule'!H125</f>
        <v>-49722.64866705946</v>
      </c>
      <c r="I125" s="14">
        <f>'Depreciation schedule'!I125</f>
        <v>-54642.846876922413</v>
      </c>
      <c r="J125" s="14">
        <f>'Depreciation schedule'!J125</f>
        <v>-83775.042679593855</v>
      </c>
      <c r="K125" s="14">
        <f>'Depreciation schedule'!K125</f>
        <v>-82552.879107157889</v>
      </c>
      <c r="L125" s="159">
        <f>'Depreciation schedule'!L125</f>
        <v>-86731.052558682291</v>
      </c>
    </row>
    <row r="126" spans="1:12" x14ac:dyDescent="0.35">
      <c r="A126" s="4" t="s">
        <v>15</v>
      </c>
      <c r="B126" s="420"/>
      <c r="C126" s="86">
        <f>SUM(C119:C125)</f>
        <v>50833</v>
      </c>
      <c r="D126" s="17">
        <v>45876</v>
      </c>
      <c r="E126" s="17">
        <f>SUM(E119:E125)</f>
        <v>253320</v>
      </c>
      <c r="F126" s="17">
        <f>SUM(F119:F125)</f>
        <v>290069</v>
      </c>
      <c r="G126" s="147">
        <v>211541</v>
      </c>
      <c r="H126" s="14">
        <f>'Depreciation schedule'!H126</f>
        <v>302350.35133294051</v>
      </c>
      <c r="I126" s="14">
        <f>'Depreciation schedule'!I126</f>
        <v>327525.50445601821</v>
      </c>
      <c r="J126" s="14">
        <f>'Depreciation schedule'!J126</f>
        <v>434197.4187089515</v>
      </c>
      <c r="K126" s="14">
        <f>'Depreciation schedule'!K126</f>
        <v>493111.2302813874</v>
      </c>
      <c r="L126" s="159">
        <f>'Depreciation schedule'!L126</f>
        <v>538089.23442986305</v>
      </c>
    </row>
    <row r="127" spans="1:12" ht="29" x14ac:dyDescent="0.35">
      <c r="A127" s="4" t="s">
        <v>432</v>
      </c>
      <c r="B127" s="420"/>
      <c r="H127" s="14">
        <f>'Depreciation schedule'!H127</f>
        <v>0</v>
      </c>
      <c r="I127" s="14">
        <f>'Depreciation schedule'!I127</f>
        <v>0</v>
      </c>
      <c r="J127" s="14">
        <f>'Depreciation schedule'!J127</f>
        <v>0</v>
      </c>
      <c r="K127" s="14">
        <f>'Depreciation schedule'!K127</f>
        <v>0</v>
      </c>
      <c r="L127" s="159">
        <f>'Depreciation schedule'!L127</f>
        <v>0</v>
      </c>
    </row>
    <row r="128" spans="1:12" x14ac:dyDescent="0.35">
      <c r="A128" s="4" t="s">
        <v>16</v>
      </c>
      <c r="B128" s="420"/>
      <c r="C128" s="86">
        <v>96315</v>
      </c>
      <c r="D128" s="17">
        <v>101168</v>
      </c>
      <c r="E128" s="17">
        <f>F114</f>
        <v>351154</v>
      </c>
      <c r="F128" s="17">
        <v>444937</v>
      </c>
      <c r="G128" s="147">
        <v>409538</v>
      </c>
      <c r="H128" s="14">
        <f>'Depreciation schedule'!H128</f>
        <v>544729.20000000007</v>
      </c>
      <c r="I128" s="14">
        <f>'Depreciation schedule'!I128</f>
        <v>618586.84000000008</v>
      </c>
      <c r="J128" s="14">
        <f>'Depreciation schedule'!J128</f>
        <v>708841.62938854529</v>
      </c>
      <c r="K128" s="14">
        <f>'Depreciation schedule'!K128</f>
        <v>765153.91098854528</v>
      </c>
      <c r="L128" s="159">
        <f>'Depreciation schedule'!L128</f>
        <v>813972.04890854529</v>
      </c>
    </row>
    <row r="129" spans="1:17" x14ac:dyDescent="0.35">
      <c r="A129" s="4" t="s">
        <v>6</v>
      </c>
      <c r="B129" s="420"/>
      <c r="C129" s="86">
        <v>-45482</v>
      </c>
      <c r="D129" s="17">
        <v>-55292</v>
      </c>
      <c r="E129" s="17">
        <v>-97824</v>
      </c>
      <c r="F129" s="17">
        <v>-154868</v>
      </c>
      <c r="G129" s="147">
        <v>-197997</v>
      </c>
      <c r="H129" s="14">
        <f>'Depreciation schedule'!H129</f>
        <v>-242378.84866705947</v>
      </c>
      <c r="I129" s="14">
        <f>'Depreciation schedule'!I129</f>
        <v>-197995</v>
      </c>
      <c r="J129" s="14">
        <f>'Depreciation schedule'!J129</f>
        <v>-197994</v>
      </c>
      <c r="K129" s="14">
        <f>'Depreciation schedule'!K129</f>
        <v>-197993</v>
      </c>
      <c r="L129" s="159">
        <f>'Depreciation schedule'!L129</f>
        <v>-197992</v>
      </c>
      <c r="O129" s="14"/>
      <c r="P129" s="14"/>
    </row>
    <row r="130" spans="1:17" x14ac:dyDescent="0.35">
      <c r="A130" s="4" t="s">
        <v>7</v>
      </c>
      <c r="B130" s="420"/>
      <c r="C130" s="86">
        <f>SUM(C128:C129)</f>
        <v>50833</v>
      </c>
      <c r="D130" s="17">
        <v>45876</v>
      </c>
      <c r="E130" s="17">
        <f>SUM(E128:E129)</f>
        <v>253330</v>
      </c>
      <c r="F130" s="17">
        <f t="shared" ref="F130:G130" si="6">SUM(F128:F129)</f>
        <v>290069</v>
      </c>
      <c r="G130" s="146">
        <f t="shared" si="6"/>
        <v>211541</v>
      </c>
      <c r="H130" s="14">
        <f>'Depreciation schedule'!H130</f>
        <v>302350.35133294063</v>
      </c>
      <c r="I130" s="14">
        <f>'Depreciation schedule'!I130</f>
        <v>420591.84000000008</v>
      </c>
      <c r="J130" s="14">
        <f>'Depreciation schedule'!J130</f>
        <v>510847.62938854529</v>
      </c>
      <c r="K130" s="14">
        <f>'Depreciation schedule'!K130</f>
        <v>567160.91098854528</v>
      </c>
      <c r="L130" s="159">
        <f>'Depreciation schedule'!L130</f>
        <v>615980.04890854529</v>
      </c>
      <c r="M130" s="16"/>
      <c r="N130" s="16"/>
      <c r="O130" s="16"/>
      <c r="P130" s="16"/>
      <c r="Q130" s="16">
        <f>SUM(G130,G110,G90,G71,G52,G32,)</f>
        <v>34686044.387998916</v>
      </c>
    </row>
    <row r="131" spans="1:17" x14ac:dyDescent="0.35">
      <c r="B131" s="420"/>
      <c r="M131" s="16"/>
      <c r="N131" s="16"/>
      <c r="O131" s="16"/>
      <c r="P131" s="16"/>
      <c r="Q131" s="16">
        <f t="shared" ref="Q131" si="7">Q130-G9</f>
        <v>118804.38799891621</v>
      </c>
    </row>
    <row r="132" spans="1:17" x14ac:dyDescent="0.35">
      <c r="A132" s="271" t="s">
        <v>32</v>
      </c>
      <c r="B132" s="420"/>
    </row>
    <row r="133" spans="1:17" x14ac:dyDescent="0.35">
      <c r="A133" s="4" t="s">
        <v>25</v>
      </c>
      <c r="B133" s="420"/>
      <c r="C133" s="86">
        <v>32000</v>
      </c>
      <c r="D133" s="17">
        <v>32000</v>
      </c>
      <c r="E133" s="17">
        <v>32000</v>
      </c>
      <c r="F133" s="17">
        <v>32000</v>
      </c>
      <c r="G133" s="146">
        <v>9000</v>
      </c>
      <c r="H133">
        <f>'Depreciation schedule'!H134</f>
        <v>24741.840346518184</v>
      </c>
      <c r="I133">
        <f>'Depreciation schedule'!I134</f>
        <v>23665.140309775332</v>
      </c>
      <c r="J133">
        <f>'Depreciation schedule'!J134</f>
        <v>23238.474558975202</v>
      </c>
      <c r="K133">
        <f>'Depreciation schedule'!K134</f>
        <v>22140.281246582395</v>
      </c>
      <c r="L133" s="120">
        <f>'Depreciation schedule'!L134</f>
        <v>21042.087934189592</v>
      </c>
    </row>
    <row r="134" spans="1:17" x14ac:dyDescent="0.35">
      <c r="A134" s="4" t="s">
        <v>26</v>
      </c>
      <c r="B134" s="420"/>
      <c r="C134" s="86">
        <v>20494</v>
      </c>
      <c r="D134" s="17">
        <v>27437</v>
      </c>
      <c r="E134" s="17">
        <v>5021610</v>
      </c>
      <c r="F134" s="17">
        <v>5913016</v>
      </c>
      <c r="G134" s="146">
        <v>8920285</v>
      </c>
      <c r="H134">
        <f>'Depreciation schedule'!H135</f>
        <v>5393772.0446623536</v>
      </c>
      <c r="I134">
        <f>'Depreciation schedule'!I135</f>
        <v>5831308.2390757222</v>
      </c>
      <c r="J134">
        <f>'Depreciation schedule'!J135</f>
        <v>6336194.8466188805</v>
      </c>
      <c r="K134">
        <f>'Depreciation schedule'!K135</f>
        <v>6589210.7155698221</v>
      </c>
      <c r="L134" s="120">
        <f>'Depreciation schedule'!L135</f>
        <v>6813052.527509707</v>
      </c>
    </row>
    <row r="135" spans="1:17" x14ac:dyDescent="0.35">
      <c r="A135" s="4" t="s">
        <v>27</v>
      </c>
      <c r="B135" s="420"/>
      <c r="C135" s="86">
        <v>12299108</v>
      </c>
      <c r="D135" s="17">
        <v>16185611</v>
      </c>
      <c r="E135" s="17">
        <v>86934</v>
      </c>
      <c r="F135" s="17">
        <v>149494</v>
      </c>
      <c r="G135" s="146">
        <v>232555</v>
      </c>
      <c r="H135">
        <f>'Depreciation schedule'!H136</f>
        <v>5790740.4000000004</v>
      </c>
      <c r="I135">
        <f>'Depreciation schedule'!I136</f>
        <v>4489066.88</v>
      </c>
      <c r="J135">
        <f>'Depreciation schedule'!J136</f>
        <v>2149758.0560000003</v>
      </c>
      <c r="K135">
        <f>'Depreciation schedule'!K136</f>
        <v>2562322.8672000002</v>
      </c>
      <c r="L135" s="120">
        <f>'Depreciation schedule'!L136</f>
        <v>3044888.6406400003</v>
      </c>
    </row>
    <row r="136" spans="1:17" x14ac:dyDescent="0.35">
      <c r="A136" s="4" t="s">
        <v>28</v>
      </c>
      <c r="B136" s="420"/>
      <c r="C136" s="86">
        <v>31161</v>
      </c>
      <c r="D136" s="17">
        <v>55656</v>
      </c>
      <c r="E136" s="17">
        <v>13650</v>
      </c>
      <c r="F136" s="17">
        <v>23285</v>
      </c>
      <c r="G136" s="146">
        <v>129556</v>
      </c>
      <c r="H136">
        <f>'Depreciation schedule'!H137</f>
        <v>90906.056184178276</v>
      </c>
      <c r="I136">
        <f>'Depreciation schedule'!I137</f>
        <v>102984.3679785721</v>
      </c>
      <c r="J136">
        <f>'Depreciation schedule'!J137</f>
        <v>130655.33879286527</v>
      </c>
      <c r="K136">
        <f>'Depreciation schedule'!K137</f>
        <v>131562.00088693443</v>
      </c>
      <c r="L136" s="120">
        <f>'Depreciation schedule'!L137</f>
        <v>199181.22924182413</v>
      </c>
    </row>
    <row r="137" spans="1:17" x14ac:dyDescent="0.35">
      <c r="A137" s="4" t="s">
        <v>29</v>
      </c>
      <c r="B137" s="420"/>
      <c r="C137" s="86">
        <v>313230</v>
      </c>
      <c r="D137" s="17">
        <v>432954</v>
      </c>
      <c r="E137" s="17">
        <v>30144</v>
      </c>
      <c r="F137" s="17">
        <v>15396</v>
      </c>
      <c r="G137" s="146">
        <v>206730</v>
      </c>
      <c r="H137">
        <f>'Depreciation schedule'!H138</f>
        <v>319007.21120458283</v>
      </c>
      <c r="I137">
        <f>'Depreciation schedule'!I138</f>
        <v>378296.36054669123</v>
      </c>
      <c r="J137">
        <f>'Depreciation schedule'!J138</f>
        <v>447354.80305371713</v>
      </c>
      <c r="K137">
        <f>'Depreciation schedule'!K138</f>
        <v>458088.18081786286</v>
      </c>
      <c r="L137" s="120">
        <f>'Depreciation schedule'!L138</f>
        <v>492553.27207434917</v>
      </c>
    </row>
    <row r="138" spans="1:17" x14ac:dyDescent="0.35">
      <c r="A138" s="4" t="s">
        <v>30</v>
      </c>
      <c r="B138" s="420"/>
      <c r="C138" s="86" t="s">
        <v>18</v>
      </c>
      <c r="D138" s="17">
        <v>103933</v>
      </c>
      <c r="E138" s="17">
        <v>762</v>
      </c>
      <c r="F138" s="17">
        <v>283288</v>
      </c>
      <c r="G138" s="146">
        <v>463867</v>
      </c>
      <c r="H138">
        <f>'Depreciation schedule'!H139</f>
        <v>212962.5</v>
      </c>
      <c r="I138">
        <f>'Depreciation schedule'!I139</f>
        <v>212962.5</v>
      </c>
      <c r="J138">
        <f>'Depreciation schedule'!J139</f>
        <v>234768.4</v>
      </c>
      <c r="K138">
        <f>'Depreciation schedule'!K139</f>
        <v>281569.68</v>
      </c>
      <c r="L138" s="120">
        <f>'Depreciation schedule'!L139</f>
        <v>281226.01599999995</v>
      </c>
    </row>
    <row r="139" spans="1:17" x14ac:dyDescent="0.35">
      <c r="A139" s="4" t="s">
        <v>31</v>
      </c>
      <c r="B139" s="420"/>
      <c r="C139" s="86" t="s">
        <v>18</v>
      </c>
      <c r="D139" s="17" t="s">
        <v>18</v>
      </c>
      <c r="E139" s="17" t="s">
        <v>18</v>
      </c>
      <c r="F139" s="17" t="s">
        <v>18</v>
      </c>
      <c r="G139" s="146">
        <v>19983</v>
      </c>
      <c r="H139">
        <f>'Depreciation schedule'!H140</f>
        <v>0</v>
      </c>
      <c r="I139">
        <f>'Depreciation schedule'!I140</f>
        <v>0</v>
      </c>
      <c r="J139">
        <f>'Depreciation schedule'!J140</f>
        <v>0</v>
      </c>
      <c r="K139">
        <f>'Depreciation schedule'!K140</f>
        <v>0</v>
      </c>
      <c r="L139" s="120">
        <f>'Depreciation schedule'!L140</f>
        <v>0</v>
      </c>
    </row>
    <row r="140" spans="1:17" x14ac:dyDescent="0.35">
      <c r="B140" s="420"/>
      <c r="C140" s="86">
        <f>SUM(C133:C139)</f>
        <v>12695993</v>
      </c>
      <c r="D140" s="17">
        <f>SUM(D133:D139)</f>
        <v>16837591</v>
      </c>
      <c r="E140" s="17">
        <f>SUM(E133:E139)</f>
        <v>5185100</v>
      </c>
      <c r="F140" s="17">
        <f>SUM(F133:F139)</f>
        <v>6416479</v>
      </c>
      <c r="G140" s="146">
        <f>SUM(G133:G139)</f>
        <v>9981976</v>
      </c>
      <c r="H140" s="17">
        <f t="shared" ref="H140:L140" si="8">SUM(H133:H139)</f>
        <v>11832130.052397633</v>
      </c>
      <c r="I140" s="17">
        <f t="shared" si="8"/>
        <v>11038283.487910761</v>
      </c>
      <c r="J140" s="17">
        <f t="shared" si="8"/>
        <v>9321969.9190244395</v>
      </c>
      <c r="K140" s="17">
        <f t="shared" si="8"/>
        <v>10044893.725721201</v>
      </c>
      <c r="L140" s="146">
        <f t="shared" si="8"/>
        <v>10851943.77340007</v>
      </c>
    </row>
    <row r="141" spans="1:17" x14ac:dyDescent="0.35">
      <c r="B141" s="420"/>
    </row>
    <row r="142" spans="1:17" x14ac:dyDescent="0.35">
      <c r="A142" s="7" t="s">
        <v>515</v>
      </c>
      <c r="B142" s="420"/>
    </row>
    <row r="143" spans="1:17" x14ac:dyDescent="0.35">
      <c r="A143" s="4" t="s">
        <v>472</v>
      </c>
      <c r="B143" s="420"/>
      <c r="C143" s="86">
        <v>1003842</v>
      </c>
      <c r="D143" s="17">
        <v>1262101</v>
      </c>
      <c r="E143" s="17">
        <v>1783250</v>
      </c>
      <c r="F143" s="17">
        <v>2393566</v>
      </c>
      <c r="G143" s="146">
        <v>2899437</v>
      </c>
      <c r="H143" s="12">
        <f>'IS Assumptions'!G48</f>
        <v>2852471.378075629</v>
      </c>
      <c r="I143" s="12">
        <f>'IS Assumptions'!H48</f>
        <v>3167033.0979445549</v>
      </c>
      <c r="J143" s="12">
        <f>'IS Assumptions'!I48</f>
        <v>3513979.4435715307</v>
      </c>
      <c r="K143" s="12">
        <f>'IS Assumptions'!J48</f>
        <v>3785798.0349326241</v>
      </c>
      <c r="L143" s="12">
        <f>'IS Assumptions'!K48</f>
        <v>4122596.3236630168</v>
      </c>
    </row>
    <row r="144" spans="1:17" x14ac:dyDescent="0.35">
      <c r="A144" s="4" t="s">
        <v>473</v>
      </c>
      <c r="B144" s="420"/>
      <c r="C144" s="86">
        <v>5750</v>
      </c>
      <c r="D144" s="17">
        <v>7054</v>
      </c>
      <c r="E144" s="17">
        <v>8166</v>
      </c>
      <c r="F144" s="17">
        <v>11089</v>
      </c>
      <c r="G144" s="146">
        <v>7524</v>
      </c>
      <c r="H144" s="12">
        <f>'IS Assumptions'!G50</f>
        <v>13187.585291494035</v>
      </c>
      <c r="I144" s="12">
        <f>'IS Assumptions'!H50</f>
        <v>13943.332528507925</v>
      </c>
      <c r="J144" s="12">
        <f>'IS Assumptions'!I50</f>
        <v>14638.975880542381</v>
      </c>
      <c r="K144" s="12">
        <f>'IS Assumptions'!J50</f>
        <v>15457.068737417247</v>
      </c>
      <c r="L144" s="12">
        <f>'IS Assumptions'!K50</f>
        <v>16380.54964579031</v>
      </c>
    </row>
    <row r="145" spans="1:12" x14ac:dyDescent="0.35">
      <c r="A145" s="4" t="s">
        <v>474</v>
      </c>
      <c r="B145" s="420"/>
      <c r="C145" s="86">
        <v>17608</v>
      </c>
      <c r="D145" s="17">
        <v>23005</v>
      </c>
      <c r="E145" s="17">
        <v>23511</v>
      </c>
      <c r="F145" s="17">
        <v>49032</v>
      </c>
      <c r="G145" s="146">
        <v>48743</v>
      </c>
      <c r="H145" s="12">
        <f>'IS Assumptions'!G52</f>
        <v>49186.813306993099</v>
      </c>
      <c r="I145" s="12">
        <f>'IS Assumptions'!H52</f>
        <v>54423.17386409441</v>
      </c>
      <c r="J145" s="12">
        <f>'IS Assumptions'!I52</f>
        <v>59653.742202755275</v>
      </c>
      <c r="K145" s="12">
        <f>'IS Assumptions'!J52</f>
        <v>67151.139650365862</v>
      </c>
      <c r="L145" s="12">
        <f>'IS Assumptions'!K52</f>
        <v>70868.911572816287</v>
      </c>
    </row>
    <row r="146" spans="1:12" x14ac:dyDescent="0.35">
      <c r="B146" s="420"/>
      <c r="C146" s="86">
        <f>SUM(C143:C145)</f>
        <v>1027200</v>
      </c>
      <c r="D146" s="17">
        <f t="shared" ref="D146:H146" si="9">SUM(D143:D145)</f>
        <v>1292160</v>
      </c>
      <c r="E146" s="17">
        <f t="shared" si="9"/>
        <v>1814927</v>
      </c>
      <c r="F146" s="17">
        <f t="shared" si="9"/>
        <v>2453687</v>
      </c>
      <c r="G146" s="146">
        <f t="shared" si="9"/>
        <v>2955704</v>
      </c>
      <c r="H146" s="17">
        <f t="shared" si="9"/>
        <v>2914845.776674116</v>
      </c>
      <c r="I146" s="17">
        <f t="shared" ref="I146:L146" si="10">SUM(I143:I145)</f>
        <v>3235399.6043371572</v>
      </c>
      <c r="J146" s="17">
        <f t="shared" si="10"/>
        <v>3588272.1616548281</v>
      </c>
      <c r="K146" s="17">
        <f t="shared" si="10"/>
        <v>3868406.2433204073</v>
      </c>
      <c r="L146" s="17">
        <f t="shared" si="10"/>
        <v>4209845.7848816235</v>
      </c>
    </row>
    <row r="147" spans="1:12" x14ac:dyDescent="0.35">
      <c r="B147" s="420"/>
    </row>
    <row r="148" spans="1:12" x14ac:dyDescent="0.35">
      <c r="B148" s="420"/>
    </row>
    <row r="149" spans="1:12" x14ac:dyDescent="0.35">
      <c r="A149" s="365" t="s">
        <v>33</v>
      </c>
      <c r="B149" s="420"/>
      <c r="C149" s="86">
        <f>SUM(C163,C177,C192)</f>
        <v>2747801</v>
      </c>
      <c r="D149" s="17">
        <f t="shared" ref="D149:F149" si="11">SUM(D163,D177,D192)</f>
        <v>2305604</v>
      </c>
      <c r="E149" s="17">
        <f t="shared" si="11"/>
        <v>2036649</v>
      </c>
      <c r="F149" s="17">
        <f t="shared" si="11"/>
        <v>1617227</v>
      </c>
      <c r="G149" s="146">
        <f>SUM(G163,G177,G192)</f>
        <v>1156505</v>
      </c>
      <c r="H149" s="17">
        <f t="shared" ref="H149:L149" si="12">SUM(H163,H177,H192)</f>
        <v>950402.01111374318</v>
      </c>
      <c r="I149" s="17">
        <f t="shared" si="12"/>
        <v>676888.88567469979</v>
      </c>
      <c r="J149" s="17">
        <f t="shared" si="12"/>
        <v>406866.78583941562</v>
      </c>
      <c r="K149" s="17">
        <f t="shared" si="12"/>
        <v>87732.002571302495</v>
      </c>
      <c r="L149" s="146">
        <f t="shared" si="12"/>
        <v>144142.87927656545</v>
      </c>
    </row>
    <row r="150" spans="1:12" x14ac:dyDescent="0.35">
      <c r="B150" s="420"/>
    </row>
    <row r="151" spans="1:12" x14ac:dyDescent="0.35">
      <c r="A151" s="7" t="s">
        <v>37</v>
      </c>
      <c r="B151" s="420"/>
    </row>
    <row r="152" spans="1:12" x14ac:dyDescent="0.35">
      <c r="A152" s="4" t="s">
        <v>449</v>
      </c>
      <c r="B152" s="420"/>
      <c r="C152" s="86">
        <v>2778739</v>
      </c>
      <c r="D152" s="15">
        <f>C161</f>
        <v>3097058</v>
      </c>
      <c r="E152" s="15">
        <f t="shared" ref="E152:G152" si="13">D161</f>
        <v>3097058</v>
      </c>
      <c r="F152" s="15">
        <f t="shared" si="13"/>
        <v>3269835</v>
      </c>
      <c r="G152" s="149">
        <f t="shared" si="13"/>
        <v>3269835</v>
      </c>
      <c r="H152" s="15">
        <f>'Depreciation schedule'!H146</f>
        <v>3269835</v>
      </c>
      <c r="I152" s="15">
        <f>'Depreciation schedule'!I146</f>
        <v>3515383</v>
      </c>
      <c r="J152" s="15">
        <f>'Depreciation schedule'!J146</f>
        <v>3724545.5</v>
      </c>
      <c r="K152" s="15">
        <f>'Depreciation schedule'!K146</f>
        <v>3933708</v>
      </c>
      <c r="L152" s="149">
        <f>'Depreciation schedule'!L146</f>
        <v>4154999</v>
      </c>
    </row>
    <row r="153" spans="1:12" x14ac:dyDescent="0.35">
      <c r="A153" s="4" t="s">
        <v>429</v>
      </c>
      <c r="B153" s="420"/>
      <c r="C153" s="132"/>
      <c r="H153" s="15">
        <f>'Depreciation schedule'!H147</f>
        <v>0</v>
      </c>
      <c r="I153" s="15">
        <f>'Depreciation schedule'!I147</f>
        <v>0</v>
      </c>
      <c r="J153" s="15">
        <f>'Depreciation schedule'!J147</f>
        <v>0</v>
      </c>
      <c r="K153" s="15">
        <f>'Depreciation schedule'!K147</f>
        <v>0</v>
      </c>
      <c r="L153" s="149">
        <f>'Depreciation schedule'!L147</f>
        <v>0</v>
      </c>
    </row>
    <row r="154" spans="1:12" x14ac:dyDescent="0.35">
      <c r="A154" s="4" t="s">
        <v>8</v>
      </c>
      <c r="B154" s="420"/>
      <c r="C154" s="133"/>
      <c r="D154" s="67"/>
      <c r="E154" s="67"/>
      <c r="H154" s="15">
        <f>'Depreciation schedule'!H148</f>
        <v>0</v>
      </c>
      <c r="I154" s="15">
        <f>'Depreciation schedule'!I148</f>
        <v>0</v>
      </c>
      <c r="J154" s="15">
        <f>'Depreciation schedule'!J148</f>
        <v>0</v>
      </c>
      <c r="K154" s="15">
        <f>'Depreciation schedule'!K148</f>
        <v>0</v>
      </c>
      <c r="L154" s="149">
        <f>'Depreciation schedule'!L148</f>
        <v>0</v>
      </c>
    </row>
    <row r="155" spans="1:12" x14ac:dyDescent="0.35">
      <c r="A155" s="4" t="s">
        <v>22</v>
      </c>
      <c r="B155" s="420"/>
      <c r="C155" s="86">
        <v>2778739</v>
      </c>
      <c r="D155" s="17">
        <f>C163</f>
        <v>2697868</v>
      </c>
      <c r="E155" s="17">
        <f t="shared" ref="E155:G155" si="14">D163</f>
        <v>2266846</v>
      </c>
      <c r="F155" s="17">
        <f t="shared" si="14"/>
        <v>2020259</v>
      </c>
      <c r="G155" s="146">
        <f t="shared" si="14"/>
        <v>1570597</v>
      </c>
      <c r="H155" s="15">
        <f>'Depreciation schedule'!H149</f>
        <v>1120936</v>
      </c>
      <c r="I155" s="15">
        <f>'Depreciation schedule'!I149</f>
        <v>927441.11621377431</v>
      </c>
      <c r="J155" s="15">
        <f>'Depreciation schedule'!J149</f>
        <v>664590.84188935952</v>
      </c>
      <c r="K155" s="15">
        <f>'Depreciation schedule'!K149</f>
        <v>373656.18190636067</v>
      </c>
      <c r="L155" s="149">
        <f>'Depreciation schedule'!L149</f>
        <v>66765.636264777742</v>
      </c>
    </row>
    <row r="156" spans="1:12" x14ac:dyDescent="0.35">
      <c r="A156" s="4" t="s">
        <v>338</v>
      </c>
      <c r="B156" s="420"/>
      <c r="C156" s="86">
        <v>318319</v>
      </c>
      <c r="E156" s="17">
        <v>172777</v>
      </c>
      <c r="H156" s="15">
        <f>'Depreciation schedule'!H150</f>
        <v>245548</v>
      </c>
      <c r="I156" s="15">
        <f>'Depreciation schedule'!I150</f>
        <v>209162.5</v>
      </c>
      <c r="J156" s="15">
        <f>'Depreciation schedule'!J150</f>
        <v>209162.5</v>
      </c>
      <c r="K156" s="15">
        <f>'Depreciation schedule'!K150</f>
        <v>221291</v>
      </c>
      <c r="L156" s="149">
        <f>'Depreciation schedule'!L150</f>
        <v>0</v>
      </c>
    </row>
    <row r="157" spans="1:12" x14ac:dyDescent="0.35">
      <c r="A157" s="4" t="s">
        <v>446</v>
      </c>
      <c r="B157" s="420"/>
      <c r="H157" s="15">
        <f>'Depreciation schedule'!H151</f>
        <v>0</v>
      </c>
      <c r="I157" s="15">
        <f>'Depreciation schedule'!I151</f>
        <v>0</v>
      </c>
      <c r="J157" s="15">
        <f>'Depreciation schedule'!J151</f>
        <v>0</v>
      </c>
      <c r="K157" s="15">
        <f>'Depreciation schedule'!K151</f>
        <v>0</v>
      </c>
      <c r="L157" s="149">
        <f>'Depreciation schedule'!L151</f>
        <v>-66766</v>
      </c>
    </row>
    <row r="158" spans="1:12" x14ac:dyDescent="0.35">
      <c r="A158" s="4" t="s">
        <v>447</v>
      </c>
      <c r="B158" s="420"/>
      <c r="C158" s="86">
        <v>-399190</v>
      </c>
      <c r="D158" s="17">
        <v>-431022</v>
      </c>
      <c r="E158" s="17">
        <v>-419364</v>
      </c>
      <c r="F158" s="17">
        <v>-449662</v>
      </c>
      <c r="G158" s="146">
        <v>-449661</v>
      </c>
      <c r="H158" s="15">
        <f>'Depreciation schedule'!H152</f>
        <v>-439042.88378622546</v>
      </c>
      <c r="I158" s="15">
        <f>'Depreciation schedule'!I152</f>
        <v>-472012.77432441473</v>
      </c>
      <c r="J158" s="15">
        <f>'Depreciation schedule'!J152</f>
        <v>-500097.15998299886</v>
      </c>
      <c r="K158" s="15">
        <f>'Depreciation schedule'!K152</f>
        <v>-528181.54564158292</v>
      </c>
      <c r="L158" s="149">
        <f>'Depreciation schedule'!L152</f>
        <v>0</v>
      </c>
    </row>
    <row r="159" spans="1:12" x14ac:dyDescent="0.35">
      <c r="A159" s="4" t="s">
        <v>35</v>
      </c>
      <c r="B159" s="420"/>
      <c r="C159" s="86">
        <f>SUM(C155:C158)</f>
        <v>2697868</v>
      </c>
      <c r="D159" s="17">
        <f t="shared" ref="D159:G159" si="15">SUM(D155:D158)</f>
        <v>2266846</v>
      </c>
      <c r="E159" s="17">
        <f t="shared" si="15"/>
        <v>2020259</v>
      </c>
      <c r="F159" s="17">
        <f t="shared" si="15"/>
        <v>1570597</v>
      </c>
      <c r="G159" s="146">
        <f t="shared" si="15"/>
        <v>1120936</v>
      </c>
      <c r="H159" s="15">
        <f>'Depreciation schedule'!H153</f>
        <v>927441.11621377454</v>
      </c>
      <c r="I159" s="15">
        <f>'Depreciation schedule'!I153</f>
        <v>664590.84188935952</v>
      </c>
      <c r="J159" s="15">
        <f>'Depreciation schedule'!J153</f>
        <v>373656.18190636067</v>
      </c>
      <c r="K159" s="15">
        <f>'Depreciation schedule'!K153</f>
        <v>66765.636264777742</v>
      </c>
      <c r="L159" s="149">
        <f>'Depreciation schedule'!L153</f>
        <v>-0.36373522225767374</v>
      </c>
    </row>
    <row r="160" spans="1:12" x14ac:dyDescent="0.35">
      <c r="A160" s="4" t="s">
        <v>36</v>
      </c>
      <c r="B160" s="420"/>
      <c r="H160" s="15">
        <f>'Depreciation schedule'!H154</f>
        <v>0</v>
      </c>
      <c r="I160" s="15">
        <f>'Depreciation schedule'!I154</f>
        <v>0</v>
      </c>
      <c r="J160" s="15">
        <f>'Depreciation schedule'!J154</f>
        <v>0</v>
      </c>
      <c r="K160" s="15">
        <f>'Depreciation schedule'!K154</f>
        <v>0</v>
      </c>
      <c r="L160" s="149">
        <f>'Depreciation schedule'!L154</f>
        <v>0</v>
      </c>
    </row>
    <row r="161" spans="1:12" x14ac:dyDescent="0.35">
      <c r="A161" s="4" t="s">
        <v>21</v>
      </c>
      <c r="B161" s="420"/>
      <c r="C161" s="86">
        <f>SUM(C155:C156)</f>
        <v>3097058</v>
      </c>
      <c r="D161" s="17">
        <f>C161+D156-D157</f>
        <v>3097058</v>
      </c>
      <c r="E161" s="17">
        <f t="shared" ref="E161:G161" si="16">D161+E156-E157</f>
        <v>3269835</v>
      </c>
      <c r="F161" s="17">
        <f t="shared" si="16"/>
        <v>3269835</v>
      </c>
      <c r="G161" s="146">
        <f t="shared" si="16"/>
        <v>3269835</v>
      </c>
      <c r="H161" s="15">
        <f>'Depreciation schedule'!H155</f>
        <v>3515383</v>
      </c>
      <c r="I161" s="15">
        <f>'Depreciation schedule'!I155</f>
        <v>3724545.5</v>
      </c>
      <c r="J161" s="15">
        <f>'Depreciation schedule'!J155</f>
        <v>3933708</v>
      </c>
      <c r="K161" s="15">
        <f>'Depreciation schedule'!K155</f>
        <v>4154999</v>
      </c>
      <c r="L161" s="149">
        <f>'Depreciation schedule'!L155</f>
        <v>4221765</v>
      </c>
    </row>
    <row r="162" spans="1:12" x14ac:dyDescent="0.35">
      <c r="A162" s="4" t="s">
        <v>6</v>
      </c>
      <c r="B162" s="420"/>
      <c r="C162" s="86">
        <f>C158</f>
        <v>-399190</v>
      </c>
      <c r="D162" s="17">
        <f>C162+D158</f>
        <v>-830212</v>
      </c>
      <c r="E162" s="17">
        <f t="shared" ref="E162:G162" si="17">D162+E158</f>
        <v>-1249576</v>
      </c>
      <c r="F162" s="17">
        <f t="shared" si="17"/>
        <v>-1699238</v>
      </c>
      <c r="G162" s="146">
        <f t="shared" si="17"/>
        <v>-2148899</v>
      </c>
      <c r="H162" s="15">
        <f>'Depreciation schedule'!H156</f>
        <v>-2587941.8837862257</v>
      </c>
      <c r="I162" s="15">
        <f>'Depreciation schedule'!I156</f>
        <v>-3059954.6581106405</v>
      </c>
      <c r="J162" s="15">
        <f>'Depreciation schedule'!J156</f>
        <v>-3560051.8180936393</v>
      </c>
      <c r="K162" s="15">
        <f>'Depreciation schedule'!K156</f>
        <v>-4088233.3637352223</v>
      </c>
      <c r="L162" s="149">
        <f>'Depreciation schedule'!L156</f>
        <v>-4088233.3637352223</v>
      </c>
    </row>
    <row r="163" spans="1:12" x14ac:dyDescent="0.35">
      <c r="A163" s="4" t="s">
        <v>7</v>
      </c>
      <c r="B163" s="420"/>
      <c r="C163" s="86">
        <f>SUM(C161:C162)</f>
        <v>2697868</v>
      </c>
      <c r="D163" s="17">
        <f t="shared" ref="D163:G163" si="18">SUM(D161:D162)</f>
        <v>2266846</v>
      </c>
      <c r="E163" s="17">
        <f t="shared" si="18"/>
        <v>2020259</v>
      </c>
      <c r="F163" s="17">
        <f t="shared" si="18"/>
        <v>1570597</v>
      </c>
      <c r="G163" s="146">
        <f t="shared" si="18"/>
        <v>1120936</v>
      </c>
      <c r="H163" s="15">
        <f>'Depreciation schedule'!H157</f>
        <v>927441.11621377431</v>
      </c>
      <c r="I163" s="15">
        <f>'Depreciation schedule'!I157</f>
        <v>664590.84188935952</v>
      </c>
      <c r="J163" s="15">
        <f>'Depreciation schedule'!J157</f>
        <v>373656.18190636067</v>
      </c>
      <c r="K163" s="15">
        <f>'Depreciation schedule'!K157</f>
        <v>66765.636264777742</v>
      </c>
      <c r="L163" s="149">
        <f>'Depreciation schedule'!L157</f>
        <v>133531.63626477774</v>
      </c>
    </row>
    <row r="164" spans="1:12" x14ac:dyDescent="0.35">
      <c r="A164" s="4" t="s">
        <v>39</v>
      </c>
      <c r="B164" s="420"/>
      <c r="C164" s="133">
        <f>-C158/C161</f>
        <v>0.12889329163354382</v>
      </c>
      <c r="D164" s="67">
        <f t="shared" ref="D164:L164" si="19">-D158/D161</f>
        <v>0.13917143301804485</v>
      </c>
      <c r="E164" s="67">
        <f t="shared" si="19"/>
        <v>0.12825234300813343</v>
      </c>
      <c r="F164" s="67">
        <f>-F158/F161</f>
        <v>0.13751825397917633</v>
      </c>
      <c r="G164" s="150">
        <f t="shared" si="19"/>
        <v>0.1375179481533472</v>
      </c>
      <c r="H164" s="67">
        <f t="shared" si="19"/>
        <v>0.12489190616960526</v>
      </c>
      <c r="I164" s="67">
        <f t="shared" si="19"/>
        <v>0.12673030154267539</v>
      </c>
      <c r="J164" s="67">
        <f t="shared" si="19"/>
        <v>0.12713123596947176</v>
      </c>
      <c r="K164" s="67">
        <f t="shared" si="19"/>
        <v>0.12711953616392757</v>
      </c>
      <c r="L164" s="150">
        <f t="shared" si="19"/>
        <v>0</v>
      </c>
    </row>
    <row r="165" spans="1:12" x14ac:dyDescent="0.35">
      <c r="B165" s="420"/>
      <c r="H165" s="15">
        <f>'Depreciation schedule'!H159</f>
        <v>0</v>
      </c>
      <c r="I165" s="15">
        <f>'Depreciation schedule'!I159</f>
        <v>0</v>
      </c>
      <c r="J165" s="15">
        <f>'Depreciation schedule'!J159</f>
        <v>0</v>
      </c>
      <c r="K165" s="15">
        <f>'Depreciation schedule'!K159</f>
        <v>0</v>
      </c>
      <c r="L165" s="149">
        <f>'Depreciation schedule'!L159</f>
        <v>0</v>
      </c>
    </row>
    <row r="166" spans="1:12" x14ac:dyDescent="0.35">
      <c r="A166" s="7" t="s">
        <v>38</v>
      </c>
      <c r="B166" s="420"/>
      <c r="H166" s="15">
        <f>'Depreciation schedule'!H160</f>
        <v>0</v>
      </c>
      <c r="I166" s="15">
        <f>'Depreciation schedule'!I160</f>
        <v>0</v>
      </c>
      <c r="J166" s="15">
        <f>'Depreciation schedule'!J160</f>
        <v>0</v>
      </c>
      <c r="K166" s="15">
        <f>'Depreciation schedule'!K160</f>
        <v>0</v>
      </c>
      <c r="L166" s="149">
        <f>'Depreciation schedule'!L160</f>
        <v>0</v>
      </c>
    </row>
    <row r="167" spans="1:12" x14ac:dyDescent="0.35">
      <c r="A167" s="4" t="s">
        <v>449</v>
      </c>
      <c r="B167" s="420"/>
      <c r="C167" s="134"/>
      <c r="D167" s="15">
        <f>C175</f>
        <v>66704</v>
      </c>
      <c r="E167" s="15">
        <f t="shared" ref="E167:G167" si="20">D175</f>
        <v>66704</v>
      </c>
      <c r="F167" s="15">
        <f t="shared" si="20"/>
        <v>66704</v>
      </c>
      <c r="G167" s="149">
        <f t="shared" si="20"/>
        <v>110782</v>
      </c>
      <c r="H167" s="15">
        <f>'Depreciation schedule'!H161</f>
        <v>110782</v>
      </c>
      <c r="I167" s="15">
        <f>'Depreciation schedule'!I161</f>
        <v>110782</v>
      </c>
      <c r="J167" s="15">
        <f>'Depreciation schedule'!J161</f>
        <v>110782</v>
      </c>
      <c r="K167" s="15">
        <f>'Depreciation schedule'!K161</f>
        <v>143855.40902807983</v>
      </c>
      <c r="L167" s="149">
        <f>'Depreciation schedule'!L161</f>
        <v>143855.40902807983</v>
      </c>
    </row>
    <row r="168" spans="1:12" x14ac:dyDescent="0.35">
      <c r="A168" s="4" t="s">
        <v>429</v>
      </c>
      <c r="B168" s="420"/>
      <c r="H168" s="15">
        <f>'Depreciation schedule'!H162</f>
        <v>0</v>
      </c>
      <c r="I168" s="15">
        <f>'Depreciation schedule'!I162</f>
        <v>0</v>
      </c>
      <c r="J168" s="15">
        <f>'Depreciation schedule'!J162</f>
        <v>0</v>
      </c>
      <c r="K168" s="15">
        <f>'Depreciation schedule'!K162</f>
        <v>0</v>
      </c>
      <c r="L168" s="149">
        <f>'Depreciation schedule'!L162</f>
        <v>0</v>
      </c>
    </row>
    <row r="169" spans="1:12" x14ac:dyDescent="0.35">
      <c r="A169" s="4" t="s">
        <v>8</v>
      </c>
      <c r="B169" s="420"/>
      <c r="H169" s="15">
        <f>'Depreciation schedule'!H163</f>
        <v>0</v>
      </c>
      <c r="I169" s="15">
        <f>'Depreciation schedule'!I163</f>
        <v>0</v>
      </c>
      <c r="J169" s="15">
        <f>'Depreciation schedule'!J163</f>
        <v>0</v>
      </c>
      <c r="K169" s="15">
        <f>'Depreciation schedule'!K163</f>
        <v>0</v>
      </c>
      <c r="L169" s="149">
        <f>'Depreciation schedule'!L163</f>
        <v>0</v>
      </c>
    </row>
    <row r="170" spans="1:12" x14ac:dyDescent="0.35">
      <c r="A170" s="4" t="s">
        <v>22</v>
      </c>
      <c r="B170" s="420"/>
      <c r="C170" s="86">
        <v>66704</v>
      </c>
      <c r="D170" s="17">
        <f>C177</f>
        <v>49933</v>
      </c>
      <c r="E170" s="17">
        <f t="shared" ref="E170:G170" si="21">D177</f>
        <v>33162</v>
      </c>
      <c r="F170" s="17">
        <f t="shared" si="21"/>
        <v>16390</v>
      </c>
      <c r="G170" s="146">
        <f t="shared" si="21"/>
        <v>46630</v>
      </c>
      <c r="H170" s="15">
        <f>'Depreciation schedule'!H164</f>
        <v>35569</v>
      </c>
      <c r="I170" s="15">
        <f>'Depreciation schedule'!I164</f>
        <v>22960.894899968887</v>
      </c>
      <c r="J170" s="15">
        <f>'Depreciation schedule'!J164</f>
        <v>12298.043785340269</v>
      </c>
      <c r="K170" s="15">
        <f>'Depreciation schedule'!K164</f>
        <v>33210.603933054939</v>
      </c>
      <c r="L170" s="149">
        <f>'Depreciation schedule'!L164</f>
        <v>20966.366306524753</v>
      </c>
    </row>
    <row r="171" spans="1:12" x14ac:dyDescent="0.35">
      <c r="A171" s="4" t="s">
        <v>34</v>
      </c>
      <c r="B171" s="420"/>
      <c r="F171" s="17">
        <v>44078</v>
      </c>
      <c r="H171" s="15">
        <f>'Depreciation schedule'!H165</f>
        <v>0</v>
      </c>
      <c r="I171" s="15">
        <f>'Depreciation schedule'!I165</f>
        <v>0</v>
      </c>
      <c r="J171" s="15">
        <f>'Depreciation schedule'!J165</f>
        <v>33073.409028079826</v>
      </c>
      <c r="K171" s="15">
        <f>'Depreciation schedule'!K165</f>
        <v>0</v>
      </c>
      <c r="L171" s="149">
        <f>'Depreciation schedule'!L165</f>
        <v>0</v>
      </c>
    </row>
    <row r="172" spans="1:12" x14ac:dyDescent="0.35">
      <c r="A172" s="4" t="s">
        <v>448</v>
      </c>
      <c r="B172" s="420"/>
      <c r="C172" s="86">
        <v>-16771</v>
      </c>
      <c r="D172" s="17">
        <v>-16771</v>
      </c>
      <c r="E172" s="17">
        <v>-16772</v>
      </c>
      <c r="F172" s="17">
        <v>-13838</v>
      </c>
      <c r="G172" s="146">
        <v>-11061</v>
      </c>
      <c r="H172" s="15">
        <f>'Depreciation schedule'!H166</f>
        <v>-12608.105100031118</v>
      </c>
      <c r="I172" s="15">
        <f>'Depreciation schedule'!I166</f>
        <v>-10662.851114628615</v>
      </c>
      <c r="J172" s="15">
        <f>'Depreciation schedule'!J166</f>
        <v>-12160.848880365156</v>
      </c>
      <c r="K172" s="15">
        <f>'Depreciation schedule'!K166</f>
        <v>-12244.237626530192</v>
      </c>
      <c r="L172" s="149">
        <f>'Depreciation schedule'!L166</f>
        <v>-10355.123294737039</v>
      </c>
    </row>
    <row r="173" spans="1:12" x14ac:dyDescent="0.35">
      <c r="A173" s="4" t="s">
        <v>35</v>
      </c>
      <c r="B173" s="420"/>
      <c r="C173" s="86">
        <f>SUM(C170:C172)</f>
        <v>49933</v>
      </c>
      <c r="D173" s="17">
        <f t="shared" ref="D173:G173" si="22">SUM(D170:D172)</f>
        <v>33162</v>
      </c>
      <c r="E173" s="17">
        <f t="shared" si="22"/>
        <v>16390</v>
      </c>
      <c r="F173" s="17">
        <f t="shared" si="22"/>
        <v>46630</v>
      </c>
      <c r="G173" s="146">
        <f t="shared" si="22"/>
        <v>35569</v>
      </c>
      <c r="H173" s="15">
        <f>'Depreciation schedule'!H167</f>
        <v>22960.89489996888</v>
      </c>
      <c r="I173" s="15">
        <f>'Depreciation schedule'!I167</f>
        <v>12298.043785340273</v>
      </c>
      <c r="J173" s="15">
        <f>'Depreciation schedule'!J167</f>
        <v>33210.603933054939</v>
      </c>
      <c r="K173" s="15">
        <f>'Depreciation schedule'!K167</f>
        <v>20966.366306524746</v>
      </c>
      <c r="L173" s="149">
        <f>'Depreciation schedule'!L167</f>
        <v>10611.243011787714</v>
      </c>
    </row>
    <row r="174" spans="1:12" x14ac:dyDescent="0.35">
      <c r="A174" s="4" t="s">
        <v>36</v>
      </c>
      <c r="B174" s="420"/>
      <c r="H174" s="15">
        <f>'Depreciation schedule'!H168</f>
        <v>0</v>
      </c>
      <c r="I174" s="15">
        <f>'Depreciation schedule'!I168</f>
        <v>0</v>
      </c>
      <c r="J174" s="15">
        <f>'Depreciation schedule'!J168</f>
        <v>0</v>
      </c>
      <c r="K174" s="15">
        <f>'Depreciation schedule'!K168</f>
        <v>0</v>
      </c>
      <c r="L174" s="149">
        <f>'Depreciation schedule'!L168</f>
        <v>0</v>
      </c>
    </row>
    <row r="175" spans="1:12" x14ac:dyDescent="0.35">
      <c r="A175" s="4" t="s">
        <v>21</v>
      </c>
      <c r="B175" s="420"/>
      <c r="C175" s="86">
        <f>C170</f>
        <v>66704</v>
      </c>
      <c r="D175" s="17">
        <f>C175+D171</f>
        <v>66704</v>
      </c>
      <c r="E175" s="17">
        <f t="shared" ref="E175:G175" si="23">D175+E171</f>
        <v>66704</v>
      </c>
      <c r="F175" s="17">
        <f t="shared" si="23"/>
        <v>110782</v>
      </c>
      <c r="G175" s="146">
        <f t="shared" si="23"/>
        <v>110782</v>
      </c>
      <c r="H175" s="15">
        <f>'Depreciation schedule'!H169</f>
        <v>110782</v>
      </c>
      <c r="I175" s="15">
        <f>'Depreciation schedule'!I169</f>
        <v>110782</v>
      </c>
      <c r="J175" s="15">
        <f>'Depreciation schedule'!J169</f>
        <v>143855.40902807983</v>
      </c>
      <c r="K175" s="15">
        <f>'Depreciation schedule'!K169</f>
        <v>143855.40902807983</v>
      </c>
      <c r="L175" s="149">
        <f>'Depreciation schedule'!L169</f>
        <v>143855.40902807983</v>
      </c>
    </row>
    <row r="176" spans="1:12" x14ac:dyDescent="0.35">
      <c r="A176" s="4" t="s">
        <v>6</v>
      </c>
      <c r="B176" s="420"/>
      <c r="C176" s="86">
        <f>C172</f>
        <v>-16771</v>
      </c>
      <c r="D176" s="17">
        <f>C176+D172</f>
        <v>-33542</v>
      </c>
      <c r="E176" s="17">
        <f>D176+E172</f>
        <v>-50314</v>
      </c>
      <c r="F176" s="17">
        <f>E176+F172</f>
        <v>-64152</v>
      </c>
      <c r="G176" s="146">
        <f>F176+G172</f>
        <v>-75213</v>
      </c>
      <c r="H176" s="15">
        <f>'Depreciation schedule'!H170</f>
        <v>-87821.105100031113</v>
      </c>
      <c r="I176" s="15">
        <f>'Depreciation schedule'!I170</f>
        <v>-98483.956214659731</v>
      </c>
      <c r="J176" s="15">
        <f>'Depreciation schedule'!J170</f>
        <v>-110644.80509502489</v>
      </c>
      <c r="K176" s="15">
        <f>'Depreciation schedule'!K170</f>
        <v>-122889.04272155507</v>
      </c>
      <c r="L176" s="149">
        <f>'Depreciation schedule'!L170</f>
        <v>-133244.16601629212</v>
      </c>
    </row>
    <row r="177" spans="1:12" x14ac:dyDescent="0.35">
      <c r="A177" s="4" t="s">
        <v>7</v>
      </c>
      <c r="B177" s="420"/>
      <c r="C177" s="86">
        <f>SUM(C175:C176)</f>
        <v>49933</v>
      </c>
      <c r="D177" s="17">
        <f t="shared" ref="D177:G177" si="24">SUM(D175:D176)</f>
        <v>33162</v>
      </c>
      <c r="E177" s="17">
        <f t="shared" si="24"/>
        <v>16390</v>
      </c>
      <c r="F177" s="17">
        <f t="shared" si="24"/>
        <v>46630</v>
      </c>
      <c r="G177" s="146">
        <f t="shared" si="24"/>
        <v>35569</v>
      </c>
      <c r="H177" s="15">
        <f>'Depreciation schedule'!H171</f>
        <v>22960.894899968887</v>
      </c>
      <c r="I177" s="15">
        <f>'Depreciation schedule'!I171</f>
        <v>12298.043785340269</v>
      </c>
      <c r="J177" s="15">
        <f>'Depreciation schedule'!J171</f>
        <v>33210.603933054939</v>
      </c>
      <c r="K177" s="15">
        <f>'Depreciation schedule'!K171</f>
        <v>20966.366306524753</v>
      </c>
      <c r="L177" s="149">
        <f>'Depreciation schedule'!L171</f>
        <v>10611.243011787708</v>
      </c>
    </row>
    <row r="178" spans="1:12" x14ac:dyDescent="0.35">
      <c r="A178" s="4" t="s">
        <v>39</v>
      </c>
      <c r="B178" s="420"/>
      <c r="C178" s="133">
        <f>-C172/C175</f>
        <v>0.25142420244662989</v>
      </c>
      <c r="D178" s="67">
        <f t="shared" ref="D178:L178" si="25">-D172/D175</f>
        <v>0.25142420244662989</v>
      </c>
      <c r="E178" s="67">
        <f t="shared" si="25"/>
        <v>0.25143919405133125</v>
      </c>
      <c r="F178" s="67">
        <f t="shared" si="25"/>
        <v>0.12491198931234317</v>
      </c>
      <c r="G178" s="150">
        <f t="shared" si="25"/>
        <v>9.9844740120236142E-2</v>
      </c>
      <c r="H178" s="67">
        <f t="shared" si="25"/>
        <v>0.11381005127214816</v>
      </c>
      <c r="I178" s="67">
        <f t="shared" si="25"/>
        <v>9.6250754767278207E-2</v>
      </c>
      <c r="J178" s="67">
        <f t="shared" si="25"/>
        <v>8.4535221598733362E-2</v>
      </c>
      <c r="K178" s="67">
        <f t="shared" si="25"/>
        <v>8.5114892163284453E-2</v>
      </c>
      <c r="L178" s="150">
        <f t="shared" si="25"/>
        <v>7.1982856707986376E-2</v>
      </c>
    </row>
    <row r="179" spans="1:12" x14ac:dyDescent="0.35">
      <c r="B179" s="420"/>
      <c r="H179" s="15">
        <f>'Depreciation schedule'!H173</f>
        <v>0</v>
      </c>
      <c r="I179" s="15">
        <f>'Depreciation schedule'!I173</f>
        <v>0</v>
      </c>
      <c r="J179" s="15">
        <f>'Depreciation schedule'!J173</f>
        <v>0</v>
      </c>
      <c r="K179" s="15">
        <f>'Depreciation schedule'!K173</f>
        <v>0</v>
      </c>
      <c r="L179" s="149">
        <f>'Depreciation schedule'!L173</f>
        <v>0</v>
      </c>
    </row>
    <row r="180" spans="1:12" x14ac:dyDescent="0.35">
      <c r="A180" s="7" t="s">
        <v>24</v>
      </c>
      <c r="B180" s="420"/>
      <c r="H180" s="15">
        <f>'Depreciation schedule'!H174</f>
        <v>0</v>
      </c>
      <c r="I180" s="15">
        <f>'Depreciation schedule'!I174</f>
        <v>0</v>
      </c>
      <c r="J180" s="15">
        <f>'Depreciation schedule'!J174</f>
        <v>0</v>
      </c>
      <c r="K180" s="15">
        <f>'Depreciation schedule'!K174</f>
        <v>0</v>
      </c>
      <c r="L180" s="149">
        <f>'Depreciation schedule'!L174</f>
        <v>0</v>
      </c>
    </row>
    <row r="181" spans="1:12" x14ac:dyDescent="0.35">
      <c r="A181" s="4" t="s">
        <v>449</v>
      </c>
      <c r="B181" s="420"/>
      <c r="C181" s="134"/>
      <c r="D181" s="15"/>
      <c r="E181" s="15"/>
      <c r="F181" s="15"/>
      <c r="G181" s="149"/>
      <c r="H181" s="15">
        <f>'Depreciation schedule'!H175</f>
        <v>0</v>
      </c>
      <c r="I181" s="15">
        <f>'Depreciation schedule'!I175</f>
        <v>0</v>
      </c>
      <c r="J181" s="15">
        <f>'Depreciation schedule'!J175</f>
        <v>0</v>
      </c>
      <c r="K181" s="15">
        <f>'Depreciation schedule'!K175</f>
        <v>0</v>
      </c>
      <c r="L181" s="149">
        <f>'Depreciation schedule'!L175</f>
        <v>0</v>
      </c>
    </row>
    <row r="182" spans="1:12" x14ac:dyDescent="0.35">
      <c r="A182" s="4" t="s">
        <v>429</v>
      </c>
      <c r="B182" s="420"/>
      <c r="H182" s="15">
        <f>'Depreciation schedule'!H176</f>
        <v>0</v>
      </c>
      <c r="I182" s="15">
        <f>'Depreciation schedule'!I176</f>
        <v>0</v>
      </c>
      <c r="J182" s="15">
        <f>'Depreciation schedule'!J176</f>
        <v>0</v>
      </c>
      <c r="K182" s="15">
        <f>'Depreciation schedule'!K176</f>
        <v>0</v>
      </c>
      <c r="L182" s="149">
        <f>'Depreciation schedule'!L176</f>
        <v>0</v>
      </c>
    </row>
    <row r="183" spans="1:12" x14ac:dyDescent="0.35">
      <c r="A183" s="4" t="s">
        <v>8</v>
      </c>
      <c r="B183" s="420"/>
      <c r="H183" s="15">
        <f>'Depreciation schedule'!H177</f>
        <v>0</v>
      </c>
      <c r="I183" s="15">
        <f>'Depreciation schedule'!I177</f>
        <v>0</v>
      </c>
      <c r="J183" s="15">
        <f>'Depreciation schedule'!J177</f>
        <v>0</v>
      </c>
      <c r="K183" s="15">
        <f>'Depreciation schedule'!K177</f>
        <v>0</v>
      </c>
      <c r="L183" s="149">
        <f>'Depreciation schedule'!L177</f>
        <v>0</v>
      </c>
    </row>
    <row r="184" spans="1:12" x14ac:dyDescent="0.35">
      <c r="A184" s="4" t="s">
        <v>22</v>
      </c>
      <c r="B184" s="420"/>
      <c r="E184" s="17">
        <f>D192</f>
        <v>5596</v>
      </c>
      <c r="H184" s="15">
        <f>'Depreciation schedule'!H178</f>
        <v>0</v>
      </c>
      <c r="I184" s="15">
        <f>'Depreciation schedule'!I178</f>
        <v>0</v>
      </c>
      <c r="J184" s="15">
        <f>'Depreciation schedule'!J178</f>
        <v>0</v>
      </c>
      <c r="K184" s="15">
        <f>'Depreciation schedule'!K178</f>
        <v>0</v>
      </c>
      <c r="L184" s="149">
        <f>'Depreciation schedule'!L178</f>
        <v>0</v>
      </c>
    </row>
    <row r="185" spans="1:12" x14ac:dyDescent="0.35">
      <c r="A185" s="4" t="s">
        <v>34</v>
      </c>
      <c r="B185" s="420"/>
      <c r="D185" s="17">
        <v>5849</v>
      </c>
      <c r="H185" s="15">
        <f>'Depreciation schedule'!H179</f>
        <v>0</v>
      </c>
      <c r="I185" s="15">
        <f>'Depreciation schedule'!I179</f>
        <v>0</v>
      </c>
      <c r="J185" s="15">
        <f>'Depreciation schedule'!J179</f>
        <v>0</v>
      </c>
      <c r="K185" s="15">
        <f>'Depreciation schedule'!K179</f>
        <v>0</v>
      </c>
      <c r="L185" s="149">
        <f>'Depreciation schedule'!L179</f>
        <v>0</v>
      </c>
    </row>
    <row r="186" spans="1:12" x14ac:dyDescent="0.35">
      <c r="A186" s="4" t="s">
        <v>171</v>
      </c>
      <c r="B186" s="420"/>
      <c r="E186" s="17">
        <v>-5596</v>
      </c>
      <c r="H186" s="15">
        <f>'Depreciation schedule'!H180</f>
        <v>0</v>
      </c>
      <c r="I186" s="15">
        <f>'Depreciation schedule'!I180</f>
        <v>0</v>
      </c>
      <c r="J186" s="15">
        <f>'Depreciation schedule'!J180</f>
        <v>0</v>
      </c>
      <c r="K186" s="15">
        <f>'Depreciation schedule'!K180</f>
        <v>0</v>
      </c>
      <c r="L186" s="149">
        <f>'Depreciation schedule'!L180</f>
        <v>0</v>
      </c>
    </row>
    <row r="187" spans="1:12" x14ac:dyDescent="0.35">
      <c r="A187" s="4" t="s">
        <v>448</v>
      </c>
      <c r="B187" s="420"/>
      <c r="D187" s="17">
        <v>-253</v>
      </c>
      <c r="H187" s="15">
        <f>'Depreciation schedule'!H181</f>
        <v>0</v>
      </c>
      <c r="I187" s="15">
        <f>'Depreciation schedule'!I181</f>
        <v>0</v>
      </c>
      <c r="J187" s="15">
        <f>'Depreciation schedule'!J181</f>
        <v>0</v>
      </c>
      <c r="K187" s="15">
        <f>'Depreciation schedule'!K181</f>
        <v>0</v>
      </c>
      <c r="L187" s="149">
        <f>'Depreciation schedule'!L181</f>
        <v>0</v>
      </c>
    </row>
    <row r="188" spans="1:12" x14ac:dyDescent="0.35">
      <c r="A188" s="4" t="s">
        <v>35</v>
      </c>
      <c r="B188" s="420"/>
      <c r="D188" s="17">
        <f>SUM(D184:D187)</f>
        <v>5596</v>
      </c>
      <c r="E188" s="17">
        <f>SUM(E184:E187)</f>
        <v>0</v>
      </c>
      <c r="H188" s="15">
        <f>'Depreciation schedule'!H182</f>
        <v>0</v>
      </c>
      <c r="I188" s="15">
        <f>'Depreciation schedule'!I182</f>
        <v>0</v>
      </c>
      <c r="J188" s="15">
        <f>'Depreciation schedule'!J182</f>
        <v>0</v>
      </c>
      <c r="K188" s="15">
        <f>'Depreciation schedule'!K182</f>
        <v>0</v>
      </c>
      <c r="L188" s="149">
        <f>'Depreciation schedule'!L182</f>
        <v>0</v>
      </c>
    </row>
    <row r="189" spans="1:12" x14ac:dyDescent="0.35">
      <c r="A189" s="4" t="s">
        <v>36</v>
      </c>
      <c r="B189" s="420"/>
      <c r="H189" s="15">
        <f>'Depreciation schedule'!H183</f>
        <v>0</v>
      </c>
      <c r="I189" s="15">
        <f>'Depreciation schedule'!I183</f>
        <v>0</v>
      </c>
      <c r="J189" s="15">
        <f>'Depreciation schedule'!J183</f>
        <v>0</v>
      </c>
      <c r="K189" s="15">
        <f>'Depreciation schedule'!K183</f>
        <v>0</v>
      </c>
      <c r="L189" s="149">
        <f>'Depreciation schedule'!L183</f>
        <v>0</v>
      </c>
    </row>
    <row r="190" spans="1:12" x14ac:dyDescent="0.35">
      <c r="A190" s="4" t="s">
        <v>21</v>
      </c>
      <c r="B190" s="420"/>
      <c r="D190" s="17">
        <v>5849</v>
      </c>
      <c r="E190" s="17">
        <f>D190+E185</f>
        <v>5849</v>
      </c>
      <c r="H190" s="15">
        <f>'Depreciation schedule'!H184</f>
        <v>0</v>
      </c>
      <c r="I190" s="15">
        <f>'Depreciation schedule'!I184</f>
        <v>0</v>
      </c>
      <c r="J190" s="15">
        <f>'Depreciation schedule'!J184</f>
        <v>0</v>
      </c>
      <c r="K190" s="15">
        <f>'Depreciation schedule'!K184</f>
        <v>0</v>
      </c>
      <c r="L190" s="149">
        <f>'Depreciation schedule'!L184</f>
        <v>0</v>
      </c>
    </row>
    <row r="191" spans="1:12" x14ac:dyDescent="0.35">
      <c r="A191" s="4" t="s">
        <v>6</v>
      </c>
      <c r="B191" s="420"/>
      <c r="D191" s="17">
        <f>D187</f>
        <v>-253</v>
      </c>
      <c r="E191" s="17">
        <f>E186+D191</f>
        <v>-5849</v>
      </c>
      <c r="H191" s="15">
        <f>'Depreciation schedule'!H185</f>
        <v>0</v>
      </c>
      <c r="I191" s="15">
        <f>'Depreciation schedule'!I185</f>
        <v>0</v>
      </c>
      <c r="J191" s="15">
        <f>'Depreciation schedule'!J185</f>
        <v>0</v>
      </c>
      <c r="K191" s="15">
        <f>'Depreciation schedule'!K185</f>
        <v>0</v>
      </c>
      <c r="L191" s="149">
        <f>'Depreciation schedule'!L185</f>
        <v>0</v>
      </c>
    </row>
    <row r="192" spans="1:12" x14ac:dyDescent="0.35">
      <c r="A192" s="4" t="s">
        <v>7</v>
      </c>
      <c r="B192" s="420"/>
      <c r="C192" s="86">
        <f>SUM(C190:C191)</f>
        <v>0</v>
      </c>
      <c r="D192" s="17">
        <f t="shared" ref="D192:G192" si="26">SUM(D190:D191)</f>
        <v>5596</v>
      </c>
      <c r="E192" s="17">
        <f>SUM(E190:E191)</f>
        <v>0</v>
      </c>
      <c r="F192" s="17">
        <f t="shared" si="26"/>
        <v>0</v>
      </c>
      <c r="G192" s="146">
        <f t="shared" si="26"/>
        <v>0</v>
      </c>
      <c r="H192" s="15">
        <f>'Depreciation schedule'!H186</f>
        <v>0</v>
      </c>
      <c r="I192" s="15">
        <f>'Depreciation schedule'!I186</f>
        <v>0</v>
      </c>
      <c r="J192" s="15">
        <f>'Depreciation schedule'!J186</f>
        <v>0</v>
      </c>
      <c r="K192" s="15">
        <f>'Depreciation schedule'!K186</f>
        <v>0</v>
      </c>
      <c r="L192" s="149">
        <f>'Depreciation schedule'!L186</f>
        <v>0</v>
      </c>
    </row>
    <row r="193" spans="1:12" x14ac:dyDescent="0.35">
      <c r="A193" s="4" t="s">
        <v>39</v>
      </c>
      <c r="B193" s="420"/>
      <c r="D193" s="67">
        <f>-D187/D190</f>
        <v>4.3255257308941697E-2</v>
      </c>
      <c r="E193" s="67">
        <f>-E187/E190</f>
        <v>0</v>
      </c>
      <c r="H193" s="15">
        <f>'Depreciation schedule'!H187</f>
        <v>0</v>
      </c>
      <c r="I193" s="15">
        <f>'Depreciation schedule'!I187</f>
        <v>0</v>
      </c>
      <c r="J193" s="15">
        <f>'Depreciation schedule'!J187</f>
        <v>0</v>
      </c>
      <c r="K193" s="15">
        <f>'Depreciation schedule'!K187</f>
        <v>0</v>
      </c>
      <c r="L193" s="149">
        <f>'Depreciation schedule'!L187</f>
        <v>0</v>
      </c>
    </row>
    <row r="194" spans="1:12" x14ac:dyDescent="0.35">
      <c r="B194" s="420"/>
      <c r="H194" s="15">
        <f>'Depreciation schedule'!H188</f>
        <v>0</v>
      </c>
      <c r="I194" s="15">
        <f>'Depreciation schedule'!I188</f>
        <v>0</v>
      </c>
      <c r="J194" s="15">
        <f>'Depreciation schedule'!J188</f>
        <v>0</v>
      </c>
      <c r="K194" s="15">
        <f>'Depreciation schedule'!K188</f>
        <v>0</v>
      </c>
      <c r="L194" s="149">
        <f>'Depreciation schedule'!L188</f>
        <v>0</v>
      </c>
    </row>
    <row r="195" spans="1:12" x14ac:dyDescent="0.35">
      <c r="B195" s="420"/>
    </row>
    <row r="196" spans="1:12" x14ac:dyDescent="0.35">
      <c r="A196" s="7" t="s">
        <v>514</v>
      </c>
      <c r="B196" s="420"/>
    </row>
    <row r="197" spans="1:12" x14ac:dyDescent="0.35">
      <c r="A197" s="4" t="s">
        <v>472</v>
      </c>
      <c r="B197" s="420"/>
      <c r="C197" s="86">
        <v>399190</v>
      </c>
      <c r="D197" s="17">
        <v>431022</v>
      </c>
      <c r="E197" s="17">
        <v>419364</v>
      </c>
      <c r="F197" s="17">
        <v>449662</v>
      </c>
      <c r="G197" s="146">
        <v>449661</v>
      </c>
      <c r="H197" s="12">
        <f>'IS Assumptions'!G72</f>
        <v>424059.74679234374</v>
      </c>
      <c r="I197" s="12">
        <f>'IS Assumptions'!H72</f>
        <v>456489.00770285132</v>
      </c>
      <c r="J197" s="12">
        <f>'IS Assumptions'!I72</f>
        <v>484160.60607855202</v>
      </c>
      <c r="K197" s="12">
        <f>'IS Assumptions'!J72</f>
        <v>512046.06442331464</v>
      </c>
      <c r="L197" s="12">
        <f>'IS Assumptions'!K72</f>
        <v>0</v>
      </c>
    </row>
    <row r="198" spans="1:12" x14ac:dyDescent="0.35">
      <c r="A198" s="4" t="s">
        <v>473</v>
      </c>
      <c r="B198" s="420"/>
      <c r="F198" s="17">
        <v>8816</v>
      </c>
      <c r="G198" s="146">
        <v>8840</v>
      </c>
      <c r="H198" s="12">
        <f>'IS Assumptions'!G74</f>
        <v>3354.970067064035</v>
      </c>
      <c r="I198" s="12">
        <f>'IS Assumptions'!H74</f>
        <v>4328.2935338079515</v>
      </c>
      <c r="J198" s="12">
        <f>'IS Assumptions'!I74</f>
        <v>5502.9882788954164</v>
      </c>
      <c r="K198" s="12">
        <f>'IS Assumptions'!J74</f>
        <v>6974.4291806655483</v>
      </c>
      <c r="L198" s="12">
        <f>'IS Assumptions'!K74</f>
        <v>0</v>
      </c>
    </row>
    <row r="199" spans="1:12" x14ac:dyDescent="0.35">
      <c r="A199" s="4" t="s">
        <v>474</v>
      </c>
      <c r="B199" s="420"/>
      <c r="C199" s="86">
        <v>16771</v>
      </c>
      <c r="D199" s="17">
        <v>17024</v>
      </c>
      <c r="E199" s="17">
        <v>16772</v>
      </c>
      <c r="F199" s="17">
        <v>5022</v>
      </c>
      <c r="G199" s="146">
        <v>2221</v>
      </c>
      <c r="H199" s="12">
        <f>'IS Assumptions'!G76</f>
        <v>11628.166926817703</v>
      </c>
      <c r="I199" s="12">
        <f>'IS Assumptions'!H76</f>
        <v>11195.473087755508</v>
      </c>
      <c r="J199" s="12">
        <f>'IS Assumptions'!I76</f>
        <v>10433.565625551419</v>
      </c>
      <c r="K199" s="12">
        <f>'IS Assumptions'!J76</f>
        <v>9161.0520376027125</v>
      </c>
      <c r="L199" s="12">
        <f>'IS Assumptions'!K76</f>
        <v>0</v>
      </c>
    </row>
    <row r="200" spans="1:12" x14ac:dyDescent="0.35">
      <c r="B200" s="420"/>
      <c r="C200" s="86">
        <f>SUM(C197:C199)</f>
        <v>415961</v>
      </c>
      <c r="D200" s="17">
        <f t="shared" ref="D200:H200" si="27">SUM(D197:D199)</f>
        <v>448046</v>
      </c>
      <c r="E200" s="17">
        <f t="shared" si="27"/>
        <v>436136</v>
      </c>
      <c r="F200" s="17">
        <f t="shared" si="27"/>
        <v>463500</v>
      </c>
      <c r="G200" s="146">
        <f t="shared" si="27"/>
        <v>460722</v>
      </c>
      <c r="H200" s="17">
        <f t="shared" si="27"/>
        <v>439042.88378622546</v>
      </c>
      <c r="I200" s="17">
        <f t="shared" ref="I200:L200" si="28">SUM(I197:I199)</f>
        <v>472012.77432441479</v>
      </c>
      <c r="J200" s="17">
        <f t="shared" si="28"/>
        <v>500097.15998299886</v>
      </c>
      <c r="K200" s="17">
        <f t="shared" si="28"/>
        <v>528181.54564158292</v>
      </c>
      <c r="L200" s="17">
        <f t="shared" si="28"/>
        <v>0</v>
      </c>
    </row>
    <row r="201" spans="1:12" x14ac:dyDescent="0.35">
      <c r="B201" s="420"/>
    </row>
    <row r="202" spans="1:12" x14ac:dyDescent="0.35">
      <c r="B202" s="420"/>
    </row>
    <row r="203" spans="1:12" x14ac:dyDescent="0.35">
      <c r="A203" s="365" t="s">
        <v>40</v>
      </c>
      <c r="B203" s="420"/>
    </row>
    <row r="204" spans="1:12" x14ac:dyDescent="0.35">
      <c r="A204" s="7" t="s">
        <v>41</v>
      </c>
      <c r="B204" s="420"/>
    </row>
    <row r="205" spans="1:12" x14ac:dyDescent="0.35">
      <c r="A205" s="4" t="s">
        <v>8</v>
      </c>
      <c r="B205" s="420"/>
      <c r="J205" s="11"/>
      <c r="K205" s="9"/>
      <c r="L205" s="157"/>
    </row>
    <row r="206" spans="1:12" x14ac:dyDescent="0.35">
      <c r="A206" s="4" t="s">
        <v>43</v>
      </c>
      <c r="B206" s="420"/>
      <c r="C206" s="86">
        <v>106773</v>
      </c>
      <c r="D206" s="18">
        <v>78966</v>
      </c>
      <c r="E206" s="17">
        <v>101971</v>
      </c>
      <c r="F206" s="17">
        <v>711832</v>
      </c>
      <c r="G206" s="146">
        <v>686598</v>
      </c>
      <c r="H206">
        <f>'Depreciation schedule'!H195</f>
        <v>620205</v>
      </c>
      <c r="I206">
        <f>'Depreciation schedule'!I195</f>
        <v>702765.80549898813</v>
      </c>
      <c r="J206">
        <f>'Depreciation schedule'!J195</f>
        <v>833378.48549898807</v>
      </c>
      <c r="K206">
        <f>'Depreciation schedule'!K195</f>
        <v>985512.70149898808</v>
      </c>
      <c r="L206" s="120">
        <f>'Depreciation schedule'!L195</f>
        <v>1009158.0944719617</v>
      </c>
    </row>
    <row r="207" spans="1:12" x14ac:dyDescent="0.35">
      <c r="A207" s="4" t="s">
        <v>44</v>
      </c>
      <c r="B207" s="420"/>
      <c r="C207" s="86">
        <v>47555</v>
      </c>
      <c r="D207" s="18">
        <v>48198</v>
      </c>
      <c r="E207" s="17">
        <v>651216</v>
      </c>
      <c r="F207" s="17">
        <v>72212</v>
      </c>
      <c r="G207" s="146">
        <v>38152</v>
      </c>
      <c r="H207">
        <f>'Depreciation schedule'!H196</f>
        <v>171466.6</v>
      </c>
      <c r="I207">
        <f>'Depreciation schedule'!I196</f>
        <v>196248.91999999998</v>
      </c>
      <c r="J207">
        <f>'Depreciation schedule'!J196</f>
        <v>225859.10399999999</v>
      </c>
      <c r="K207">
        <f>'Depreciation schedule'!K196</f>
        <v>140787.7248</v>
      </c>
      <c r="L207" s="120">
        <f>'Depreciation schedule'!L196</f>
        <v>154502.86976</v>
      </c>
    </row>
    <row r="208" spans="1:12" x14ac:dyDescent="0.35">
      <c r="A208" s="4" t="s">
        <v>45</v>
      </c>
      <c r="B208" s="420"/>
      <c r="C208" s="86">
        <v>-75362</v>
      </c>
      <c r="D208" s="18">
        <v>-25193</v>
      </c>
      <c r="E208" s="17">
        <v>-33740</v>
      </c>
      <c r="F208" s="17">
        <v>-97446</v>
      </c>
      <c r="G208" s="146">
        <v>-104545</v>
      </c>
      <c r="H208">
        <f>'Depreciation schedule'!H197</f>
        <v>-67257.2</v>
      </c>
      <c r="I208">
        <f>'Depreciation schedule'!I197</f>
        <v>-65636.240000000005</v>
      </c>
      <c r="J208">
        <f>'Depreciation schedule'!J197</f>
        <v>-73724.888000000006</v>
      </c>
      <c r="K208">
        <f>'Depreciation schedule'!K197</f>
        <v>-81721.86559999999</v>
      </c>
      <c r="L208" s="120">
        <f>'Depreciation schedule'!L197</f>
        <v>-78577.038719999997</v>
      </c>
    </row>
    <row r="209" spans="1:12" x14ac:dyDescent="0.35">
      <c r="A209" s="4" t="s">
        <v>172</v>
      </c>
      <c r="B209" s="420"/>
      <c r="C209" s="86">
        <v>0</v>
      </c>
      <c r="D209" s="18">
        <v>0</v>
      </c>
      <c r="E209" s="17">
        <v>-7615</v>
      </c>
      <c r="F209" s="17">
        <v>0</v>
      </c>
      <c r="G209" s="146">
        <v>0</v>
      </c>
      <c r="H209">
        <f>'Depreciation schedule'!H198</f>
        <v>-21648.594501011888</v>
      </c>
      <c r="I209">
        <f>'Depreciation schedule'!I198</f>
        <v>0</v>
      </c>
      <c r="J209">
        <f>'Depreciation schedule'!J198</f>
        <v>0</v>
      </c>
      <c r="K209">
        <f>'Depreciation schedule'!K198</f>
        <v>-35420.466227026292</v>
      </c>
      <c r="L209" s="120">
        <f>'Depreciation schedule'!L198</f>
        <v>0</v>
      </c>
    </row>
    <row r="210" spans="1:12" x14ac:dyDescent="0.35">
      <c r="A210" s="4" t="s">
        <v>156</v>
      </c>
      <c r="B210" s="420"/>
      <c r="C210" s="86">
        <f>SUM(C206:C209)</f>
        <v>78966</v>
      </c>
      <c r="D210" s="18">
        <v>101971</v>
      </c>
      <c r="E210" s="17">
        <f>SUM(E206:E209)</f>
        <v>711832</v>
      </c>
      <c r="F210" s="17">
        <f>SUM(F206:F209)</f>
        <v>686598</v>
      </c>
      <c r="G210" s="146">
        <f>SUM(G206:G209)</f>
        <v>620205</v>
      </c>
      <c r="H210">
        <f>'Depreciation schedule'!H199</f>
        <v>702765.80549898813</v>
      </c>
      <c r="I210">
        <f>'Depreciation schedule'!I199</f>
        <v>833378.48549898807</v>
      </c>
      <c r="J210">
        <f>'Depreciation schedule'!J199</f>
        <v>985512.70149898808</v>
      </c>
      <c r="K210">
        <f>'Depreciation schedule'!K199</f>
        <v>1009158.0944719617</v>
      </c>
      <c r="L210" s="120">
        <f>'Depreciation schedule'!L199</f>
        <v>1085083.9255119616</v>
      </c>
    </row>
    <row r="211" spans="1:12" x14ac:dyDescent="0.35">
      <c r="A211" s="4" t="s">
        <v>36</v>
      </c>
      <c r="B211" s="420"/>
      <c r="D211" s="18"/>
      <c r="H211">
        <f>'Depreciation schedule'!H200</f>
        <v>0</v>
      </c>
      <c r="I211">
        <f>'Depreciation schedule'!I200</f>
        <v>0</v>
      </c>
      <c r="J211">
        <f>'Depreciation schedule'!J200</f>
        <v>0</v>
      </c>
      <c r="K211">
        <f>'Depreciation schedule'!K200</f>
        <v>0</v>
      </c>
      <c r="L211" s="120">
        <f>'Depreciation schedule'!L200</f>
        <v>0</v>
      </c>
    </row>
    <row r="212" spans="1:12" x14ac:dyDescent="0.35">
      <c r="A212" s="4" t="s">
        <v>21</v>
      </c>
      <c r="B212" s="420"/>
      <c r="C212" s="86">
        <v>268042</v>
      </c>
      <c r="D212" s="18">
        <v>316240</v>
      </c>
      <c r="E212" s="17">
        <v>788671</v>
      </c>
      <c r="F212" s="17">
        <v>860883</v>
      </c>
      <c r="G212" s="146">
        <v>899035</v>
      </c>
      <c r="H212">
        <f>'Depreciation schedule'!H201</f>
        <v>1048853.0054989881</v>
      </c>
      <c r="I212">
        <f>'Depreciation schedule'!I201</f>
        <v>1245101.925498988</v>
      </c>
      <c r="J212">
        <f>'Depreciation schedule'!J201</f>
        <v>1470961.0294989881</v>
      </c>
      <c r="K212">
        <f>'Depreciation schedule'!K201</f>
        <v>1576328.2880719618</v>
      </c>
      <c r="L212" s="120">
        <f>'Depreciation schedule'!L201</f>
        <v>1730831.1578319618</v>
      </c>
    </row>
    <row r="213" spans="1:12" x14ac:dyDescent="0.35">
      <c r="A213" s="4" t="s">
        <v>46</v>
      </c>
      <c r="B213" s="420"/>
      <c r="C213" s="86">
        <v>-189076</v>
      </c>
      <c r="D213" s="18">
        <v>-214269</v>
      </c>
      <c r="E213" s="17">
        <v>-76839</v>
      </c>
      <c r="F213" s="17">
        <v>-174285</v>
      </c>
      <c r="G213" s="146">
        <v>-278830</v>
      </c>
      <c r="H213">
        <f>'Depreciation schedule'!H202</f>
        <v>-346087.2</v>
      </c>
      <c r="I213">
        <f>'Depreciation schedule'!I202</f>
        <v>-411723.44</v>
      </c>
      <c r="J213">
        <f>'Depreciation schedule'!J202</f>
        <v>-485448.32799999998</v>
      </c>
      <c r="K213">
        <f>'Depreciation schedule'!K202</f>
        <v>-567170.1936</v>
      </c>
      <c r="L213" s="120">
        <f>'Depreciation schedule'!L202</f>
        <v>-645747.23231999995</v>
      </c>
    </row>
    <row r="214" spans="1:12" x14ac:dyDescent="0.35">
      <c r="A214" s="4" t="s">
        <v>42</v>
      </c>
      <c r="B214" s="420"/>
      <c r="C214" s="86">
        <f>SUM(C212:C213)</f>
        <v>78966</v>
      </c>
      <c r="D214" s="17">
        <f>SUM(D212:D213)</f>
        <v>101971</v>
      </c>
      <c r="E214" s="17">
        <f>SUM(E212:E213)</f>
        <v>711832</v>
      </c>
      <c r="F214" s="17">
        <f>SUM(F212:F213)</f>
        <v>686598</v>
      </c>
      <c r="G214" s="146">
        <f>SUM(G212:G213)</f>
        <v>620205</v>
      </c>
      <c r="H214">
        <f>'Depreciation schedule'!H203</f>
        <v>702765.80549898813</v>
      </c>
      <c r="I214">
        <f>'Depreciation schedule'!I203</f>
        <v>833378.48549898807</v>
      </c>
      <c r="J214">
        <f>'Depreciation schedule'!J203</f>
        <v>985512.70149898808</v>
      </c>
      <c r="K214">
        <f>'Depreciation schedule'!K203</f>
        <v>1009158.0944719618</v>
      </c>
      <c r="L214" s="120">
        <f>'Depreciation schedule'!L203</f>
        <v>1085083.9255119618</v>
      </c>
    </row>
    <row r="216" spans="1:12" x14ac:dyDescent="0.35">
      <c r="A216" s="7" t="s">
        <v>475</v>
      </c>
    </row>
    <row r="217" spans="1:12" x14ac:dyDescent="0.35">
      <c r="A217" s="4" t="s">
        <v>472</v>
      </c>
      <c r="G217" s="146">
        <v>9851</v>
      </c>
      <c r="H217" s="90">
        <f>'IS Assumptions'!G103</f>
        <v>5344.5298560918945</v>
      </c>
      <c r="I217" s="90">
        <f>'IS Assumptions'!H103</f>
        <v>5344.5298560918945</v>
      </c>
      <c r="J217" s="90">
        <f>'IS Assumptions'!I103</f>
        <v>5344.5298560918945</v>
      </c>
      <c r="K217" s="90">
        <f>'IS Assumptions'!J103</f>
        <v>5344.5298560918945</v>
      </c>
      <c r="L217" s="90">
        <f>'IS Assumptions'!K103</f>
        <v>5344.5298560918945</v>
      </c>
    </row>
    <row r="218" spans="1:12" x14ac:dyDescent="0.35">
      <c r="A218" s="4" t="s">
        <v>473</v>
      </c>
      <c r="G218" s="146">
        <v>21581</v>
      </c>
      <c r="H218" s="90">
        <f>'IS Assumptions'!G105</f>
        <v>5344.5298560918945</v>
      </c>
      <c r="I218" s="90">
        <f>'IS Assumptions'!H105</f>
        <v>5215.721801109964</v>
      </c>
      <c r="J218" s="90">
        <f>'IS Assumptions'!I105</f>
        <v>5858.4785725993806</v>
      </c>
      <c r="K218" s="90">
        <f>'IS Assumptions'!J105</f>
        <v>6493.9508423593179</v>
      </c>
      <c r="L218" s="90">
        <f>'IS Assumptions'!K105</f>
        <v>6244.0501454465666</v>
      </c>
    </row>
    <row r="219" spans="1:12" x14ac:dyDescent="0.35">
      <c r="A219" s="4" t="s">
        <v>474</v>
      </c>
      <c r="C219" s="86">
        <f>-C208</f>
        <v>75362</v>
      </c>
      <c r="D219" s="17">
        <f>-D208</f>
        <v>25193</v>
      </c>
      <c r="E219" s="17">
        <v>33740</v>
      </c>
      <c r="F219" s="17">
        <v>97446</v>
      </c>
      <c r="G219" s="146">
        <v>92536</v>
      </c>
      <c r="H219" s="90">
        <f>'IS Assumptions'!G107</f>
        <v>50204.183815178105</v>
      </c>
      <c r="I219" s="90">
        <f>'IS Assumptions'!H107</f>
        <v>48994.217093443469</v>
      </c>
      <c r="J219" s="90">
        <f>'IS Assumptions'!I107</f>
        <v>55031.994030459478</v>
      </c>
      <c r="K219" s="90">
        <f>'IS Assumptions'!J107</f>
        <v>61001.343533505409</v>
      </c>
      <c r="L219" s="90">
        <f>'IS Assumptions'!K107</f>
        <v>58653.885317129578</v>
      </c>
    </row>
    <row r="220" spans="1:12" x14ac:dyDescent="0.35">
      <c r="C220" s="86">
        <f>SUM(C217:C219)</f>
        <v>75362</v>
      </c>
      <c r="D220" s="17">
        <f t="shared" ref="D220:H220" si="29">SUM(D217:D219)</f>
        <v>25193</v>
      </c>
      <c r="E220" s="17">
        <f t="shared" si="29"/>
        <v>33740</v>
      </c>
      <c r="F220" s="17">
        <f t="shared" si="29"/>
        <v>97446</v>
      </c>
      <c r="G220" s="146">
        <f t="shared" si="29"/>
        <v>123968</v>
      </c>
      <c r="H220" s="289">
        <f t="shared" si="29"/>
        <v>60893.24352736189</v>
      </c>
      <c r="I220" s="289">
        <f t="shared" ref="I220:L220" si="30">SUM(I217:I219)</f>
        <v>59554.468750645327</v>
      </c>
      <c r="J220" s="289">
        <f t="shared" si="30"/>
        <v>66235.002459150754</v>
      </c>
      <c r="K220" s="289">
        <f t="shared" si="30"/>
        <v>72839.82423195662</v>
      </c>
      <c r="L220" s="289">
        <f t="shared" si="30"/>
        <v>70242.465318668037</v>
      </c>
    </row>
    <row r="223" spans="1:12" x14ac:dyDescent="0.35">
      <c r="A223" s="270" t="s">
        <v>47</v>
      </c>
      <c r="C223" s="135">
        <f>SUM(C226:C232)</f>
        <v>1625000</v>
      </c>
      <c r="D223" s="135">
        <f t="shared" ref="D223:L223" si="31">SUM(D226:D232)</f>
        <v>1625000</v>
      </c>
      <c r="E223" s="135">
        <f t="shared" si="31"/>
        <v>2465000</v>
      </c>
      <c r="F223" s="135">
        <f t="shared" si="31"/>
        <v>3884000</v>
      </c>
      <c r="G223" s="135">
        <f t="shared" si="31"/>
        <v>6837000</v>
      </c>
      <c r="H223" s="135">
        <f>SUM(H226:H232)</f>
        <v>6837000</v>
      </c>
      <c r="I223" s="135">
        <f t="shared" si="31"/>
        <v>6837000</v>
      </c>
      <c r="J223" s="135">
        <f t="shared" si="31"/>
        <v>6837000</v>
      </c>
      <c r="K223" s="135">
        <f t="shared" si="31"/>
        <v>6837000</v>
      </c>
      <c r="L223" s="135">
        <f t="shared" si="31"/>
        <v>6837000</v>
      </c>
    </row>
    <row r="224" spans="1:12" x14ac:dyDescent="0.35">
      <c r="A224" s="165" t="s">
        <v>48</v>
      </c>
      <c r="B224" s="5"/>
      <c r="C224" s="135"/>
    </row>
    <row r="225" spans="1:12" x14ac:dyDescent="0.35">
      <c r="A225" s="7" t="s">
        <v>49</v>
      </c>
    </row>
    <row r="226" spans="1:12" x14ac:dyDescent="0.35">
      <c r="A226" s="4" t="s">
        <v>517</v>
      </c>
      <c r="B226" t="s">
        <v>516</v>
      </c>
      <c r="C226" s="86">
        <v>50000</v>
      </c>
      <c r="D226" s="17">
        <v>50000</v>
      </c>
      <c r="E226" s="17">
        <v>50000</v>
      </c>
      <c r="F226" s="17">
        <v>50000</v>
      </c>
      <c r="G226" s="17">
        <v>50000</v>
      </c>
      <c r="H226" s="86">
        <v>50000</v>
      </c>
      <c r="I226" s="17">
        <v>50000</v>
      </c>
      <c r="J226" s="17">
        <v>50000</v>
      </c>
      <c r="K226" s="17">
        <v>50000</v>
      </c>
      <c r="L226" s="146">
        <v>50000</v>
      </c>
    </row>
    <row r="228" spans="1:12" x14ac:dyDescent="0.35">
      <c r="A228" s="7" t="s">
        <v>50</v>
      </c>
    </row>
    <row r="229" spans="1:12" x14ac:dyDescent="0.35">
      <c r="A229" s="4" t="s">
        <v>517</v>
      </c>
      <c r="B229" t="s">
        <v>518</v>
      </c>
      <c r="C229" s="86">
        <v>1570000</v>
      </c>
      <c r="D229" s="17">
        <v>1570000</v>
      </c>
      <c r="E229" s="17">
        <v>2410000</v>
      </c>
      <c r="F229" s="17">
        <v>3829000</v>
      </c>
      <c r="G229" s="17">
        <v>6772000</v>
      </c>
      <c r="H229" s="86">
        <v>6772000</v>
      </c>
      <c r="I229" s="17">
        <v>6772000</v>
      </c>
      <c r="J229" s="17">
        <v>6772000</v>
      </c>
      <c r="K229" s="17">
        <v>6772000</v>
      </c>
      <c r="L229" s="17">
        <v>6772000</v>
      </c>
    </row>
    <row r="230" spans="1:12" x14ac:dyDescent="0.35">
      <c r="G230" s="17"/>
      <c r="H230" s="131"/>
      <c r="L230"/>
    </row>
    <row r="231" spans="1:12" x14ac:dyDescent="0.35">
      <c r="A231" s="7" t="s">
        <v>51</v>
      </c>
      <c r="G231" s="17"/>
      <c r="H231" s="131"/>
      <c r="L231"/>
    </row>
    <row r="232" spans="1:12" x14ac:dyDescent="0.35">
      <c r="A232" s="4" t="s">
        <v>517</v>
      </c>
      <c r="B232" t="s">
        <v>518</v>
      </c>
      <c r="C232" s="86">
        <v>5000</v>
      </c>
      <c r="D232" s="17">
        <v>5000</v>
      </c>
      <c r="E232" s="17">
        <v>5000</v>
      </c>
      <c r="F232" s="17">
        <v>5000</v>
      </c>
      <c r="G232" s="17">
        <v>15000</v>
      </c>
      <c r="H232" s="86">
        <v>15000</v>
      </c>
      <c r="I232" s="17">
        <v>15000</v>
      </c>
      <c r="J232" s="17">
        <v>15000</v>
      </c>
      <c r="K232" s="17">
        <v>15000</v>
      </c>
      <c r="L232" s="17">
        <v>15000</v>
      </c>
    </row>
    <row r="234" spans="1:12" x14ac:dyDescent="0.35">
      <c r="A234" s="270" t="s">
        <v>52</v>
      </c>
      <c r="G234" s="146">
        <f>SUM(G235,G236)</f>
        <v>0</v>
      </c>
    </row>
    <row r="235" spans="1:12" ht="22" customHeight="1" x14ac:dyDescent="0.35">
      <c r="A235" s="4" t="s">
        <v>350</v>
      </c>
      <c r="B235" s="4" t="s">
        <v>519</v>
      </c>
      <c r="C235" s="86">
        <v>5425707</v>
      </c>
      <c r="D235" s="17">
        <v>5624953</v>
      </c>
      <c r="E235" s="17">
        <v>5179495</v>
      </c>
      <c r="F235" s="17">
        <v>4040191</v>
      </c>
      <c r="G235" s="146">
        <v>1691328</v>
      </c>
      <c r="H235" s="15">
        <v>0</v>
      </c>
      <c r="I235" s="15">
        <v>0</v>
      </c>
      <c r="J235" s="15">
        <v>0</v>
      </c>
      <c r="K235" s="15">
        <v>0</v>
      </c>
      <c r="L235" s="15">
        <v>0</v>
      </c>
    </row>
    <row r="236" spans="1:12" x14ac:dyDescent="0.35">
      <c r="A236" s="4" t="s">
        <v>53</v>
      </c>
      <c r="B236" t="s">
        <v>539</v>
      </c>
      <c r="C236" s="86">
        <v>-4557</v>
      </c>
      <c r="D236" s="17">
        <v>-964120</v>
      </c>
      <c r="E236" s="17">
        <v>-2086711</v>
      </c>
      <c r="F236" s="17">
        <v>-2722683</v>
      </c>
      <c r="G236" s="146">
        <v>-1691328</v>
      </c>
      <c r="H236" s="14">
        <f>H307</f>
        <v>0</v>
      </c>
      <c r="I236" s="14">
        <f t="shared" ref="I236:L236" si="32">I307</f>
        <v>0</v>
      </c>
      <c r="J236" s="14">
        <f t="shared" si="32"/>
        <v>0</v>
      </c>
      <c r="K236" s="14">
        <f t="shared" si="32"/>
        <v>0</v>
      </c>
      <c r="L236" s="14">
        <f t="shared" si="32"/>
        <v>0</v>
      </c>
    </row>
    <row r="237" spans="1:12" x14ac:dyDescent="0.35">
      <c r="A237" s="165" t="s">
        <v>18</v>
      </c>
      <c r="C237" s="135">
        <f t="shared" ref="C237:H237" si="33">SUM(C235,C236)</f>
        <v>5421150</v>
      </c>
      <c r="D237" s="272">
        <f t="shared" si="33"/>
        <v>4660833</v>
      </c>
      <c r="E237" s="272">
        <f t="shared" si="33"/>
        <v>3092784</v>
      </c>
      <c r="F237" s="272">
        <f t="shared" si="33"/>
        <v>1317508</v>
      </c>
      <c r="G237" s="272">
        <f t="shared" si="33"/>
        <v>0</v>
      </c>
      <c r="H237" s="272">
        <f t="shared" si="33"/>
        <v>0</v>
      </c>
      <c r="I237" s="272">
        <f t="shared" ref="I237:L237" si="34">SUM(I235,I236)</f>
        <v>0</v>
      </c>
      <c r="J237" s="272">
        <f t="shared" si="34"/>
        <v>0</v>
      </c>
      <c r="K237" s="272">
        <f t="shared" si="34"/>
        <v>0</v>
      </c>
      <c r="L237" s="272">
        <f t="shared" si="34"/>
        <v>0</v>
      </c>
    </row>
    <row r="238" spans="1:12" x14ac:dyDescent="0.35">
      <c r="L238"/>
    </row>
    <row r="239" spans="1:12" x14ac:dyDescent="0.35">
      <c r="H239" s="14"/>
      <c r="I239" s="14"/>
      <c r="J239" s="14"/>
      <c r="K239" s="14"/>
      <c r="L239" s="14"/>
    </row>
    <row r="241" spans="1:12" x14ac:dyDescent="0.35">
      <c r="A241" s="270" t="s">
        <v>174</v>
      </c>
    </row>
    <row r="242" spans="1:12" x14ac:dyDescent="0.35">
      <c r="A242" s="7" t="s">
        <v>54</v>
      </c>
      <c r="L242"/>
    </row>
    <row r="243" spans="1:12" x14ac:dyDescent="0.35">
      <c r="A243" s="4" t="s">
        <v>55</v>
      </c>
      <c r="B243" t="s">
        <v>489</v>
      </c>
      <c r="C243" s="86">
        <v>107522</v>
      </c>
      <c r="D243" s="17">
        <v>60518</v>
      </c>
      <c r="E243" s="17">
        <v>32321</v>
      </c>
      <c r="F243" s="17">
        <v>12024</v>
      </c>
      <c r="G243" s="146">
        <v>38660</v>
      </c>
      <c r="H243" s="146">
        <f>TREND(C243:G243)</f>
        <v>87452.6</v>
      </c>
      <c r="I243" s="146">
        <f t="shared" ref="I243:L243" si="35">TREND(D243:H243)</f>
        <v>34153.480000000003</v>
      </c>
      <c r="J243" s="146">
        <f t="shared" si="35"/>
        <v>25103.504000000004</v>
      </c>
      <c r="K243" s="146">
        <f t="shared" si="35"/>
        <v>35148.219200000007</v>
      </c>
      <c r="L243" s="146">
        <f t="shared" si="35"/>
        <v>57978.09216</v>
      </c>
    </row>
    <row r="244" spans="1:12" ht="29" x14ac:dyDescent="0.35">
      <c r="A244" s="165" t="s">
        <v>339</v>
      </c>
      <c r="B244" t="s">
        <v>520</v>
      </c>
      <c r="C244" s="135">
        <v>-35444</v>
      </c>
      <c r="D244" s="272">
        <v>-31232</v>
      </c>
      <c r="E244" s="272">
        <v>-31647</v>
      </c>
      <c r="F244" s="272">
        <v>-12024</v>
      </c>
      <c r="G244" s="273">
        <v>-16823</v>
      </c>
      <c r="H244" s="274">
        <f>SUM($C$244:$G$244)/SUM($C$243:$G$243)*H243</f>
        <v>-44300.213674839171</v>
      </c>
      <c r="I244" s="274">
        <f t="shared" ref="I244:L244" si="36">SUM($C$244:$G$244)/SUM($C$243:$G$243)*I243</f>
        <v>-17300.874550777749</v>
      </c>
      <c r="J244" s="274">
        <f t="shared" si="36"/>
        <v>-12716.495463681811</v>
      </c>
      <c r="K244" s="274">
        <f t="shared" si="36"/>
        <v>-17804.7721948814</v>
      </c>
      <c r="L244" s="274">
        <f t="shared" si="36"/>
        <v>-29369.531279201736</v>
      </c>
    </row>
    <row r="245" spans="1:12" x14ac:dyDescent="0.35">
      <c r="A245" s="165"/>
      <c r="B245" s="5"/>
      <c r="C245" s="135">
        <f t="shared" ref="C245:H245" si="37">SUM(C243:C244)</f>
        <v>72078</v>
      </c>
      <c r="D245" s="272">
        <f t="shared" si="37"/>
        <v>29286</v>
      </c>
      <c r="E245" s="272">
        <f t="shared" si="37"/>
        <v>674</v>
      </c>
      <c r="F245" s="272">
        <f t="shared" si="37"/>
        <v>0</v>
      </c>
      <c r="G245" s="273">
        <f t="shared" si="37"/>
        <v>21837</v>
      </c>
      <c r="H245" s="273">
        <f t="shared" si="37"/>
        <v>43152.386325160835</v>
      </c>
      <c r="I245" s="273">
        <f t="shared" ref="I245:L245" si="38">SUM(I243:I244)</f>
        <v>16852.605449222254</v>
      </c>
      <c r="J245" s="273">
        <f t="shared" si="38"/>
        <v>12387.008536318193</v>
      </c>
      <c r="K245" s="273">
        <f t="shared" si="38"/>
        <v>17343.447005118607</v>
      </c>
      <c r="L245" s="273">
        <f t="shared" si="38"/>
        <v>28608.560880798264</v>
      </c>
    </row>
    <row r="247" spans="1:12" x14ac:dyDescent="0.35">
      <c r="A247" s="270" t="s">
        <v>591</v>
      </c>
      <c r="C247" s="135">
        <v>114510</v>
      </c>
      <c r="D247" s="17">
        <v>0</v>
      </c>
      <c r="E247" s="17">
        <v>0</v>
      </c>
      <c r="F247" s="17">
        <v>0</v>
      </c>
      <c r="G247" s="17">
        <v>0</v>
      </c>
    </row>
    <row r="250" spans="1:12" x14ac:dyDescent="0.35">
      <c r="A250" s="270" t="s">
        <v>56</v>
      </c>
    </row>
    <row r="251" spans="1:12" x14ac:dyDescent="0.35">
      <c r="A251" s="4" t="s">
        <v>57</v>
      </c>
      <c r="B251" t="s">
        <v>533</v>
      </c>
      <c r="C251" s="86">
        <v>2041787</v>
      </c>
      <c r="D251" s="17">
        <v>2160378</v>
      </c>
      <c r="E251" s="17">
        <v>2388631</v>
      </c>
      <c r="F251" s="17">
        <v>2817028</v>
      </c>
      <c r="G251" s="146">
        <v>3686727</v>
      </c>
      <c r="H251" s="90">
        <f>SUM($C$251:$G$251)/SUM($C$462:$G$462)*H462</f>
        <v>2618910.1999999997</v>
      </c>
      <c r="I251" s="90">
        <f>SUM($C$251:$G$251)/SUM($C$462:$G$462)*I462</f>
        <v>2668937.470201734</v>
      </c>
      <c r="J251" s="90">
        <f>SUM($C$251:$G$251)/SUM($C$462:$G$462)*J462</f>
        <v>2647293.1601329832</v>
      </c>
      <c r="K251" s="90">
        <f>SUM($C$251:$G$251)/SUM($C$462:$G$462)*K462</f>
        <v>2411699.6809771098</v>
      </c>
      <c r="L251" s="90">
        <f>SUM($C$251:$G$251)/SUM($C$462:$G$462)*L462</f>
        <v>2245900.8076430392</v>
      </c>
    </row>
    <row r="252" spans="1:12" ht="29" x14ac:dyDescent="0.35">
      <c r="A252" s="4" t="s">
        <v>340</v>
      </c>
      <c r="B252" t="s">
        <v>520</v>
      </c>
      <c r="C252" s="86">
        <v>-363774</v>
      </c>
      <c r="D252" s="17">
        <v>-375644</v>
      </c>
      <c r="E252" s="17">
        <v>-346792</v>
      </c>
      <c r="F252" s="17">
        <v>-352915</v>
      </c>
      <c r="G252" s="146">
        <v>-374955</v>
      </c>
      <c r="H252" s="14">
        <f>AVERAGE(C252:G252)</f>
        <v>-362816</v>
      </c>
      <c r="I252" s="14">
        <f t="shared" ref="I252:L252" si="39">AVERAGE(D252:H252)</f>
        <v>-362624.4</v>
      </c>
      <c r="J252" s="14">
        <f t="shared" si="39"/>
        <v>-360020.47999999998</v>
      </c>
      <c r="K252" s="14">
        <f t="shared" si="39"/>
        <v>-362666.17599999998</v>
      </c>
      <c r="L252" s="14">
        <f t="shared" si="39"/>
        <v>-364616.41119999997</v>
      </c>
    </row>
    <row r="253" spans="1:12" x14ac:dyDescent="0.35">
      <c r="A253" s="165"/>
      <c r="B253" s="5"/>
      <c r="C253" s="135">
        <f t="shared" ref="C253:I253" si="40">SUM(C251:C252)</f>
        <v>1678013</v>
      </c>
      <c r="D253" s="272">
        <f t="shared" si="40"/>
        <v>1784734</v>
      </c>
      <c r="E253" s="272">
        <f t="shared" si="40"/>
        <v>2041839</v>
      </c>
      <c r="F253" s="272">
        <f t="shared" si="40"/>
        <v>2464113</v>
      </c>
      <c r="G253" s="272">
        <f t="shared" si="40"/>
        <v>3311772</v>
      </c>
      <c r="H253" s="272">
        <f t="shared" si="40"/>
        <v>2256094.1999999997</v>
      </c>
      <c r="I253" s="272">
        <f t="shared" si="40"/>
        <v>2306313.0702017341</v>
      </c>
      <c r="J253" s="272">
        <f t="shared" ref="J253:L253" si="41">SUM(J251:J252)</f>
        <v>2287272.6801329833</v>
      </c>
      <c r="K253" s="272">
        <f t="shared" si="41"/>
        <v>2049033.5049771098</v>
      </c>
      <c r="L253" s="272">
        <f t="shared" si="41"/>
        <v>1881284.3964430392</v>
      </c>
    </row>
    <row r="255" spans="1:12" x14ac:dyDescent="0.35">
      <c r="A255" s="270" t="s">
        <v>58</v>
      </c>
    </row>
    <row r="256" spans="1:12" x14ac:dyDescent="0.35">
      <c r="A256" s="7" t="s">
        <v>59</v>
      </c>
      <c r="B256" t="s">
        <v>521</v>
      </c>
      <c r="C256" s="86">
        <v>2608770</v>
      </c>
      <c r="D256" s="17">
        <v>5402730</v>
      </c>
      <c r="E256" s="17">
        <v>8510105</v>
      </c>
      <c r="F256" s="17">
        <v>7184285</v>
      </c>
      <c r="G256" s="146">
        <v>10282311</v>
      </c>
      <c r="H256" s="90">
        <f>H489/(SUM(Assumptions!$C$489:$G$489)/SUM(Assumptions!$C$256:$G$256))</f>
        <v>8663391.5546532813</v>
      </c>
      <c r="I256" s="90">
        <f>I489/(SUM(Assumptions!$C$489:$G$489)/SUM(Assumptions!$C$256:$G$256))</f>
        <v>8438962.3245232049</v>
      </c>
      <c r="J256" s="90">
        <f>J489/(SUM(Assumptions!$C$489:$G$489)/SUM(Assumptions!$C$256:$G$256))</f>
        <v>9585650.2082350478</v>
      </c>
      <c r="K256" s="90">
        <f>K489/(SUM(Assumptions!$C$489:$G$489)/SUM(Assumptions!$C$256:$G$256))</f>
        <v>10748215.156444892</v>
      </c>
      <c r="L256" s="90">
        <f>L489/(SUM(Assumptions!$C$489:$G$489)/SUM(Assumptions!$C$256:$G$256))</f>
        <v>11560908.970083822</v>
      </c>
    </row>
    <row r="257" spans="1:12" x14ac:dyDescent="0.35">
      <c r="A257" s="7" t="s">
        <v>60</v>
      </c>
      <c r="B257" t="s">
        <v>472</v>
      </c>
      <c r="C257" s="86">
        <v>25120</v>
      </c>
      <c r="D257" s="17">
        <v>28354</v>
      </c>
      <c r="E257" s="17">
        <v>56008</v>
      </c>
      <c r="G257" s="146">
        <v>431254</v>
      </c>
      <c r="H257" s="90">
        <f>-H483</f>
        <v>135184</v>
      </c>
      <c r="I257" s="90">
        <f t="shared" ref="I257:L257" si="42">-I483</f>
        <v>162700</v>
      </c>
      <c r="J257" s="90">
        <f t="shared" si="42"/>
        <v>196286.5</v>
      </c>
      <c r="K257" s="90">
        <f t="shared" si="42"/>
        <v>231356.125</v>
      </c>
      <c r="L257" s="90">
        <f t="shared" si="42"/>
        <v>231356.125</v>
      </c>
    </row>
    <row r="258" spans="1:12" ht="29" x14ac:dyDescent="0.35">
      <c r="A258" s="7" t="s">
        <v>61</v>
      </c>
      <c r="B258" s="4" t="s">
        <v>534</v>
      </c>
      <c r="C258" s="30">
        <v>1716169</v>
      </c>
      <c r="D258" s="31">
        <v>763425</v>
      </c>
      <c r="E258" s="31">
        <v>4024553</v>
      </c>
      <c r="F258" s="31">
        <v>3231707</v>
      </c>
      <c r="G258" s="32">
        <v>5907069</v>
      </c>
      <c r="H258" s="168">
        <f>SUM($C$258:$G$258)/SUM($C$455:$G$455)*H455</f>
        <v>3868035.1075544101</v>
      </c>
      <c r="I258" s="168">
        <f>SUM($C$258:$G$258)/SUM($C$455:$G$455)*I455</f>
        <v>3763809.7969157901</v>
      </c>
      <c r="J258" s="168">
        <f>SUM($C$258:$G$258)/SUM($C$455:$G$455)*J455</f>
        <v>4273273.070777298</v>
      </c>
      <c r="K258" s="168">
        <f>SUM($C$258:$G$258)/SUM($C$455:$G$455)*K455</f>
        <v>4794679.2010736773</v>
      </c>
      <c r="L258" s="168">
        <f>SUM($C$258:$G$258)/SUM($C$455:$G$455)*L455</f>
        <v>5322599.5016991543</v>
      </c>
    </row>
    <row r="259" spans="1:12" x14ac:dyDescent="0.35">
      <c r="A259" s="165"/>
      <c r="B259" s="5"/>
      <c r="C259" s="135">
        <f t="shared" ref="C259:I259" si="43">SUM(C256:C258)</f>
        <v>4350059</v>
      </c>
      <c r="D259" s="272">
        <f t="shared" si="43"/>
        <v>6194509</v>
      </c>
      <c r="E259" s="272">
        <f t="shared" si="43"/>
        <v>12590666</v>
      </c>
      <c r="F259" s="272">
        <f t="shared" si="43"/>
        <v>10415992</v>
      </c>
      <c r="G259" s="273">
        <f t="shared" si="43"/>
        <v>16620634</v>
      </c>
      <c r="H259" s="272">
        <f t="shared" si="43"/>
        <v>12666610.662207691</v>
      </c>
      <c r="I259" s="272">
        <f t="shared" si="43"/>
        <v>12365472.121438995</v>
      </c>
      <c r="J259" s="272">
        <f t="shared" ref="J259:L259" si="44">SUM(J256:J258)</f>
        <v>14055209.779012345</v>
      </c>
      <c r="K259" s="272">
        <f t="shared" si="44"/>
        <v>15774250.482518569</v>
      </c>
      <c r="L259" s="272">
        <f t="shared" si="44"/>
        <v>17114864.596782975</v>
      </c>
    </row>
    <row r="261" spans="1:12" x14ac:dyDescent="0.35">
      <c r="A261" s="270" t="s">
        <v>62</v>
      </c>
    </row>
    <row r="262" spans="1:12" x14ac:dyDescent="0.35">
      <c r="A262" s="7" t="s">
        <v>63</v>
      </c>
    </row>
    <row r="263" spans="1:12" x14ac:dyDescent="0.35">
      <c r="A263" s="4" t="s">
        <v>64</v>
      </c>
      <c r="B263" t="s">
        <v>522</v>
      </c>
      <c r="C263" s="86">
        <v>0</v>
      </c>
      <c r="D263" s="86">
        <v>0</v>
      </c>
      <c r="E263" s="86">
        <v>0</v>
      </c>
      <c r="F263" s="17">
        <v>2223250</v>
      </c>
      <c r="G263" s="146">
        <v>468441</v>
      </c>
      <c r="H263" s="75">
        <f>SUM($C$263:$G$263)/SUM($C$455:$G$455)*H455</f>
        <v>665576.07466892456</v>
      </c>
      <c r="I263" s="75">
        <f>SUM($C$263:$G$263)/SUM($C$455:$G$455)*I455</f>
        <v>647641.93725623144</v>
      </c>
      <c r="J263" s="75">
        <f>SUM($C$263:$G$263)/SUM($C$455:$G$455)*J455</f>
        <v>735305.71397389192</v>
      </c>
      <c r="K263" s="75">
        <f>SUM($C$263:$G$263)/SUM($C$455:$G$455)*K455</f>
        <v>825024.50810613902</v>
      </c>
      <c r="L263" s="75">
        <f>SUM($C$263:$G$263)/SUM($C$455:$G$455)*L455</f>
        <v>915864.20104018273</v>
      </c>
    </row>
    <row r="264" spans="1:12" x14ac:dyDescent="0.35">
      <c r="A264" s="4" t="s">
        <v>65</v>
      </c>
      <c r="B264" t="s">
        <v>522</v>
      </c>
      <c r="C264" s="86">
        <v>6775</v>
      </c>
      <c r="D264" s="17">
        <v>15273</v>
      </c>
      <c r="E264" s="17">
        <v>10583</v>
      </c>
      <c r="F264" s="17">
        <v>4972</v>
      </c>
      <c r="G264" s="146">
        <v>34915</v>
      </c>
      <c r="H264" s="75">
        <f>SUM($C$264:$G$264)/SUM($C$455:$G$455)*H455</f>
        <v>17931.570073548959</v>
      </c>
      <c r="I264" s="75">
        <f>SUM($C$264:$G$264)/SUM($C$455:$G$455)*I455</f>
        <v>17448.398796870588</v>
      </c>
      <c r="J264" s="75">
        <f>SUM($C$264:$G$264)/SUM($C$455:$G$455)*J455</f>
        <v>19810.186149137735</v>
      </c>
      <c r="K264" s="75">
        <f>SUM($C$264:$G$264)/SUM($C$455:$G$455)*K455</f>
        <v>22227.338605672416</v>
      </c>
      <c r="L264" s="75">
        <f>SUM($C$264:$G$264)/SUM($C$455:$G$455)*L455</f>
        <v>24674.689676873004</v>
      </c>
    </row>
    <row r="265" spans="1:12" x14ac:dyDescent="0.35">
      <c r="C265" s="86">
        <f>SUM(C263:C264)</f>
        <v>6775</v>
      </c>
      <c r="D265" s="17">
        <f>SUM(D263:D264)</f>
        <v>15273</v>
      </c>
      <c r="E265" s="17">
        <f>SUM(E263:E264)</f>
        <v>10583</v>
      </c>
      <c r="F265" s="17">
        <f>SUM(F263:F264)</f>
        <v>2228222</v>
      </c>
      <c r="G265" s="146">
        <f>SUM(G263:G264)</f>
        <v>503356</v>
      </c>
      <c r="H265" s="146">
        <f t="shared" ref="H265:L265" si="45">SUM(H263:H264)</f>
        <v>683507.64474247349</v>
      </c>
      <c r="I265" s="146">
        <f t="shared" si="45"/>
        <v>665090.33605310204</v>
      </c>
      <c r="J265" s="146">
        <f t="shared" si="45"/>
        <v>755115.90012302971</v>
      </c>
      <c r="K265" s="146">
        <f t="shared" si="45"/>
        <v>847251.84671181149</v>
      </c>
      <c r="L265" s="146">
        <f t="shared" si="45"/>
        <v>940538.89071705576</v>
      </c>
    </row>
    <row r="266" spans="1:12" x14ac:dyDescent="0.35">
      <c r="A266" s="7" t="s">
        <v>66</v>
      </c>
      <c r="H266" s="75"/>
      <c r="I266" s="75"/>
      <c r="J266" s="75"/>
      <c r="K266" s="75"/>
      <c r="L266" s="75"/>
    </row>
    <row r="267" spans="1:12" x14ac:dyDescent="0.35">
      <c r="A267" s="4" t="s">
        <v>64</v>
      </c>
      <c r="B267" t="s">
        <v>522</v>
      </c>
      <c r="C267" s="86">
        <v>308697</v>
      </c>
      <c r="D267" s="17">
        <v>443188</v>
      </c>
      <c r="E267" s="17">
        <v>732903</v>
      </c>
      <c r="F267" s="17">
        <v>438549</v>
      </c>
      <c r="G267" s="146">
        <v>1070171</v>
      </c>
      <c r="H267" s="75">
        <f>SUM($C$267:$G$267)/SUM($C$455:$G$455)*H455</f>
        <v>740206.54827393743</v>
      </c>
      <c r="I267" s="75">
        <f>SUM($C$267:$G$267)/SUM($C$455:$G$455)*I455</f>
        <v>720261.47143636725</v>
      </c>
      <c r="J267" s="75">
        <f>SUM($C$267:$G$267)/SUM($C$455:$G$455)*J455</f>
        <v>817754.91214502603</v>
      </c>
      <c r="K267" s="75">
        <f>SUM($C$267:$G$267)/SUM($C$455:$G$455)*K455</f>
        <v>917533.79760596296</v>
      </c>
      <c r="L267" s="75">
        <f>SUM($C$267:$G$267)/SUM($C$455:$G$455)*L455</f>
        <v>1018559.2672886283</v>
      </c>
    </row>
    <row r="268" spans="1:12" x14ac:dyDescent="0.35">
      <c r="A268" s="4" t="s">
        <v>65</v>
      </c>
      <c r="B268" t="s">
        <v>522</v>
      </c>
      <c r="C268" s="86">
        <v>154141</v>
      </c>
      <c r="D268" s="17">
        <v>127751</v>
      </c>
      <c r="E268" s="17">
        <v>90869</v>
      </c>
      <c r="F268" s="17">
        <v>9693</v>
      </c>
      <c r="G268" s="146">
        <v>38848</v>
      </c>
      <c r="H268" s="75">
        <f>SUM($C$268:$G$268)/SUM($C$455:$G$455)*H455</f>
        <v>104175.60240390418</v>
      </c>
      <c r="I268" s="75">
        <f>SUM($C$268:$G$268)/SUM($C$455:$G$455)*I455</f>
        <v>101368.56104579789</v>
      </c>
      <c r="J268" s="75">
        <f>SUM($C$268:$G$268)/SUM($C$455:$G$455)*J455</f>
        <v>115089.64732899453</v>
      </c>
      <c r="K268" s="75">
        <f>SUM($C$268:$G$268)/SUM($C$455:$G$455)*K455</f>
        <v>129132.38381156401</v>
      </c>
      <c r="L268" s="75">
        <f>SUM($C$268:$G$268)/SUM($C$455:$G$455)*L455</f>
        <v>143350.56276022436</v>
      </c>
    </row>
    <row r="269" spans="1:12" x14ac:dyDescent="0.35">
      <c r="A269" s="4" t="s">
        <v>67</v>
      </c>
      <c r="B269" t="s">
        <v>504</v>
      </c>
      <c r="D269" s="17" t="s">
        <v>18</v>
      </c>
      <c r="E269" s="17" t="s">
        <v>18</v>
      </c>
      <c r="F269" s="17" t="s">
        <v>18</v>
      </c>
      <c r="G269" s="146">
        <v>-264</v>
      </c>
      <c r="H269" s="75">
        <f>SUM($C$269:$G$269)/SUM($C$455:$G$455)*H455</f>
        <v>-65.279440958340345</v>
      </c>
      <c r="I269" s="75">
        <f>SUM($C$269:$G$269)/SUM($C$455:$G$455)*I455</f>
        <v>-63.520467778673364</v>
      </c>
      <c r="J269" s="75">
        <f>SUM($C$269:$G$269)/SUM($C$455:$G$455)*J455</f>
        <v>-72.118496695611597</v>
      </c>
      <c r="K269" s="75">
        <f>SUM($C$269:$G$269)/SUM($C$455:$G$455)*K455</f>
        <v>-80.918080916427883</v>
      </c>
      <c r="L269" s="75">
        <f>SUM($C$269:$G$269)/SUM($C$455:$G$455)*L455</f>
        <v>-89.827602453107815</v>
      </c>
    </row>
    <row r="270" spans="1:12" x14ac:dyDescent="0.35">
      <c r="C270" s="86">
        <f>SUM(C267:C269)</f>
        <v>462838</v>
      </c>
      <c r="D270" s="17">
        <f>SUM(D267:D269)</f>
        <v>570939</v>
      </c>
      <c r="E270" s="17">
        <f>SUM(E267:E269)</f>
        <v>823772</v>
      </c>
      <c r="F270" s="17">
        <f>SUM(F267:F269)</f>
        <v>448242</v>
      </c>
      <c r="G270" s="146">
        <f>SUM(G267:G269)</f>
        <v>1108755</v>
      </c>
      <c r="H270" s="146">
        <f t="shared" ref="H270:L270" si="46">SUM(H267:H269)</f>
        <v>844316.87123688334</v>
      </c>
      <c r="I270" s="146">
        <f t="shared" si="46"/>
        <v>821566.51201438648</v>
      </c>
      <c r="J270" s="146">
        <f t="shared" si="46"/>
        <v>932772.44097732485</v>
      </c>
      <c r="K270" s="146">
        <f t="shared" si="46"/>
        <v>1046585.2633366105</v>
      </c>
      <c r="L270" s="146">
        <f t="shared" si="46"/>
        <v>1161820.0024463995</v>
      </c>
    </row>
    <row r="271" spans="1:12" x14ac:dyDescent="0.35">
      <c r="A271" s="165"/>
      <c r="B271" s="5"/>
      <c r="C271" s="135">
        <f>SUM(C265,C270)</f>
        <v>469613</v>
      </c>
      <c r="D271" s="272">
        <f>SUM(D265,D270)</f>
        <v>586212</v>
      </c>
      <c r="E271" s="272">
        <f>SUM(E265,E270)</f>
        <v>834355</v>
      </c>
      <c r="F271" s="272">
        <f>SUM(F265,F270)</f>
        <v>2676464</v>
      </c>
      <c r="G271" s="273">
        <f>SUM(G265,G270)</f>
        <v>1612111</v>
      </c>
      <c r="H271" s="273">
        <f t="shared" ref="H271:K271" si="47">SUM(H265,H270)</f>
        <v>1527824.5159793568</v>
      </c>
      <c r="I271" s="273">
        <f t="shared" si="47"/>
        <v>1486656.8480674885</v>
      </c>
      <c r="J271" s="273">
        <f t="shared" si="47"/>
        <v>1687888.3411003547</v>
      </c>
      <c r="K271" s="273">
        <f t="shared" si="47"/>
        <v>1893837.1100484221</v>
      </c>
      <c r="L271" s="273">
        <f>SUM(L265,L270)</f>
        <v>2102358.8931634552</v>
      </c>
    </row>
    <row r="273" spans="1:12" x14ac:dyDescent="0.35">
      <c r="A273" s="270" t="s">
        <v>590</v>
      </c>
      <c r="B273" s="5"/>
      <c r="C273" s="135">
        <v>88886</v>
      </c>
      <c r="D273" s="272">
        <v>159818</v>
      </c>
      <c r="E273" s="272" t="s">
        <v>18</v>
      </c>
      <c r="F273" s="272"/>
      <c r="G273" s="273"/>
      <c r="H273" s="5"/>
      <c r="I273" s="5"/>
      <c r="J273" s="5"/>
      <c r="K273" s="5"/>
      <c r="L273" s="257"/>
    </row>
    <row r="276" spans="1:12" ht="29" x14ac:dyDescent="0.35">
      <c r="A276" s="270" t="s">
        <v>68</v>
      </c>
      <c r="B276" s="4"/>
      <c r="C276" s="136"/>
    </row>
    <row r="277" spans="1:12" x14ac:dyDescent="0.35">
      <c r="A277" s="7" t="s">
        <v>69</v>
      </c>
    </row>
    <row r="278" spans="1:12" ht="29" x14ac:dyDescent="0.35">
      <c r="A278" s="4" t="s">
        <v>73</v>
      </c>
      <c r="B278" t="s">
        <v>535</v>
      </c>
      <c r="C278" s="86">
        <v>35444</v>
      </c>
      <c r="D278" s="17">
        <v>31232</v>
      </c>
      <c r="E278" s="17">
        <v>31647</v>
      </c>
      <c r="F278" s="17">
        <v>12024</v>
      </c>
      <c r="G278" s="146">
        <v>16823</v>
      </c>
      <c r="H278" s="75">
        <f>SUM($C$278:$G$278)/SUM($C$245:$G$245)*H245</f>
        <v>44300.213674839179</v>
      </c>
      <c r="I278" s="75">
        <f t="shared" ref="I278:L278" si="48">SUM($C$278:$G$278)/SUM($C$245:$G$245)*I245</f>
        <v>17300.874550777753</v>
      </c>
      <c r="J278" s="75">
        <f t="shared" si="48"/>
        <v>12716.495463681813</v>
      </c>
      <c r="K278" s="75">
        <f t="shared" si="48"/>
        <v>17804.7721948814</v>
      </c>
      <c r="L278" s="75">
        <f t="shared" si="48"/>
        <v>29369.531279201736</v>
      </c>
    </row>
    <row r="279" spans="1:12" x14ac:dyDescent="0.35">
      <c r="A279" s="4" t="s">
        <v>72</v>
      </c>
      <c r="B279" t="s">
        <v>537</v>
      </c>
      <c r="C279" s="86">
        <v>525</v>
      </c>
      <c r="D279" s="17">
        <v>0</v>
      </c>
      <c r="E279" s="17">
        <v>328</v>
      </c>
      <c r="F279" s="17">
        <v>50</v>
      </c>
      <c r="G279" s="146">
        <v>5050</v>
      </c>
      <c r="H279" s="90">
        <f>Regression!P102</f>
        <v>2710.6294226239283</v>
      </c>
      <c r="I279" s="90">
        <f>Regression!Q102</f>
        <v>3280.2211005187396</v>
      </c>
      <c r="J279" s="90">
        <f>Regression!R102</f>
        <v>3615.6471869386246</v>
      </c>
      <c r="K279" s="90">
        <f>Regression!S102</f>
        <v>4486.1514379880682</v>
      </c>
      <c r="L279" s="90">
        <f>Regression!T102</f>
        <v>4978.391182585814</v>
      </c>
    </row>
    <row r="280" spans="1:12" x14ac:dyDescent="0.35">
      <c r="A280" s="4" t="s">
        <v>74</v>
      </c>
      <c r="B280" t="s">
        <v>538</v>
      </c>
      <c r="C280" s="86">
        <v>10464</v>
      </c>
      <c r="D280" s="17">
        <v>59021</v>
      </c>
      <c r="E280" s="17">
        <v>58295</v>
      </c>
      <c r="F280" s="17">
        <v>690185</v>
      </c>
      <c r="G280" s="146">
        <v>534998</v>
      </c>
      <c r="H280" s="90">
        <f>SUM($C$280:$G$280)/SUM($C$489:$G$489)*H489</f>
        <v>344862.27229144512</v>
      </c>
      <c r="I280" s="90">
        <f>SUM($C$280:$G$280)/SUM($C$489:$G$489)*I489</f>
        <v>335928.45303797891</v>
      </c>
      <c r="J280" s="90">
        <f>SUM($C$280:$G$280)/SUM($C$489:$G$489)*J489</f>
        <v>381574.47823391168</v>
      </c>
      <c r="K280" s="90">
        <f>SUM($C$280:$G$280)/SUM($C$489:$G$489)*K489</f>
        <v>427852.51925246499</v>
      </c>
      <c r="L280" s="90">
        <f>SUM($C$280:$G$280)/SUM($C$489:$G$489)*L489</f>
        <v>460203.2947519499</v>
      </c>
    </row>
    <row r="281" spans="1:12" x14ac:dyDescent="0.35">
      <c r="A281" s="4" t="s">
        <v>75</v>
      </c>
      <c r="B281" t="s">
        <v>522</v>
      </c>
      <c r="C281" s="86">
        <v>218363</v>
      </c>
      <c r="D281" s="17">
        <v>111370</v>
      </c>
      <c r="E281" s="17">
        <v>270387</v>
      </c>
      <c r="F281" s="17">
        <v>1095786</v>
      </c>
      <c r="G281" s="146">
        <v>1402663</v>
      </c>
      <c r="H281" s="14">
        <f>SUM($C$281:$G$281)/SUM($C$455:$G$455)*H455</f>
        <v>766185.04579865036</v>
      </c>
      <c r="I281" s="14">
        <f>SUM($C$281:$G$281)/SUM($C$455:$G$455)*I455</f>
        <v>745539.97092612181</v>
      </c>
      <c r="J281" s="14">
        <f>SUM($C$281:$G$281)/SUM($C$455:$G$455)*J455</f>
        <v>846455.06889251724</v>
      </c>
      <c r="K281" s="14">
        <f>SUM($C$281:$G$281)/SUM($C$455:$G$455)*K455</f>
        <v>949735.82222399639</v>
      </c>
      <c r="L281" s="14">
        <f>SUM($C$281:$G$281)/SUM($C$455:$G$455)*L455</f>
        <v>1054306.9102481965</v>
      </c>
    </row>
    <row r="282" spans="1:12" x14ac:dyDescent="0.35">
      <c r="A282" s="4" t="s">
        <v>76</v>
      </c>
      <c r="B282" t="s">
        <v>470</v>
      </c>
      <c r="C282" s="86">
        <v>41943</v>
      </c>
      <c r="D282" s="17">
        <v>42015</v>
      </c>
      <c r="E282" s="17">
        <v>378791</v>
      </c>
      <c r="F282" s="17">
        <v>489596</v>
      </c>
      <c r="G282" s="146">
        <v>328500</v>
      </c>
      <c r="H282" s="14">
        <f>AVERAGE(C282:G282)</f>
        <v>256169</v>
      </c>
      <c r="I282" s="14">
        <f t="shared" ref="I282:L282" si="49">AVERAGE(D282:H282)</f>
        <v>299014.2</v>
      </c>
      <c r="J282" s="14">
        <f t="shared" si="49"/>
        <v>350414.04</v>
      </c>
      <c r="K282" s="14">
        <f t="shared" si="49"/>
        <v>344738.64799999999</v>
      </c>
      <c r="L282" s="14">
        <f t="shared" si="49"/>
        <v>315767.1776</v>
      </c>
    </row>
    <row r="283" spans="1:12" x14ac:dyDescent="0.35">
      <c r="A283" s="4" t="s">
        <v>77</v>
      </c>
      <c r="C283" s="86" t="s">
        <v>18</v>
      </c>
      <c r="D283" s="17" t="s">
        <v>18</v>
      </c>
      <c r="E283" s="17">
        <v>8364</v>
      </c>
      <c r="F283" s="17">
        <v>27182</v>
      </c>
    </row>
    <row r="284" spans="1:12" ht="43.5" x14ac:dyDescent="0.35">
      <c r="A284" s="4" t="s">
        <v>78</v>
      </c>
      <c r="B284" t="s">
        <v>542</v>
      </c>
      <c r="C284" s="86">
        <v>495945</v>
      </c>
      <c r="D284" s="17">
        <v>55015</v>
      </c>
      <c r="E284" s="17">
        <v>750943</v>
      </c>
      <c r="F284" s="17">
        <v>633394</v>
      </c>
      <c r="G284" s="146">
        <v>1563865</v>
      </c>
      <c r="H284" s="90">
        <f>Regression!O123</f>
        <v>956848.47327635123</v>
      </c>
      <c r="I284" s="90">
        <f>Regression!P123</f>
        <v>920682.12880195107</v>
      </c>
      <c r="J284" s="90">
        <f>Regression!Q123</f>
        <v>1097829.7787759253</v>
      </c>
      <c r="K284" s="90">
        <f>Regression!R123</f>
        <v>1279194.9113531625</v>
      </c>
      <c r="L284" s="90">
        <f>Regression!S123</f>
        <v>1462881.7259333795</v>
      </c>
    </row>
    <row r="285" spans="1:12" x14ac:dyDescent="0.35">
      <c r="A285" s="4" t="s">
        <v>341</v>
      </c>
      <c r="C285" s="86">
        <v>152</v>
      </c>
      <c r="D285" s="17">
        <v>152</v>
      </c>
    </row>
    <row r="286" spans="1:12" x14ac:dyDescent="0.35">
      <c r="A286" s="4" t="s">
        <v>79</v>
      </c>
      <c r="B286" t="s">
        <v>513</v>
      </c>
      <c r="C286" s="86">
        <v>102799</v>
      </c>
      <c r="D286" s="17">
        <v>11939</v>
      </c>
      <c r="E286" s="17">
        <v>8570</v>
      </c>
      <c r="F286" s="17">
        <v>27969</v>
      </c>
      <c r="G286" s="146">
        <v>260646</v>
      </c>
      <c r="H286" s="14">
        <f>AVERAGE(C286:G286)</f>
        <v>82384.600000000006</v>
      </c>
      <c r="I286" s="14">
        <f t="shared" ref="I286:L286" si="50">AVERAGE(D286:H286)</f>
        <v>78301.72</v>
      </c>
      <c r="J286" s="14">
        <f t="shared" si="50"/>
        <v>91574.263999999996</v>
      </c>
      <c r="K286" s="14">
        <f t="shared" si="50"/>
        <v>108175.11679999999</v>
      </c>
      <c r="L286" s="14">
        <f t="shared" si="50"/>
        <v>124216.34015999998</v>
      </c>
    </row>
    <row r="287" spans="1:12" x14ac:dyDescent="0.35">
      <c r="A287" s="4" t="s">
        <v>70</v>
      </c>
      <c r="B287" t="s">
        <v>513</v>
      </c>
      <c r="C287" s="86">
        <v>0</v>
      </c>
      <c r="D287" s="86">
        <v>0</v>
      </c>
      <c r="E287" s="86">
        <v>0</v>
      </c>
      <c r="F287" s="86">
        <v>0</v>
      </c>
      <c r="G287" s="146">
        <v>1457207</v>
      </c>
      <c r="H287" s="14">
        <f>AVERAGE(C287:G287)</f>
        <v>291441.40000000002</v>
      </c>
      <c r="I287" s="14">
        <f t="shared" ref="I287:L287" si="51">AVERAGE(D287:H287)</f>
        <v>349729.68</v>
      </c>
      <c r="J287" s="14">
        <f t="shared" si="51"/>
        <v>419675.61600000004</v>
      </c>
      <c r="K287" s="14">
        <f t="shared" si="51"/>
        <v>503610.73920000001</v>
      </c>
      <c r="L287" s="14">
        <f t="shared" si="51"/>
        <v>604332.88704000006</v>
      </c>
    </row>
    <row r="288" spans="1:12" x14ac:dyDescent="0.35">
      <c r="A288" s="4" t="s">
        <v>71</v>
      </c>
      <c r="B288" t="s">
        <v>543</v>
      </c>
      <c r="C288" s="86">
        <v>30572</v>
      </c>
      <c r="D288" s="17">
        <v>148</v>
      </c>
      <c r="E288" s="17">
        <v>0</v>
      </c>
      <c r="F288" s="17">
        <v>3954</v>
      </c>
      <c r="G288" s="146">
        <v>247616</v>
      </c>
      <c r="H288" s="14">
        <f>SUM($C$288:$G$288)/SUM($C$455:$G$455)*H455</f>
        <v>69802.020409582939</v>
      </c>
      <c r="I288" s="14">
        <f>SUM($C$288:$G$288)/SUM($C$455:$G$455)*I455</f>
        <v>67921.185035006449</v>
      </c>
      <c r="J288" s="14">
        <f>SUM($C$288:$G$288)/SUM($C$455:$G$455)*J455</f>
        <v>77114.88800077347</v>
      </c>
      <c r="K288" s="14">
        <f>SUM($C$288:$G$288)/SUM($C$455:$G$455)*K455</f>
        <v>86524.11008294858</v>
      </c>
      <c r="L288" s="14">
        <f>SUM($C$288:$G$288)/SUM($C$455:$G$455)*L455</f>
        <v>96050.885971544718</v>
      </c>
    </row>
    <row r="289" spans="1:12" x14ac:dyDescent="0.35">
      <c r="C289" s="86">
        <f t="shared" ref="C289:I289" si="52">SUM(C278:C288)</f>
        <v>936207</v>
      </c>
      <c r="D289" s="17">
        <f t="shared" si="52"/>
        <v>310892</v>
      </c>
      <c r="E289" s="17">
        <f t="shared" si="52"/>
        <v>1507325</v>
      </c>
      <c r="F289" s="17">
        <f t="shared" si="52"/>
        <v>2980140</v>
      </c>
      <c r="G289" s="146">
        <f t="shared" si="52"/>
        <v>5817368</v>
      </c>
      <c r="H289" s="17">
        <f t="shared" si="52"/>
        <v>2814703.6548734927</v>
      </c>
      <c r="I289" s="17">
        <f t="shared" si="52"/>
        <v>2817698.4334523552</v>
      </c>
      <c r="J289" s="17">
        <f t="shared" ref="J289:L289" si="53">SUM(J278:J288)</f>
        <v>3280970.2765537477</v>
      </c>
      <c r="K289" s="17">
        <f t="shared" si="53"/>
        <v>3722122.7905454421</v>
      </c>
      <c r="L289" s="17">
        <f t="shared" si="53"/>
        <v>4152107.1441668584</v>
      </c>
    </row>
    <row r="290" spans="1:12" x14ac:dyDescent="0.35">
      <c r="A290" s="7" t="s">
        <v>80</v>
      </c>
      <c r="D290" s="17">
        <v>505</v>
      </c>
    </row>
    <row r="291" spans="1:12" x14ac:dyDescent="0.35">
      <c r="A291" s="4" t="s">
        <v>82</v>
      </c>
      <c r="B291" s="421" t="s">
        <v>524</v>
      </c>
      <c r="C291" s="86">
        <v>18043</v>
      </c>
      <c r="D291" s="17">
        <v>18043</v>
      </c>
      <c r="E291" s="17">
        <v>18043</v>
      </c>
      <c r="F291" s="17">
        <v>18043</v>
      </c>
      <c r="G291" s="146">
        <v>18043</v>
      </c>
      <c r="H291" s="146">
        <v>18043</v>
      </c>
      <c r="I291" s="146">
        <v>18043</v>
      </c>
      <c r="J291" s="146">
        <v>18043</v>
      </c>
      <c r="K291" s="146">
        <v>18043</v>
      </c>
      <c r="L291" s="146">
        <v>18043</v>
      </c>
    </row>
    <row r="292" spans="1:12" x14ac:dyDescent="0.35">
      <c r="A292" s="4" t="s">
        <v>83</v>
      </c>
      <c r="B292" s="421"/>
      <c r="C292" s="86">
        <v>-18043</v>
      </c>
      <c r="D292" s="17">
        <v>-18043</v>
      </c>
      <c r="E292" s="17">
        <v>-18043</v>
      </c>
      <c r="F292" s="17">
        <v>-18043</v>
      </c>
      <c r="G292" s="146">
        <v>-18043</v>
      </c>
      <c r="H292" s="146">
        <v>-18043</v>
      </c>
      <c r="I292" s="146">
        <v>-18043</v>
      </c>
      <c r="J292" s="146">
        <v>-18043</v>
      </c>
      <c r="K292" s="146">
        <v>-18043</v>
      </c>
      <c r="L292" s="146">
        <v>-18043</v>
      </c>
    </row>
    <row r="293" spans="1:12" x14ac:dyDescent="0.35">
      <c r="A293" s="4" t="s">
        <v>81</v>
      </c>
      <c r="B293" s="421"/>
      <c r="C293" s="86" t="s">
        <v>18</v>
      </c>
      <c r="D293" s="17" t="s">
        <v>18</v>
      </c>
      <c r="E293" s="17">
        <f>SUM(E291:E292)</f>
        <v>0</v>
      </c>
      <c r="F293" s="17">
        <f>SUM(F291:F292)</f>
        <v>0</v>
      </c>
      <c r="G293" s="146">
        <f>SUM(G291:G292)</f>
        <v>0</v>
      </c>
      <c r="H293" s="146">
        <f t="shared" ref="H293:L293" si="54">SUM(H291:H292)</f>
        <v>0</v>
      </c>
      <c r="I293" s="146">
        <f t="shared" si="54"/>
        <v>0</v>
      </c>
      <c r="J293" s="146">
        <f t="shared" si="54"/>
        <v>0</v>
      </c>
      <c r="K293" s="146">
        <f t="shared" si="54"/>
        <v>0</v>
      </c>
      <c r="L293" s="146">
        <f t="shared" si="54"/>
        <v>0</v>
      </c>
    </row>
    <row r="294" spans="1:12" x14ac:dyDescent="0.35">
      <c r="A294" s="166" t="s">
        <v>84</v>
      </c>
      <c r="B294" s="421"/>
      <c r="C294" s="86">
        <v>36687</v>
      </c>
      <c r="D294" s="17">
        <v>36687</v>
      </c>
      <c r="E294" s="17">
        <v>36687</v>
      </c>
      <c r="F294" s="17">
        <v>36687</v>
      </c>
      <c r="G294" s="146">
        <v>36687</v>
      </c>
      <c r="H294" s="146">
        <v>36687</v>
      </c>
      <c r="I294" s="146">
        <v>36687</v>
      </c>
      <c r="J294" s="146">
        <v>36687</v>
      </c>
      <c r="K294" s="146">
        <v>36687</v>
      </c>
      <c r="L294" s="146">
        <v>36687</v>
      </c>
    </row>
    <row r="295" spans="1:12" x14ac:dyDescent="0.35">
      <c r="A295" s="4" t="s">
        <v>83</v>
      </c>
      <c r="B295" s="421"/>
      <c r="C295" s="86">
        <v>-36687</v>
      </c>
      <c r="D295" s="17">
        <v>-36687</v>
      </c>
      <c r="E295" s="17">
        <v>-36687</v>
      </c>
      <c r="F295" s="17">
        <v>-36687</v>
      </c>
      <c r="G295" s="146">
        <v>-36687</v>
      </c>
      <c r="H295" s="146">
        <v>-36687</v>
      </c>
      <c r="I295" s="146">
        <v>-36687</v>
      </c>
      <c r="J295" s="146">
        <v>-36687</v>
      </c>
      <c r="K295" s="146">
        <v>-36687</v>
      </c>
      <c r="L295" s="146">
        <v>-36687</v>
      </c>
    </row>
    <row r="296" spans="1:12" x14ac:dyDescent="0.35">
      <c r="B296" s="421"/>
      <c r="C296" s="86" t="s">
        <v>18</v>
      </c>
      <c r="D296" s="17" t="s">
        <v>18</v>
      </c>
      <c r="E296" s="17">
        <f>SUM(E294:E295)</f>
        <v>0</v>
      </c>
      <c r="F296" s="17">
        <f>SUM(F294:F295)</f>
        <v>0</v>
      </c>
      <c r="G296" s="146">
        <f>SUM(G294:G295)</f>
        <v>0</v>
      </c>
      <c r="H296" s="146">
        <f t="shared" ref="H296:L296" si="55">SUM(H294:H295)</f>
        <v>0</v>
      </c>
      <c r="I296" s="146">
        <f t="shared" si="55"/>
        <v>0</v>
      </c>
      <c r="J296" s="146">
        <f t="shared" si="55"/>
        <v>0</v>
      </c>
      <c r="K296" s="146">
        <f t="shared" si="55"/>
        <v>0</v>
      </c>
      <c r="L296" s="146">
        <f t="shared" si="55"/>
        <v>0</v>
      </c>
    </row>
    <row r="297" spans="1:12" x14ac:dyDescent="0.35">
      <c r="A297" s="165"/>
      <c r="B297" s="165"/>
      <c r="C297" s="135">
        <f t="shared" ref="C297:I297" si="56">SUM(C289,C293,C296)</f>
        <v>936207</v>
      </c>
      <c r="D297" s="272">
        <f t="shared" si="56"/>
        <v>310892</v>
      </c>
      <c r="E297" s="272">
        <f t="shared" si="56"/>
        <v>1507325</v>
      </c>
      <c r="F297" s="272">
        <f t="shared" si="56"/>
        <v>2980140</v>
      </c>
      <c r="G297" s="273">
        <f t="shared" si="56"/>
        <v>5817368</v>
      </c>
      <c r="H297" s="272">
        <f t="shared" si="56"/>
        <v>2814703.6548734927</v>
      </c>
      <c r="I297" s="272">
        <f t="shared" si="56"/>
        <v>2817698.4334523552</v>
      </c>
      <c r="J297" s="272">
        <f t="shared" ref="J297:L297" si="57">SUM(J289,J293,J296)</f>
        <v>3280970.2765537477</v>
      </c>
      <c r="K297" s="272">
        <f t="shared" si="57"/>
        <v>3722122.7905454421</v>
      </c>
      <c r="L297" s="272">
        <f t="shared" si="57"/>
        <v>4152107.1441668584</v>
      </c>
    </row>
    <row r="299" spans="1:12" x14ac:dyDescent="0.35">
      <c r="A299" s="270" t="s">
        <v>85</v>
      </c>
    </row>
    <row r="300" spans="1:12" x14ac:dyDescent="0.35">
      <c r="A300" s="7" t="s">
        <v>86</v>
      </c>
    </row>
    <row r="301" spans="1:12" x14ac:dyDescent="0.35">
      <c r="A301" s="4" t="s">
        <v>342</v>
      </c>
      <c r="B301" t="s">
        <v>541</v>
      </c>
      <c r="C301" s="86">
        <v>6342029</v>
      </c>
      <c r="D301" s="17">
        <v>1978636</v>
      </c>
    </row>
    <row r="302" spans="1:12" x14ac:dyDescent="0.35">
      <c r="A302" s="4" t="s">
        <v>343</v>
      </c>
      <c r="B302" t="s">
        <v>541</v>
      </c>
      <c r="C302" s="86">
        <v>1695488</v>
      </c>
      <c r="D302" s="17">
        <v>11201937</v>
      </c>
    </row>
    <row r="303" spans="1:12" ht="12.65" customHeight="1" x14ac:dyDescent="0.35">
      <c r="A303" s="4" t="s">
        <v>90</v>
      </c>
      <c r="B303" t="s">
        <v>540</v>
      </c>
      <c r="E303" s="17">
        <v>7972732</v>
      </c>
      <c r="F303" s="17">
        <v>8869458</v>
      </c>
      <c r="G303" s="146">
        <v>100118</v>
      </c>
      <c r="H303" s="14">
        <f>AVERAGE(E303:G303)</f>
        <v>5647436</v>
      </c>
      <c r="I303" s="14">
        <f t="shared" ref="I303:L303" si="58">AVERAGE(F303:H303)</f>
        <v>4872337.333333333</v>
      </c>
      <c r="J303" s="14">
        <f t="shared" si="58"/>
        <v>3539963.7777777775</v>
      </c>
      <c r="K303" s="14">
        <f t="shared" si="58"/>
        <v>4686579.0370370364</v>
      </c>
      <c r="L303" s="14">
        <f t="shared" si="58"/>
        <v>4366293.3827160485</v>
      </c>
    </row>
    <row r="304" spans="1:12" x14ac:dyDescent="0.35">
      <c r="A304" s="7" t="s">
        <v>87</v>
      </c>
    </row>
    <row r="305" spans="1:12" x14ac:dyDescent="0.35">
      <c r="A305" s="4" t="s">
        <v>89</v>
      </c>
      <c r="B305" t="s">
        <v>540</v>
      </c>
      <c r="E305" s="17">
        <v>3748857</v>
      </c>
      <c r="F305" s="17">
        <v>2305449</v>
      </c>
      <c r="G305" s="146">
        <v>1148648</v>
      </c>
      <c r="H305" s="14">
        <f>AVERAGE(E305:G305)</f>
        <v>2400984.6666666665</v>
      </c>
      <c r="I305" s="14">
        <f t="shared" ref="I305:L305" si="59">AVERAGE(F305:H305)</f>
        <v>1951693.8888888888</v>
      </c>
      <c r="J305" s="14">
        <f t="shared" si="59"/>
        <v>1833775.5185185184</v>
      </c>
      <c r="K305" s="14">
        <f t="shared" si="59"/>
        <v>2062151.3580246912</v>
      </c>
      <c r="L305" s="14">
        <f t="shared" si="59"/>
        <v>1949206.9218106996</v>
      </c>
    </row>
    <row r="306" spans="1:12" x14ac:dyDescent="0.35">
      <c r="A306" s="4" t="s">
        <v>88</v>
      </c>
      <c r="B306" t="s">
        <v>540</v>
      </c>
      <c r="E306" s="17">
        <v>22549</v>
      </c>
      <c r="F306" s="17">
        <v>161729</v>
      </c>
      <c r="G306" s="146">
        <v>405363</v>
      </c>
      <c r="H306" s="14">
        <f>AVERAGE(E306:G306)</f>
        <v>196547</v>
      </c>
      <c r="I306" s="14">
        <f t="shared" ref="I306:L306" si="60">AVERAGE(F306:H306)</f>
        <v>254546.33333333334</v>
      </c>
      <c r="J306" s="14">
        <f t="shared" si="60"/>
        <v>285485.44444444444</v>
      </c>
      <c r="K306" s="14">
        <f t="shared" si="60"/>
        <v>245526.25925925924</v>
      </c>
      <c r="L306" s="14">
        <f t="shared" si="60"/>
        <v>261852.67901234564</v>
      </c>
    </row>
    <row r="307" spans="1:12" ht="29" x14ac:dyDescent="0.35">
      <c r="A307" s="247" t="s">
        <v>525</v>
      </c>
      <c r="B307" s="4" t="s">
        <v>539</v>
      </c>
      <c r="C307" s="86">
        <v>4557</v>
      </c>
      <c r="D307" s="17">
        <v>964120</v>
      </c>
      <c r="E307" s="17">
        <v>2086711</v>
      </c>
      <c r="F307" s="17">
        <v>2722683</v>
      </c>
      <c r="G307" s="146">
        <v>1691328</v>
      </c>
      <c r="H307" s="15">
        <v>0</v>
      </c>
      <c r="I307" s="15">
        <v>0</v>
      </c>
      <c r="J307" s="15">
        <v>0</v>
      </c>
      <c r="K307" s="15">
        <v>0</v>
      </c>
      <c r="L307" s="15">
        <v>0</v>
      </c>
    </row>
    <row r="308" spans="1:12" x14ac:dyDescent="0.35">
      <c r="A308" s="165"/>
      <c r="B308" s="5"/>
      <c r="C308" s="135">
        <f>SUM(C301:C307)</f>
        <v>8042074</v>
      </c>
      <c r="D308" s="272">
        <f>SUM(D301:D307)</f>
        <v>14144693</v>
      </c>
      <c r="E308" s="272">
        <f>SUM(E303:E307)</f>
        <v>13830849</v>
      </c>
      <c r="F308" s="272">
        <f>SUM(F303:F307)</f>
        <v>14059319</v>
      </c>
      <c r="G308" s="273">
        <f>SUM(G303:G307)</f>
        <v>3345457</v>
      </c>
      <c r="H308" s="272">
        <f>SUM(H303:H307)</f>
        <v>8244967.666666666</v>
      </c>
      <c r="I308" s="272">
        <f>SUM(I303:I307)</f>
        <v>7078577.555555555</v>
      </c>
      <c r="J308" s="272">
        <f t="shared" ref="J308:K308" si="61">SUM(J303:J307)</f>
        <v>5659224.7407407397</v>
      </c>
      <c r="K308" s="272">
        <f t="shared" si="61"/>
        <v>6994256.6543209869</v>
      </c>
      <c r="L308" s="272">
        <f>SUM(L303:L307)</f>
        <v>6577352.9835390942</v>
      </c>
    </row>
    <row r="310" spans="1:12" x14ac:dyDescent="0.35">
      <c r="A310" s="270" t="s">
        <v>91</v>
      </c>
    </row>
    <row r="311" spans="1:12" x14ac:dyDescent="0.35">
      <c r="A311" s="7" t="s">
        <v>92</v>
      </c>
      <c r="B311" t="s">
        <v>489</v>
      </c>
      <c r="C311" s="86">
        <v>647</v>
      </c>
      <c r="D311" s="17">
        <v>817</v>
      </c>
      <c r="E311" s="17">
        <v>568</v>
      </c>
      <c r="F311" s="17">
        <v>617</v>
      </c>
      <c r="G311" s="146">
        <v>554</v>
      </c>
      <c r="H311" cm="1">
        <f t="array" ref="H311:L311">TREND(C311:G311)</f>
        <v>717.8</v>
      </c>
      <c r="I311">
        <v>679.2</v>
      </c>
      <c r="J311">
        <v>640.6</v>
      </c>
      <c r="K311">
        <v>602</v>
      </c>
      <c r="L311" s="120">
        <v>563.40000000000009</v>
      </c>
    </row>
    <row r="312" spans="1:12" x14ac:dyDescent="0.35">
      <c r="A312" s="7" t="s">
        <v>93</v>
      </c>
      <c r="F312" s="17">
        <v>0</v>
      </c>
      <c r="G312" s="146">
        <v>0</v>
      </c>
    </row>
    <row r="313" spans="1:12" x14ac:dyDescent="0.35">
      <c r="A313" s="4" t="s">
        <v>94</v>
      </c>
      <c r="B313" t="s">
        <v>470</v>
      </c>
      <c r="C313" s="86">
        <v>319077</v>
      </c>
      <c r="D313" s="17">
        <v>306671</v>
      </c>
      <c r="E313" s="17">
        <v>642309</v>
      </c>
      <c r="F313" s="17">
        <f>1390842+346865</f>
        <v>1737707</v>
      </c>
      <c r="G313" s="146">
        <f>2112080+502824</f>
        <v>2614904</v>
      </c>
      <c r="H313" s="14">
        <f>AVERAGE(C313:G313)</f>
        <v>1124133.6000000001</v>
      </c>
      <c r="I313" s="14">
        <f t="shared" ref="I313:L313" si="62">AVERAGE(D313:H313)</f>
        <v>1285144.92</v>
      </c>
      <c r="J313" s="14">
        <f t="shared" si="62"/>
        <v>1480839.7039999999</v>
      </c>
      <c r="K313" s="14">
        <f t="shared" si="62"/>
        <v>1648545.8447999998</v>
      </c>
      <c r="L313" s="14">
        <f t="shared" si="62"/>
        <v>1630713.6137599999</v>
      </c>
    </row>
    <row r="314" spans="1:12" x14ac:dyDescent="0.35">
      <c r="A314" s="4" t="s">
        <v>95</v>
      </c>
      <c r="B314" t="s">
        <v>489</v>
      </c>
      <c r="C314" s="30">
        <v>458099</v>
      </c>
      <c r="D314" s="31">
        <v>633432</v>
      </c>
      <c r="E314" s="31">
        <v>1274109</v>
      </c>
      <c r="F314" s="31">
        <v>1113721</v>
      </c>
      <c r="G314" s="32">
        <f>287172+1082865</f>
        <v>1370037</v>
      </c>
      <c r="H314" cm="1">
        <f t="array" ref="H314:L314">TREND(C314:G314)</f>
        <v>509046.60000000009</v>
      </c>
      <c r="I314" s="72">
        <v>739463.10000000009</v>
      </c>
      <c r="J314" s="72">
        <v>969879.6</v>
      </c>
      <c r="K314" s="72">
        <v>1200296.1000000001</v>
      </c>
      <c r="L314" s="73">
        <v>1430712.5999999999</v>
      </c>
    </row>
    <row r="315" spans="1:12" x14ac:dyDescent="0.35">
      <c r="A315" s="165"/>
      <c r="C315" s="135">
        <f>SUM(C311:C314)</f>
        <v>777823</v>
      </c>
      <c r="D315" s="272">
        <f>SUM(D311:D314)</f>
        <v>940920</v>
      </c>
      <c r="E315" s="272">
        <f>SUM(E311:E314)</f>
        <v>1916986</v>
      </c>
      <c r="F315" s="272">
        <f>SUM(F311:F314)</f>
        <v>2852045</v>
      </c>
      <c r="G315" s="273">
        <f t="shared" ref="G315" si="63">SUM(G311:G314)</f>
        <v>3985495</v>
      </c>
      <c r="H315" s="272">
        <f>SUM(H311:H314)</f>
        <v>1633898.0000000002</v>
      </c>
      <c r="I315" s="272">
        <f>SUM(I311:I314)</f>
        <v>2025287.22</v>
      </c>
      <c r="J315" s="272">
        <f t="shared" ref="J315:L315" si="64">SUM(J311:J314)</f>
        <v>2451359.9040000001</v>
      </c>
      <c r="K315" s="272">
        <f t="shared" si="64"/>
        <v>2849443.9447999997</v>
      </c>
      <c r="L315" s="272">
        <f t="shared" si="64"/>
        <v>3061989.6137599996</v>
      </c>
    </row>
    <row r="316" spans="1:12" x14ac:dyDescent="0.35">
      <c r="B316" s="411" t="s">
        <v>686</v>
      </c>
      <c r="C316" s="411"/>
      <c r="D316" s="411"/>
      <c r="E316" s="411"/>
      <c r="F316" s="411"/>
      <c r="G316" s="411"/>
      <c r="H316" s="411"/>
      <c r="I316" s="411"/>
      <c r="J316" s="411"/>
    </row>
    <row r="317" spans="1:12" x14ac:dyDescent="0.35">
      <c r="B317" s="353"/>
      <c r="C317" s="353"/>
      <c r="D317" s="353"/>
      <c r="E317" s="353"/>
      <c r="F317" s="353"/>
      <c r="G317" s="353"/>
      <c r="H317" s="353"/>
      <c r="I317" s="353"/>
      <c r="J317" s="353"/>
      <c r="L317"/>
    </row>
    <row r="318" spans="1:12" x14ac:dyDescent="0.35">
      <c r="A318" s="299" t="s">
        <v>614</v>
      </c>
      <c r="C318" s="135">
        <f t="shared" ref="C318:L318" si="65">C322+C329</f>
        <v>129000000</v>
      </c>
      <c r="D318" s="135">
        <f t="shared" si="65"/>
        <v>129000000</v>
      </c>
      <c r="E318" s="135">
        <f t="shared" si="65"/>
        <v>129000000</v>
      </c>
      <c r="F318" s="135">
        <f t="shared" si="65"/>
        <v>129000000</v>
      </c>
      <c r="G318" s="135">
        <f t="shared" si="65"/>
        <v>129000000</v>
      </c>
      <c r="H318" s="135">
        <f t="shared" si="65"/>
        <v>129000000</v>
      </c>
      <c r="I318" s="135">
        <f t="shared" si="65"/>
        <v>129000000</v>
      </c>
      <c r="J318" s="135">
        <f t="shared" si="65"/>
        <v>129000000</v>
      </c>
      <c r="K318" s="135">
        <f t="shared" si="65"/>
        <v>129000000</v>
      </c>
      <c r="L318" s="135">
        <f t="shared" si="65"/>
        <v>129000000</v>
      </c>
    </row>
    <row r="319" spans="1:12" x14ac:dyDescent="0.35">
      <c r="A319" s="361"/>
      <c r="C319" s="362"/>
      <c r="D319" s="276"/>
      <c r="E319" s="276"/>
      <c r="F319" s="276"/>
      <c r="G319" s="276"/>
      <c r="H319" s="276"/>
      <c r="I319" s="276"/>
      <c r="J319" s="276"/>
      <c r="K319" s="276"/>
      <c r="L319" s="276"/>
    </row>
    <row r="320" spans="1:12" x14ac:dyDescent="0.35">
      <c r="A320" s="270" t="s">
        <v>96</v>
      </c>
      <c r="B320" s="5"/>
    </row>
    <row r="321" spans="1:13" x14ac:dyDescent="0.35">
      <c r="A321" s="7" t="s">
        <v>97</v>
      </c>
    </row>
    <row r="322" spans="1:13" ht="29" x14ac:dyDescent="0.35">
      <c r="A322" s="4" t="s">
        <v>99</v>
      </c>
      <c r="B322" s="4"/>
      <c r="C322" s="86">
        <v>125000000</v>
      </c>
      <c r="D322" s="17">
        <v>125000000</v>
      </c>
      <c r="E322" s="17">
        <v>125000000</v>
      </c>
      <c r="F322" s="17">
        <v>125000000</v>
      </c>
      <c r="G322" s="146">
        <v>125000000</v>
      </c>
      <c r="H322" s="146">
        <v>125000000</v>
      </c>
      <c r="I322" s="146">
        <v>125000000</v>
      </c>
      <c r="J322" s="146">
        <v>125000000</v>
      </c>
      <c r="K322" s="146">
        <v>125000000</v>
      </c>
      <c r="L322" s="146">
        <v>125000000</v>
      </c>
    </row>
    <row r="323" spans="1:13" x14ac:dyDescent="0.35">
      <c r="B323" s="4"/>
      <c r="H323" s="146"/>
      <c r="I323" s="146"/>
      <c r="J323" s="146"/>
      <c r="K323" s="146"/>
      <c r="L323" s="146"/>
    </row>
    <row r="324" spans="1:13" x14ac:dyDescent="0.35">
      <c r="A324" s="271" t="s">
        <v>98</v>
      </c>
      <c r="B324" s="4"/>
      <c r="H324" s="146"/>
      <c r="I324" s="146"/>
      <c r="J324" s="146"/>
      <c r="K324" s="146"/>
      <c r="L324" s="146"/>
    </row>
    <row r="325" spans="1:13" ht="29" x14ac:dyDescent="0.35">
      <c r="A325" s="4" t="s">
        <v>100</v>
      </c>
      <c r="B325" s="4"/>
      <c r="C325" s="135">
        <v>9089233</v>
      </c>
      <c r="D325" s="272">
        <v>9089233</v>
      </c>
      <c r="E325" s="272">
        <v>9089233</v>
      </c>
      <c r="F325" s="272">
        <v>9089233</v>
      </c>
      <c r="G325" s="273">
        <v>9089233</v>
      </c>
      <c r="H325" s="273">
        <v>9089233</v>
      </c>
      <c r="I325" s="273">
        <v>9089233</v>
      </c>
      <c r="J325" s="273">
        <v>9089233</v>
      </c>
      <c r="K325" s="273">
        <v>9089233</v>
      </c>
      <c r="L325" s="273">
        <v>9089233</v>
      </c>
      <c r="M325" s="5"/>
    </row>
    <row r="326" spans="1:13" x14ac:dyDescent="0.35">
      <c r="B326" s="4"/>
      <c r="H326" s="146"/>
      <c r="I326" s="146"/>
      <c r="J326" s="146"/>
      <c r="K326" s="146"/>
      <c r="L326" s="146"/>
    </row>
    <row r="327" spans="1:13" x14ac:dyDescent="0.35">
      <c r="A327" s="270" t="s">
        <v>101</v>
      </c>
      <c r="B327" s="4"/>
      <c r="C327" s="86">
        <f>C329+C332</f>
        <v>4000000</v>
      </c>
      <c r="D327" s="86">
        <f t="shared" ref="D327:L327" si="66">D329+D332</f>
        <v>7000000</v>
      </c>
      <c r="E327" s="86">
        <f t="shared" si="66"/>
        <v>7000000</v>
      </c>
      <c r="F327" s="86">
        <f t="shared" si="66"/>
        <v>7000000</v>
      </c>
      <c r="G327" s="86">
        <f t="shared" si="66"/>
        <v>7000000</v>
      </c>
      <c r="H327" s="86">
        <f t="shared" si="66"/>
        <v>7000000</v>
      </c>
      <c r="I327" s="86">
        <f t="shared" si="66"/>
        <v>7000000</v>
      </c>
      <c r="J327" s="86">
        <f t="shared" si="66"/>
        <v>7000000</v>
      </c>
      <c r="K327" s="86">
        <f t="shared" si="66"/>
        <v>7000000</v>
      </c>
      <c r="L327" s="86">
        <f t="shared" si="66"/>
        <v>7000000</v>
      </c>
    </row>
    <row r="328" spans="1:13" x14ac:dyDescent="0.35">
      <c r="A328" s="7" t="s">
        <v>97</v>
      </c>
      <c r="B328" s="4"/>
      <c r="H328" s="146"/>
      <c r="I328" s="146"/>
      <c r="J328" s="146"/>
      <c r="K328" s="146"/>
      <c r="L328" s="146"/>
    </row>
    <row r="329" spans="1:13" ht="29" x14ac:dyDescent="0.35">
      <c r="A329" s="4" t="s">
        <v>102</v>
      </c>
      <c r="B329" s="4"/>
      <c r="C329" s="86">
        <v>4000000</v>
      </c>
      <c r="D329" s="17">
        <v>4000000</v>
      </c>
      <c r="E329" s="17">
        <v>4000000</v>
      </c>
      <c r="F329" s="17">
        <v>4000000</v>
      </c>
      <c r="G329" s="146">
        <v>4000000</v>
      </c>
      <c r="H329" s="146">
        <v>4000000</v>
      </c>
      <c r="I329" s="146">
        <v>4000000</v>
      </c>
      <c r="J329" s="146">
        <v>4000000</v>
      </c>
      <c r="K329" s="146">
        <v>4000000</v>
      </c>
      <c r="L329" s="146">
        <v>4000000</v>
      </c>
    </row>
    <row r="330" spans="1:13" x14ac:dyDescent="0.35">
      <c r="B330" s="4"/>
      <c r="H330" s="146"/>
      <c r="I330" s="146"/>
      <c r="J330" s="146"/>
      <c r="K330" s="146"/>
      <c r="L330" s="146"/>
    </row>
    <row r="331" spans="1:13" x14ac:dyDescent="0.35">
      <c r="A331" s="271" t="s">
        <v>98</v>
      </c>
      <c r="B331" s="4"/>
      <c r="H331" s="146"/>
      <c r="I331" s="146"/>
      <c r="J331" s="146"/>
      <c r="K331" s="146"/>
      <c r="L331" s="146"/>
    </row>
    <row r="332" spans="1:13" ht="29" x14ac:dyDescent="0.35">
      <c r="A332" s="4" t="s">
        <v>103</v>
      </c>
      <c r="B332" s="4"/>
      <c r="C332" s="135">
        <v>0</v>
      </c>
      <c r="D332" s="272">
        <v>3000000</v>
      </c>
      <c r="E332" s="272">
        <v>3000000</v>
      </c>
      <c r="F332" s="272">
        <v>3000000</v>
      </c>
      <c r="G332" s="273">
        <v>3000000</v>
      </c>
      <c r="H332" s="273">
        <v>3000000</v>
      </c>
      <c r="I332" s="273">
        <v>3000000</v>
      </c>
      <c r="J332" s="273">
        <v>3000000</v>
      </c>
      <c r="K332" s="273">
        <v>3000000</v>
      </c>
      <c r="L332" s="273">
        <v>3000000</v>
      </c>
    </row>
    <row r="334" spans="1:13" x14ac:dyDescent="0.35">
      <c r="A334" s="270" t="s">
        <v>150</v>
      </c>
      <c r="B334" s="5"/>
      <c r="C334" s="135">
        <v>3874953</v>
      </c>
      <c r="D334" s="272">
        <v>3874953</v>
      </c>
      <c r="E334" s="272">
        <v>3874953</v>
      </c>
      <c r="F334" s="272">
        <v>3874953</v>
      </c>
      <c r="G334" s="273">
        <v>3874953</v>
      </c>
      <c r="H334" s="273">
        <v>3874953</v>
      </c>
      <c r="I334" s="273">
        <v>3874953</v>
      </c>
      <c r="J334" s="273">
        <v>3874953</v>
      </c>
      <c r="K334" s="273">
        <v>3874953</v>
      </c>
      <c r="L334" s="273">
        <v>3874953</v>
      </c>
    </row>
    <row r="335" spans="1:13" x14ac:dyDescent="0.35">
      <c r="A335" s="165"/>
      <c r="B335" s="5"/>
      <c r="C335" s="135"/>
      <c r="D335" s="272"/>
      <c r="E335" s="272"/>
      <c r="F335" s="272"/>
      <c r="G335" s="273"/>
      <c r="H335" s="5"/>
      <c r="I335" s="5"/>
      <c r="J335" s="5"/>
      <c r="K335" s="5"/>
      <c r="L335" s="257"/>
    </row>
    <row r="336" spans="1:13" x14ac:dyDescent="0.35">
      <c r="A336" s="270" t="s">
        <v>149</v>
      </c>
      <c r="B336" t="s">
        <v>669</v>
      </c>
      <c r="C336" s="135">
        <v>4766837</v>
      </c>
      <c r="D336" s="272">
        <v>10106711</v>
      </c>
      <c r="E336" s="272">
        <v>13994903</v>
      </c>
      <c r="F336" s="272">
        <v>11169486</v>
      </c>
      <c r="G336" s="273">
        <v>12938222</v>
      </c>
      <c r="H336" s="273">
        <f>SUM($C$336:$G$336)/SUM('Income Statement'!$B$18:$F$18)*'Income Statement'!G18</f>
        <v>14287889.415289992</v>
      </c>
      <c r="I336" s="273">
        <f>SUM($C$336:$G$336)/SUM('Income Statement'!$B$18:$F$18)*'Income Statement'!H18</f>
        <v>13583384.683230424</v>
      </c>
      <c r="J336" s="273">
        <f>SUM($C$336:$G$336)/SUM('Income Statement'!$B$18:$F$18)*'Income Statement'!I18</f>
        <v>15702321.403055973</v>
      </c>
      <c r="K336" s="273">
        <f>SUM($C$336:$G$336)/SUM('Income Statement'!$B$18:$F$18)*'Income Statement'!J18</f>
        <v>18094986.038106672</v>
      </c>
      <c r="L336" s="273">
        <f>SUM($C$336:$G$336)/SUM('Income Statement'!$B$18:$F$18)*'Income Statement'!K18</f>
        <v>23693331.652397264</v>
      </c>
    </row>
    <row r="340" spans="1:7" x14ac:dyDescent="0.35">
      <c r="A340" s="270" t="s">
        <v>151</v>
      </c>
    </row>
    <row r="341" spans="1:7" ht="14.5" customHeight="1" x14ac:dyDescent="0.35">
      <c r="A341" s="4" t="s">
        <v>173</v>
      </c>
      <c r="B341" s="422" t="s">
        <v>490</v>
      </c>
      <c r="C341" s="86">
        <v>8623541</v>
      </c>
      <c r="D341" s="17">
        <v>8645597</v>
      </c>
      <c r="E341" s="17">
        <v>8667709</v>
      </c>
    </row>
    <row r="342" spans="1:7" ht="29" x14ac:dyDescent="0.35">
      <c r="A342" s="4" t="s">
        <v>118</v>
      </c>
      <c r="B342" s="422"/>
      <c r="C342" s="86">
        <v>5343839</v>
      </c>
      <c r="D342" s="17">
        <v>5539605</v>
      </c>
      <c r="E342" s="17">
        <v>5114204</v>
      </c>
      <c r="F342" s="17">
        <v>3913259</v>
      </c>
      <c r="G342" s="146">
        <v>1645647</v>
      </c>
    </row>
    <row r="343" spans="1:7" x14ac:dyDescent="0.35">
      <c r="A343" s="4" t="s">
        <v>104</v>
      </c>
      <c r="B343" s="422"/>
      <c r="C343" s="86">
        <v>5421500</v>
      </c>
      <c r="D343" s="17">
        <v>5421500</v>
      </c>
      <c r="E343" s="17">
        <v>4517917</v>
      </c>
      <c r="F343" s="17">
        <v>2710751</v>
      </c>
      <c r="G343" s="146">
        <v>903584</v>
      </c>
    </row>
    <row r="344" spans="1:7" ht="29" x14ac:dyDescent="0.35">
      <c r="A344" s="4" t="s">
        <v>105</v>
      </c>
      <c r="B344" s="422"/>
      <c r="C344" s="86" t="s">
        <v>18</v>
      </c>
      <c r="D344" s="17">
        <v>1925517</v>
      </c>
      <c r="E344" s="17">
        <v>1927386</v>
      </c>
      <c r="F344" s="17">
        <v>1868317</v>
      </c>
      <c r="G344" s="146">
        <v>1633332</v>
      </c>
    </row>
    <row r="345" spans="1:7" ht="29" x14ac:dyDescent="0.35">
      <c r="A345" s="4" t="s">
        <v>116</v>
      </c>
      <c r="B345" s="422"/>
      <c r="E345" s="17">
        <v>530799</v>
      </c>
      <c r="F345" s="17">
        <v>748484</v>
      </c>
      <c r="G345" s="146">
        <v>845353</v>
      </c>
    </row>
    <row r="346" spans="1:7" ht="29" x14ac:dyDescent="0.35">
      <c r="A346" s="4" t="s">
        <v>106</v>
      </c>
      <c r="B346" s="422"/>
      <c r="C346" s="86" t="s">
        <v>18</v>
      </c>
      <c r="D346" s="17">
        <v>94266</v>
      </c>
      <c r="E346" s="17">
        <v>400000</v>
      </c>
      <c r="F346" s="17">
        <v>400000</v>
      </c>
      <c r="G346" s="146">
        <v>300000</v>
      </c>
    </row>
    <row r="347" spans="1:7" ht="29" x14ac:dyDescent="0.35">
      <c r="A347" s="4" t="s">
        <v>107</v>
      </c>
      <c r="B347" s="422"/>
      <c r="D347" s="17" t="s">
        <v>18</v>
      </c>
      <c r="E347" s="17" t="s">
        <v>18</v>
      </c>
      <c r="F347" s="17">
        <v>8730846</v>
      </c>
      <c r="G347" s="146">
        <v>8733733</v>
      </c>
    </row>
    <row r="348" spans="1:7" ht="29" x14ac:dyDescent="0.35">
      <c r="A348" s="4" t="s">
        <v>108</v>
      </c>
      <c r="B348" s="422"/>
      <c r="D348" s="17" t="s">
        <v>18</v>
      </c>
      <c r="E348" s="17" t="s">
        <v>18</v>
      </c>
      <c r="F348" s="17">
        <v>6000000</v>
      </c>
      <c r="G348" s="146">
        <v>6000000</v>
      </c>
    </row>
    <row r="349" spans="1:7" ht="29" x14ac:dyDescent="0.35">
      <c r="A349" s="4" t="s">
        <v>117</v>
      </c>
      <c r="B349" s="422"/>
      <c r="E349" s="17" t="s">
        <v>18</v>
      </c>
      <c r="F349" s="17" t="s">
        <v>18</v>
      </c>
      <c r="G349" s="146">
        <v>4112422</v>
      </c>
    </row>
    <row r="350" spans="1:7" x14ac:dyDescent="0.35">
      <c r="B350" s="422"/>
      <c r="C350" s="86">
        <f>SUM(C341:C349)</f>
        <v>19388880</v>
      </c>
      <c r="D350" s="17">
        <f>SUM(D341:D349)</f>
        <v>21626485</v>
      </c>
      <c r="E350" s="17">
        <f>SUM(E341:E349)</f>
        <v>21158015</v>
      </c>
      <c r="F350" s="17">
        <v>24371657</v>
      </c>
      <c r="G350" s="146">
        <v>24174071</v>
      </c>
    </row>
    <row r="351" spans="1:7" ht="29" x14ac:dyDescent="0.35">
      <c r="A351" s="4" t="s">
        <v>109</v>
      </c>
      <c r="B351" s="422"/>
    </row>
    <row r="352" spans="1:7" x14ac:dyDescent="0.35">
      <c r="A352" s="4" t="s">
        <v>111</v>
      </c>
      <c r="B352" s="422"/>
      <c r="C352" s="86">
        <v>0</v>
      </c>
      <c r="D352" s="17">
        <v>-932750</v>
      </c>
      <c r="E352" s="17">
        <v>-2061856</v>
      </c>
      <c r="F352" s="17">
        <v>-2644613</v>
      </c>
      <c r="G352" s="146">
        <v>-1645647</v>
      </c>
    </row>
    <row r="353" spans="1:21" x14ac:dyDescent="0.35">
      <c r="A353" s="4" t="s">
        <v>112</v>
      </c>
      <c r="B353" s="422"/>
      <c r="C353" s="86">
        <v>0</v>
      </c>
      <c r="D353" s="17">
        <v>-903583</v>
      </c>
      <c r="E353" s="17">
        <v>-1807166</v>
      </c>
      <c r="F353" s="17">
        <v>-1807166</v>
      </c>
      <c r="G353" s="146">
        <v>-903584</v>
      </c>
    </row>
    <row r="354" spans="1:21" x14ac:dyDescent="0.35">
      <c r="A354" s="4" t="s">
        <v>113</v>
      </c>
      <c r="B354" s="422"/>
      <c r="C354" s="86">
        <v>0</v>
      </c>
      <c r="D354" s="86">
        <v>0</v>
      </c>
      <c r="E354" s="17">
        <v>-60938</v>
      </c>
      <c r="F354" s="17">
        <v>-243752</v>
      </c>
      <c r="G354" s="146">
        <v>-243750</v>
      </c>
    </row>
    <row r="355" spans="1:21" ht="29" x14ac:dyDescent="0.35">
      <c r="A355" s="4" t="s">
        <v>114</v>
      </c>
      <c r="B355" s="422"/>
      <c r="C355" s="86">
        <v>0</v>
      </c>
      <c r="D355" s="86">
        <v>0</v>
      </c>
      <c r="E355" s="86">
        <v>0</v>
      </c>
      <c r="F355" s="17">
        <v>-23038</v>
      </c>
      <c r="G355" s="146">
        <v>-109020</v>
      </c>
    </row>
    <row r="356" spans="1:21" x14ac:dyDescent="0.35">
      <c r="A356" s="4" t="s">
        <v>115</v>
      </c>
      <c r="B356" s="422"/>
      <c r="C356" s="86">
        <v>0</v>
      </c>
      <c r="D356" s="86">
        <v>0</v>
      </c>
      <c r="E356" s="86">
        <v>0</v>
      </c>
      <c r="F356" s="17">
        <v>-100000</v>
      </c>
      <c r="G356" s="146">
        <v>-100000</v>
      </c>
    </row>
    <row r="357" spans="1:21" ht="29" x14ac:dyDescent="0.35">
      <c r="A357" s="165" t="s">
        <v>589</v>
      </c>
      <c r="B357" s="422"/>
      <c r="C357" s="272">
        <f t="shared" ref="C357:D357" si="67">SUM(C352:C356)</f>
        <v>0</v>
      </c>
      <c r="D357" s="272">
        <f t="shared" si="67"/>
        <v>-1836333</v>
      </c>
      <c r="E357" s="272">
        <f>SUM(E352:E356)</f>
        <v>-3929960</v>
      </c>
      <c r="F357" s="272">
        <v>-4818569</v>
      </c>
      <c r="G357" s="273">
        <v>-3002001</v>
      </c>
      <c r="H357" s="5"/>
      <c r="I357" s="5"/>
      <c r="J357" s="5"/>
      <c r="K357" s="5"/>
      <c r="L357" s="257"/>
    </row>
    <row r="358" spans="1:21" ht="29" x14ac:dyDescent="0.35">
      <c r="A358" s="4" t="s">
        <v>110</v>
      </c>
      <c r="B358" s="4" t="s">
        <v>670</v>
      </c>
      <c r="C358" s="86" t="s">
        <v>18</v>
      </c>
      <c r="D358" s="17">
        <v>0</v>
      </c>
      <c r="E358" s="17">
        <v>-146227</v>
      </c>
      <c r="F358" s="17">
        <v>-223723</v>
      </c>
      <c r="G358" s="146">
        <v>-244285</v>
      </c>
      <c r="H358" s="14">
        <f>-H365</f>
        <v>-388545.83333333337</v>
      </c>
      <c r="I358" s="14">
        <f t="shared" ref="I358:L358" si="68">-I365</f>
        <v>-435936.36111111112</v>
      </c>
      <c r="J358" s="14">
        <f t="shared" si="68"/>
        <v>-493259.88425925921</v>
      </c>
      <c r="K358" s="14">
        <f t="shared" si="68"/>
        <v>-619720.16743827157</v>
      </c>
      <c r="L358" s="14">
        <f t="shared" si="68"/>
        <v>-657243.40110596712</v>
      </c>
    </row>
    <row r="359" spans="1:21" x14ac:dyDescent="0.35">
      <c r="A359" s="165"/>
      <c r="B359" t="s">
        <v>671</v>
      </c>
      <c r="C359" s="135">
        <f>C350</f>
        <v>19388880</v>
      </c>
      <c r="D359" s="272">
        <f>D350+D357+D358</f>
        <v>19790152</v>
      </c>
      <c r="E359" s="272">
        <f>E350+E357+E358</f>
        <v>17081828</v>
      </c>
      <c r="F359" s="272">
        <f>SUM(F350,F357,F358)</f>
        <v>19329365</v>
      </c>
      <c r="G359" s="273">
        <f>SUM(G350,G357,G358)</f>
        <v>20927785</v>
      </c>
      <c r="H359" s="5"/>
      <c r="I359" s="5"/>
      <c r="J359" s="5"/>
      <c r="K359" s="5"/>
      <c r="L359" s="257"/>
    </row>
    <row r="360" spans="1:21" ht="18.5" thickBot="1" x14ac:dyDescent="0.4">
      <c r="N360" s="267">
        <v>2019</v>
      </c>
      <c r="O360" s="268">
        <v>2020</v>
      </c>
      <c r="P360" s="268">
        <v>2021</v>
      </c>
      <c r="Q360" s="268">
        <v>2022</v>
      </c>
      <c r="R360" s="269">
        <v>2023</v>
      </c>
    </row>
    <row r="361" spans="1:21" x14ac:dyDescent="0.35">
      <c r="A361" s="270" t="s">
        <v>152</v>
      </c>
      <c r="N361" s="30">
        <v>71933</v>
      </c>
      <c r="O361" s="31">
        <v>85031</v>
      </c>
      <c r="P361" s="31">
        <v>80661</v>
      </c>
      <c r="Q361" s="31">
        <v>76817</v>
      </c>
      <c r="R361" s="32">
        <v>106293</v>
      </c>
    </row>
    <row r="362" spans="1:21" x14ac:dyDescent="0.35">
      <c r="A362" s="4" t="s">
        <v>153</v>
      </c>
      <c r="D362" s="17">
        <v>0</v>
      </c>
      <c r="E362" s="17" t="s">
        <v>18</v>
      </c>
      <c r="F362" s="17">
        <v>146227</v>
      </c>
      <c r="G362" s="146">
        <v>223723</v>
      </c>
      <c r="H362" s="14">
        <f>G365</f>
        <v>244285</v>
      </c>
      <c r="I362" s="14">
        <f t="shared" ref="I362:L362" si="69">H365</f>
        <v>388545.83333333337</v>
      </c>
      <c r="J362" s="14">
        <f t="shared" si="69"/>
        <v>435936.36111111112</v>
      </c>
      <c r="K362" s="14">
        <f t="shared" si="69"/>
        <v>493259.88425925921</v>
      </c>
      <c r="L362" s="14">
        <f t="shared" si="69"/>
        <v>619720.16743827157</v>
      </c>
    </row>
    <row r="363" spans="1:21" x14ac:dyDescent="0.35">
      <c r="A363" s="4" t="s">
        <v>154</v>
      </c>
      <c r="B363" t="s">
        <v>489</v>
      </c>
      <c r="D363" s="17">
        <v>0</v>
      </c>
      <c r="E363" s="17">
        <v>159926</v>
      </c>
      <c r="F363" s="17">
        <v>107274</v>
      </c>
      <c r="G363" s="146">
        <v>79083</v>
      </c>
      <c r="H363" s="17">
        <f>TREND(E363:G363)</f>
        <v>155849.16666666669</v>
      </c>
      <c r="I363" s="17">
        <f t="shared" ref="I363:L363" si="70">TREND(F363:H363)</f>
        <v>89781.138888888891</v>
      </c>
      <c r="J363" s="17">
        <f t="shared" si="70"/>
        <v>102888.69907407407</v>
      </c>
      <c r="K363" s="17">
        <f t="shared" si="70"/>
        <v>142653.23533950621</v>
      </c>
      <c r="L363" s="17">
        <f t="shared" si="70"/>
        <v>85338.309542181087</v>
      </c>
    </row>
    <row r="364" spans="1:21" x14ac:dyDescent="0.35">
      <c r="A364" s="4" t="s">
        <v>155</v>
      </c>
      <c r="B364" t="s">
        <v>489</v>
      </c>
      <c r="D364" s="17">
        <v>0</v>
      </c>
      <c r="E364" s="17">
        <v>-13699</v>
      </c>
      <c r="F364" s="17">
        <v>-29778</v>
      </c>
      <c r="G364" s="146">
        <v>-58521</v>
      </c>
      <c r="H364" s="17">
        <f>TREND(E364:G364)</f>
        <v>-11588.333333333336</v>
      </c>
      <c r="I364" s="17">
        <f t="shared" ref="I364:L364" si="71">TREND(F364:H364)</f>
        <v>-42390.611111111109</v>
      </c>
      <c r="J364" s="17">
        <f t="shared" si="71"/>
        <v>-45565.175925925927</v>
      </c>
      <c r="K364" s="17">
        <f t="shared" si="71"/>
        <v>-16192.952160493824</v>
      </c>
      <c r="L364" s="17">
        <f t="shared" si="71"/>
        <v>-47815.075874485599</v>
      </c>
    </row>
    <row r="365" spans="1:21" x14ac:dyDescent="0.35">
      <c r="A365" s="4" t="s">
        <v>156</v>
      </c>
      <c r="D365" s="17">
        <v>0</v>
      </c>
      <c r="E365" s="17">
        <f>SUM(E362:E364)</f>
        <v>146227</v>
      </c>
      <c r="F365" s="17">
        <f t="shared" ref="F365:H365" si="72">SUM(F362:F364)</f>
        <v>223723</v>
      </c>
      <c r="G365" s="17">
        <f t="shared" si="72"/>
        <v>244285</v>
      </c>
      <c r="H365" s="17">
        <f t="shared" si="72"/>
        <v>388545.83333333337</v>
      </c>
      <c r="I365" s="17">
        <f t="shared" ref="I365" si="73">SUM(I362:I364)</f>
        <v>435936.36111111112</v>
      </c>
      <c r="J365" s="17">
        <f t="shared" ref="J365:K365" si="74">SUM(J362:J364)</f>
        <v>493259.88425925921</v>
      </c>
      <c r="K365" s="17">
        <f t="shared" si="74"/>
        <v>619720.16743827157</v>
      </c>
      <c r="L365" s="17">
        <f t="shared" ref="L365" si="75">SUM(L362:L364)</f>
        <v>657243.40110596712</v>
      </c>
    </row>
    <row r="366" spans="1:21" x14ac:dyDescent="0.35">
      <c r="A366" s="165" t="s">
        <v>157</v>
      </c>
      <c r="B366" t="s">
        <v>489</v>
      </c>
      <c r="C366" s="135"/>
      <c r="D366" s="272">
        <v>0</v>
      </c>
      <c r="E366" s="272">
        <v>0</v>
      </c>
      <c r="F366" s="272">
        <v>-39114</v>
      </c>
      <c r="G366" s="273">
        <v>-49053</v>
      </c>
      <c r="H366" s="272">
        <f>TREND(F366:G366)</f>
        <v>-39114</v>
      </c>
      <c r="I366" s="272">
        <f t="shared" ref="I366:L366" si="76">TREND(G366:H366)</f>
        <v>-49053</v>
      </c>
      <c r="J366" s="272">
        <f t="shared" si="76"/>
        <v>-39114</v>
      </c>
      <c r="K366" s="272">
        <f t="shared" si="76"/>
        <v>-49053</v>
      </c>
      <c r="L366" s="272">
        <f t="shared" si="76"/>
        <v>-39114</v>
      </c>
    </row>
    <row r="367" spans="1:21" x14ac:dyDescent="0.35">
      <c r="A367" s="165"/>
      <c r="B367" s="5"/>
      <c r="C367" s="135"/>
      <c r="D367" s="272"/>
      <c r="E367" s="272">
        <f>SUM(E365:E366)</f>
        <v>146227</v>
      </c>
      <c r="F367" s="272">
        <f>SUM(F365:F366)</f>
        <v>184609</v>
      </c>
      <c r="G367" s="273">
        <f>SUM(G365:G366)</f>
        <v>195232</v>
      </c>
      <c r="H367" s="272">
        <f>SUM(H365:H366)</f>
        <v>349431.83333333337</v>
      </c>
      <c r="I367" s="272">
        <f>SUM(I365:I366)</f>
        <v>386883.36111111112</v>
      </c>
      <c r="J367" s="272">
        <f t="shared" ref="J367:L367" si="77">SUM(J365:J366)</f>
        <v>454145.88425925921</v>
      </c>
      <c r="K367" s="272">
        <f t="shared" si="77"/>
        <v>570667.16743827157</v>
      </c>
      <c r="L367" s="272">
        <f t="shared" si="77"/>
        <v>618129.40110596712</v>
      </c>
      <c r="Q367" s="5" t="s">
        <v>593</v>
      </c>
    </row>
    <row r="368" spans="1:21" x14ac:dyDescent="0.35">
      <c r="N368" s="209" t="s">
        <v>364</v>
      </c>
      <c r="O368" s="209" t="s">
        <v>615</v>
      </c>
      <c r="P368" s="209" t="s">
        <v>338</v>
      </c>
      <c r="Q368" s="120" t="s">
        <v>405</v>
      </c>
      <c r="R368" s="209" t="s">
        <v>616</v>
      </c>
      <c r="S368" s="209" t="s">
        <v>617</v>
      </c>
      <c r="T368" s="209" t="s">
        <v>378</v>
      </c>
      <c r="U368" s="209" t="s">
        <v>618</v>
      </c>
    </row>
    <row r="369" spans="1:23" x14ac:dyDescent="0.35">
      <c r="A369" s="270" t="s">
        <v>119</v>
      </c>
      <c r="N369" s="209">
        <v>2021</v>
      </c>
      <c r="O369" s="209">
        <v>4694696</v>
      </c>
      <c r="P369" s="209">
        <v>172777</v>
      </c>
      <c r="Q369" s="209">
        <v>258300</v>
      </c>
      <c r="R369" s="209">
        <v>441236</v>
      </c>
      <c r="S369" s="209">
        <v>-1372441</v>
      </c>
      <c r="T369" s="209">
        <f>SUM(O369:S369)</f>
        <v>4194568</v>
      </c>
      <c r="U369" s="209">
        <f>-S369-Q370</f>
        <v>1137377</v>
      </c>
    </row>
    <row r="370" spans="1:23" x14ac:dyDescent="0.35">
      <c r="A370" s="165" t="s">
        <v>122</v>
      </c>
      <c r="B370" s="412" t="s">
        <v>594</v>
      </c>
      <c r="C370" s="258">
        <f>SUM(C372,-C371)</f>
        <v>5531317</v>
      </c>
      <c r="D370" s="277">
        <f>SUM(D372,-D371)</f>
        <v>4694873</v>
      </c>
      <c r="E370" s="277">
        <v>4194568</v>
      </c>
      <c r="F370" s="277">
        <v>3741194</v>
      </c>
      <c r="G370" s="278">
        <v>2487072</v>
      </c>
      <c r="H370" s="90">
        <f>O373</f>
        <v>1164235.3211974571</v>
      </c>
      <c r="I370" s="90">
        <f>O374</f>
        <v>0</v>
      </c>
      <c r="J370" s="90">
        <f t="shared" ref="J370" si="78">P374</f>
        <v>0</v>
      </c>
      <c r="K370" s="90">
        <f>Q374</f>
        <v>0</v>
      </c>
      <c r="L370" s="90">
        <f t="shared" ref="L370" si="79">R374</f>
        <v>0</v>
      </c>
      <c r="N370" s="209">
        <v>2022</v>
      </c>
      <c r="O370" s="209">
        <f>T369</f>
        <v>4194568</v>
      </c>
      <c r="P370" s="209">
        <v>44078</v>
      </c>
      <c r="Q370" s="209">
        <v>235064</v>
      </c>
      <c r="R370" s="209">
        <v>987986</v>
      </c>
      <c r="S370" s="209">
        <v>-1720502</v>
      </c>
      <c r="T370" s="209">
        <f>SUM(O370:S370)</f>
        <v>3741194</v>
      </c>
      <c r="U370" s="209">
        <f t="shared" ref="U370:U373" si="80">-S370-Q371</f>
        <v>1515518</v>
      </c>
    </row>
    <row r="371" spans="1:23" x14ac:dyDescent="0.35">
      <c r="A371" s="165" t="s">
        <v>120</v>
      </c>
      <c r="B371" s="412"/>
      <c r="C371" s="135">
        <v>-987487</v>
      </c>
      <c r="D371" s="272">
        <v>-1080561</v>
      </c>
      <c r="E371" s="272">
        <v>-1481141</v>
      </c>
      <c r="F371" s="272">
        <v>-1898636</v>
      </c>
      <c r="G371" s="273">
        <v>-1155904</v>
      </c>
      <c r="H371" s="275">
        <f>-H370</f>
        <v>-1164235.3211974571</v>
      </c>
      <c r="I371" s="276">
        <v>0</v>
      </c>
      <c r="J371" s="276">
        <v>0</v>
      </c>
      <c r="K371" s="276">
        <v>0</v>
      </c>
      <c r="L371" s="276">
        <v>0</v>
      </c>
      <c r="N371" s="209">
        <v>2023</v>
      </c>
      <c r="O371" s="209">
        <f>T370</f>
        <v>3741194</v>
      </c>
      <c r="P371" s="209">
        <v>0</v>
      </c>
      <c r="Q371" s="209">
        <v>204984</v>
      </c>
      <c r="R371" s="209">
        <v>913597</v>
      </c>
      <c r="S371" s="209">
        <v>-2372703</v>
      </c>
      <c r="T371" s="209">
        <f>SUM(O371:S371)</f>
        <v>2487072</v>
      </c>
      <c r="U371" s="209">
        <f t="shared" si="80"/>
        <v>2236433.6788025429</v>
      </c>
    </row>
    <row r="372" spans="1:23" x14ac:dyDescent="0.35">
      <c r="A372" s="165" t="s">
        <v>121</v>
      </c>
      <c r="B372" s="5"/>
      <c r="C372" s="135">
        <v>4543830</v>
      </c>
      <c r="D372" s="272">
        <v>3614312</v>
      </c>
      <c r="E372" s="272">
        <f>SUM(E370:E371)</f>
        <v>2713427</v>
      </c>
      <c r="F372" s="272">
        <f>SUM(F370:F371)</f>
        <v>1842558</v>
      </c>
      <c r="G372" s="273">
        <f>SUM(G370:G371)</f>
        <v>1331168</v>
      </c>
      <c r="H372" s="272">
        <f>SUM(H370:H371)</f>
        <v>0</v>
      </c>
      <c r="I372" s="272">
        <f>SUM(I370:I371)</f>
        <v>0</v>
      </c>
      <c r="J372" s="272">
        <f t="shared" ref="J372" si="81">SUM(J370:J371)</f>
        <v>0</v>
      </c>
      <c r="K372" s="272">
        <f>SUM(K370:K371)</f>
        <v>0</v>
      </c>
      <c r="L372" s="272">
        <f t="shared" ref="L372" si="82">SUM(L370:L371)</f>
        <v>0</v>
      </c>
      <c r="N372" s="209">
        <v>2024</v>
      </c>
      <c r="O372" s="209">
        <f>T371</f>
        <v>2487072</v>
      </c>
      <c r="P372" s="209">
        <v>0</v>
      </c>
      <c r="Q372" s="209">
        <f>IF((O372*$W$376)&lt;0,0,O372*$W$376)</f>
        <v>136269.32119745726</v>
      </c>
      <c r="R372" s="209">
        <f>R371</f>
        <v>913597</v>
      </c>
      <c r="S372" s="209">
        <f>S371</f>
        <v>-2372703</v>
      </c>
      <c r="T372" s="209">
        <f>SUM(O372:S372)</f>
        <v>1164235.3211974571</v>
      </c>
      <c r="U372" s="209">
        <f t="shared" si="80"/>
        <v>2308913.3079711078</v>
      </c>
    </row>
    <row r="373" spans="1:23" x14ac:dyDescent="0.35">
      <c r="N373" s="209">
        <v>2025</v>
      </c>
      <c r="O373" s="266">
        <f>T372</f>
        <v>1164235.3211974571</v>
      </c>
      <c r="P373" s="209">
        <v>0</v>
      </c>
      <c r="Q373" s="209">
        <f>IF((O373*$W$376)&lt;0,0,O373*$W$376)</f>
        <v>63789.692028892256</v>
      </c>
      <c r="R373" s="266">
        <f t="shared" ref="R373:R376" si="83">R372</f>
        <v>913597</v>
      </c>
      <c r="S373" s="266">
        <f>-SUM(O373:R373)</f>
        <v>-2141622.0132263494</v>
      </c>
      <c r="T373" s="266">
        <f t="shared" ref="T373:T376" si="84">SUM(O373:S373)</f>
        <v>0</v>
      </c>
      <c r="U373" s="209">
        <f t="shared" si="80"/>
        <v>2141622.0132263494</v>
      </c>
    </row>
    <row r="374" spans="1:23" x14ac:dyDescent="0.35">
      <c r="A374" s="270" t="s">
        <v>123</v>
      </c>
      <c r="N374" s="209">
        <v>2026</v>
      </c>
      <c r="O374" s="266">
        <f t="shared" ref="O374:O376" si="85">T373</f>
        <v>0</v>
      </c>
      <c r="P374" s="209">
        <v>0</v>
      </c>
      <c r="Q374" s="209">
        <f>IF((O374*$W$376)&lt;0,0,O374*$W$376)</f>
        <v>0</v>
      </c>
      <c r="R374" s="266">
        <v>0</v>
      </c>
      <c r="S374" s="266">
        <v>0</v>
      </c>
      <c r="T374" s="266">
        <f t="shared" si="84"/>
        <v>0</v>
      </c>
      <c r="U374" s="209"/>
    </row>
    <row r="375" spans="1:23" x14ac:dyDescent="0.35">
      <c r="A375" s="4" t="s">
        <v>124</v>
      </c>
      <c r="N375" s="209">
        <v>2027</v>
      </c>
      <c r="O375" s="266">
        <f t="shared" si="85"/>
        <v>0</v>
      </c>
      <c r="P375" s="209">
        <v>0</v>
      </c>
      <c r="Q375" s="209">
        <f>IF((O375*$W$376)&lt;0,0,O375*$W$376)</f>
        <v>0</v>
      </c>
      <c r="R375" s="266">
        <f t="shared" si="83"/>
        <v>0</v>
      </c>
      <c r="S375" s="266">
        <f t="shared" ref="S375:S376" si="86">S374</f>
        <v>0</v>
      </c>
      <c r="T375" s="266">
        <f t="shared" si="84"/>
        <v>0</v>
      </c>
      <c r="U375" s="209"/>
    </row>
    <row r="376" spans="1:23" x14ac:dyDescent="0.35">
      <c r="A376" s="4" t="s">
        <v>125</v>
      </c>
      <c r="C376" s="86">
        <v>5140373</v>
      </c>
      <c r="D376" s="17">
        <v>4930263</v>
      </c>
      <c r="E376" s="17">
        <v>5364818</v>
      </c>
      <c r="F376" s="17">
        <v>6131294</v>
      </c>
      <c r="G376" s="146">
        <v>5593211</v>
      </c>
      <c r="H376" s="14">
        <f>H441</f>
        <v>5431991.7999999998</v>
      </c>
      <c r="I376" s="14">
        <f t="shared" ref="I376:L376" si="87">I441</f>
        <v>5490315.5600000005</v>
      </c>
      <c r="J376" s="14">
        <f t="shared" si="87"/>
        <v>5602326.0719999997</v>
      </c>
      <c r="K376" s="14">
        <f t="shared" si="87"/>
        <v>5649827.6864</v>
      </c>
      <c r="L376" s="14">
        <f t="shared" si="87"/>
        <v>5553534.42368</v>
      </c>
      <c r="N376" s="209">
        <v>2028</v>
      </c>
      <c r="O376" s="266">
        <f t="shared" si="85"/>
        <v>0</v>
      </c>
      <c r="P376" s="209">
        <v>0</v>
      </c>
      <c r="Q376" s="209">
        <f>IF((O376*$W$376)&lt;0,0,O376*$W$376)</f>
        <v>0</v>
      </c>
      <c r="R376" s="266">
        <f t="shared" si="83"/>
        <v>0</v>
      </c>
      <c r="S376" s="266">
        <f t="shared" si="86"/>
        <v>0</v>
      </c>
      <c r="T376" s="266">
        <f t="shared" si="84"/>
        <v>0</v>
      </c>
      <c r="U376" s="209"/>
      <c r="W376" s="300">
        <f>Q371/O371</f>
        <v>5.4791064029291181E-2</v>
      </c>
    </row>
    <row r="377" spans="1:23" x14ac:dyDescent="0.35">
      <c r="A377" s="4" t="s">
        <v>126</v>
      </c>
      <c r="C377" s="86">
        <v>517392</v>
      </c>
      <c r="D377" s="17">
        <v>517392</v>
      </c>
      <c r="E377" s="17">
        <v>517392</v>
      </c>
      <c r="F377" s="17">
        <v>517392</v>
      </c>
      <c r="G377" s="146">
        <v>517392</v>
      </c>
      <c r="H377" s="14">
        <f t="shared" ref="H377:L378" si="88">H442</f>
        <v>517392</v>
      </c>
      <c r="I377" s="14">
        <f t="shared" si="88"/>
        <v>517392</v>
      </c>
      <c r="J377" s="14">
        <f t="shared" si="88"/>
        <v>517392</v>
      </c>
      <c r="K377" s="14">
        <f t="shared" si="88"/>
        <v>517392</v>
      </c>
      <c r="L377" s="14">
        <f t="shared" si="88"/>
        <v>517392</v>
      </c>
    </row>
    <row r="378" spans="1:23" x14ac:dyDescent="0.35">
      <c r="A378" s="165" t="s">
        <v>127</v>
      </c>
      <c r="B378" s="5"/>
      <c r="C378" s="135">
        <v>-5657765</v>
      </c>
      <c r="D378" s="272">
        <v>-2456263</v>
      </c>
      <c r="E378" s="272">
        <v>-4073805</v>
      </c>
      <c r="F378" s="272">
        <v>-6010879</v>
      </c>
      <c r="G378" s="273">
        <v>-6110603</v>
      </c>
      <c r="H378" s="274">
        <f t="shared" si="88"/>
        <v>-4861863</v>
      </c>
      <c r="I378" s="274">
        <f t="shared" si="88"/>
        <v>-4702682.5999999996</v>
      </c>
      <c r="J378" s="274">
        <f t="shared" si="88"/>
        <v>-5151966.5200000005</v>
      </c>
      <c r="K378" s="274">
        <f t="shared" si="88"/>
        <v>-5367598.824</v>
      </c>
      <c r="L378" s="274">
        <f t="shared" si="88"/>
        <v>-5238942.7888000002</v>
      </c>
      <c r="N378" t="s">
        <v>364</v>
      </c>
      <c r="O378">
        <v>2021</v>
      </c>
      <c r="P378">
        <v>2022</v>
      </c>
      <c r="Q378">
        <v>2023</v>
      </c>
      <c r="R378">
        <v>2024</v>
      </c>
      <c r="S378">
        <v>2025</v>
      </c>
      <c r="T378">
        <v>2026</v>
      </c>
      <c r="U378">
        <v>2027</v>
      </c>
      <c r="V378">
        <v>2028</v>
      </c>
    </row>
    <row r="379" spans="1:23" x14ac:dyDescent="0.35">
      <c r="A379" s="165"/>
      <c r="B379" s="5"/>
      <c r="C379" s="135">
        <f t="shared" ref="C379:I379" si="89">SUM(C376:C378)</f>
        <v>0</v>
      </c>
      <c r="D379" s="272">
        <f t="shared" si="89"/>
        <v>2991392</v>
      </c>
      <c r="E379" s="272">
        <f t="shared" si="89"/>
        <v>1808405</v>
      </c>
      <c r="F379" s="272">
        <f t="shared" si="89"/>
        <v>637807</v>
      </c>
      <c r="G379" s="273">
        <f t="shared" si="89"/>
        <v>0</v>
      </c>
      <c r="H379" s="272">
        <f t="shared" si="89"/>
        <v>1087520.7999999998</v>
      </c>
      <c r="I379" s="272">
        <f t="shared" si="89"/>
        <v>1305024.9600000009</v>
      </c>
      <c r="J379" s="272">
        <f t="shared" ref="J379:L379" si="90">SUM(J376:J378)</f>
        <v>967751.55199999921</v>
      </c>
      <c r="K379" s="272">
        <f t="shared" si="90"/>
        <v>799620.86239999998</v>
      </c>
      <c r="L379" s="272">
        <f t="shared" si="90"/>
        <v>831983.63487999979</v>
      </c>
      <c r="N379" t="s">
        <v>615</v>
      </c>
      <c r="O379">
        <v>4694696</v>
      </c>
      <c r="P379">
        <v>4194568</v>
      </c>
      <c r="Q379">
        <v>3741194</v>
      </c>
      <c r="R379">
        <v>2487072</v>
      </c>
      <c r="S379">
        <v>1164235.3211974571</v>
      </c>
      <c r="T379">
        <v>0</v>
      </c>
      <c r="U379">
        <v>0</v>
      </c>
      <c r="V379">
        <v>0</v>
      </c>
    </row>
    <row r="380" spans="1:23" x14ac:dyDescent="0.35">
      <c r="N380" t="s">
        <v>338</v>
      </c>
      <c r="O380">
        <v>172777</v>
      </c>
      <c r="P380">
        <v>44078</v>
      </c>
      <c r="Q380">
        <v>0</v>
      </c>
      <c r="R380">
        <v>0</v>
      </c>
      <c r="S380">
        <v>0</v>
      </c>
      <c r="T380">
        <v>0</v>
      </c>
      <c r="U380">
        <v>0</v>
      </c>
      <c r="V380">
        <v>0</v>
      </c>
    </row>
    <row r="381" spans="1:23" x14ac:dyDescent="0.35">
      <c r="A381" s="270" t="s">
        <v>128</v>
      </c>
      <c r="B381" s="5"/>
      <c r="C381" s="135">
        <f>IF(C398&lt;0,0,C398)</f>
        <v>0</v>
      </c>
      <c r="D381" s="135">
        <f t="shared" ref="D381:L381" si="91">IF(D398&lt;0,0,D398)</f>
        <v>1199672</v>
      </c>
      <c r="E381" s="135">
        <f t="shared" si="91"/>
        <v>2048549</v>
      </c>
      <c r="F381" s="135">
        <f t="shared" si="91"/>
        <v>2155320</v>
      </c>
      <c r="G381" s="135">
        <f t="shared" si="91"/>
        <v>3048430</v>
      </c>
      <c r="H381" s="135">
        <f t="shared" si="91"/>
        <v>211186.59999999963</v>
      </c>
      <c r="I381" s="135">
        <f t="shared" si="91"/>
        <v>939339.39999999944</v>
      </c>
      <c r="J381" s="135">
        <f t="shared" si="91"/>
        <v>1667492.2000000002</v>
      </c>
      <c r="K381" s="135">
        <f t="shared" si="91"/>
        <v>2395645.0000000005</v>
      </c>
      <c r="L381" s="135">
        <f t="shared" si="91"/>
        <v>3123797.8</v>
      </c>
      <c r="N381" t="s">
        <v>405</v>
      </c>
      <c r="O381">
        <v>258300</v>
      </c>
      <c r="P381">
        <v>235064</v>
      </c>
      <c r="Q381">
        <v>204984</v>
      </c>
      <c r="R381">
        <v>136269.32119745726</v>
      </c>
      <c r="S381">
        <v>63789.692028892256</v>
      </c>
      <c r="T381">
        <v>0</v>
      </c>
      <c r="U381">
        <v>0</v>
      </c>
      <c r="V381">
        <v>0</v>
      </c>
    </row>
    <row r="382" spans="1:23" x14ac:dyDescent="0.35">
      <c r="A382" s="7" t="s">
        <v>129</v>
      </c>
      <c r="N382" t="s">
        <v>616</v>
      </c>
      <c r="O382">
        <v>441236</v>
      </c>
      <c r="P382">
        <v>987986</v>
      </c>
      <c r="Q382">
        <v>913597</v>
      </c>
      <c r="R382">
        <v>913597</v>
      </c>
      <c r="S382">
        <v>913597</v>
      </c>
      <c r="T382">
        <v>0</v>
      </c>
      <c r="U382">
        <v>0</v>
      </c>
      <c r="V382">
        <v>0</v>
      </c>
    </row>
    <row r="383" spans="1:23" x14ac:dyDescent="0.35">
      <c r="A383" s="4" t="s">
        <v>131</v>
      </c>
      <c r="B383" s="410" t="s">
        <v>548</v>
      </c>
      <c r="C383" s="86">
        <v>3338459</v>
      </c>
      <c r="D383" s="18">
        <v>3508219</v>
      </c>
      <c r="E383" s="17">
        <v>4436093</v>
      </c>
      <c r="F383" s="17">
        <v>5165732</v>
      </c>
      <c r="G383" s="146">
        <v>6007202</v>
      </c>
      <c r="H383" s="8"/>
      <c r="I383" s="9"/>
      <c r="J383" s="9"/>
      <c r="N383" s="86" t="s">
        <v>617</v>
      </c>
      <c r="O383" s="86">
        <v>-1372441</v>
      </c>
      <c r="P383">
        <v>-1720502</v>
      </c>
      <c r="Q383">
        <v>-2372703</v>
      </c>
      <c r="R383">
        <v>-2372703</v>
      </c>
      <c r="S383">
        <v>-2141622.0132263494</v>
      </c>
      <c r="T383">
        <v>0</v>
      </c>
      <c r="U383">
        <v>0</v>
      </c>
      <c r="V383">
        <v>0</v>
      </c>
    </row>
    <row r="384" spans="1:23" x14ac:dyDescent="0.35">
      <c r="A384" s="7" t="s">
        <v>130</v>
      </c>
      <c r="B384" s="410"/>
      <c r="D384" s="18"/>
      <c r="H384" s="11"/>
      <c r="I384" s="8"/>
      <c r="J384" s="8"/>
      <c r="N384" s="86" t="s">
        <v>378</v>
      </c>
      <c r="O384">
        <v>4194568</v>
      </c>
      <c r="P384">
        <v>3741194</v>
      </c>
      <c r="Q384">
        <v>2487072</v>
      </c>
      <c r="R384">
        <v>1164235.3211974571</v>
      </c>
      <c r="S384">
        <v>0</v>
      </c>
      <c r="T384">
        <v>0</v>
      </c>
      <c r="U384">
        <v>0</v>
      </c>
      <c r="V384">
        <v>0</v>
      </c>
    </row>
    <row r="385" spans="1:19" x14ac:dyDescent="0.35">
      <c r="A385" s="4" t="s">
        <v>351</v>
      </c>
      <c r="B385" s="410"/>
      <c r="C385" s="86">
        <v>558991</v>
      </c>
      <c r="D385" s="18"/>
      <c r="H385" s="11"/>
      <c r="I385" s="8"/>
      <c r="J385" s="8"/>
      <c r="N385" s="86" t="s">
        <v>618</v>
      </c>
      <c r="O385">
        <v>1137377</v>
      </c>
      <c r="P385">
        <v>1515518</v>
      </c>
      <c r="Q385">
        <v>2236433.6788025429</v>
      </c>
      <c r="R385">
        <v>2308913.3079711078</v>
      </c>
      <c r="S385">
        <v>2141622.0132263494</v>
      </c>
    </row>
    <row r="386" spans="1:19" x14ac:dyDescent="0.35">
      <c r="A386" s="4" t="s">
        <v>352</v>
      </c>
      <c r="B386" s="410"/>
      <c r="C386" s="86">
        <v>369179</v>
      </c>
      <c r="D386" s="18"/>
      <c r="H386" s="11"/>
      <c r="I386" s="8"/>
      <c r="J386" s="8"/>
      <c r="N386" s="86"/>
    </row>
    <row r="387" spans="1:19" x14ac:dyDescent="0.35">
      <c r="A387" s="4" t="s">
        <v>132</v>
      </c>
      <c r="B387" s="410"/>
      <c r="C387" s="86">
        <v>128170</v>
      </c>
      <c r="D387" s="18">
        <v>145728</v>
      </c>
      <c r="E387" s="17">
        <v>166970</v>
      </c>
      <c r="F387" s="17">
        <v>211203</v>
      </c>
      <c r="G387" s="146">
        <v>451480</v>
      </c>
      <c r="H387" s="8"/>
      <c r="I387" s="9"/>
      <c r="J387" s="9"/>
      <c r="N387" s="86"/>
    </row>
    <row r="388" spans="1:19" x14ac:dyDescent="0.35">
      <c r="A388" s="4" t="s">
        <v>133</v>
      </c>
      <c r="B388" s="410"/>
      <c r="C388" s="86">
        <v>783120</v>
      </c>
      <c r="D388" s="18">
        <v>685820</v>
      </c>
      <c r="E388" s="17">
        <v>622505</v>
      </c>
      <c r="F388" s="17">
        <v>560834</v>
      </c>
      <c r="G388" s="146">
        <v>440128</v>
      </c>
      <c r="H388" s="8"/>
      <c r="I388" s="9"/>
      <c r="J388" s="9"/>
      <c r="N388" s="137"/>
    </row>
    <row r="389" spans="1:19" x14ac:dyDescent="0.35">
      <c r="A389" s="4" t="s">
        <v>134</v>
      </c>
      <c r="B389" s="410"/>
      <c r="C389" s="86">
        <f>1451279+102345+2055</f>
        <v>1555679</v>
      </c>
      <c r="D389" s="18">
        <v>1419169</v>
      </c>
      <c r="E389" s="17">
        <v>1540239</v>
      </c>
      <c r="F389" s="17">
        <v>2173226</v>
      </c>
      <c r="G389" s="146">
        <v>1989393</v>
      </c>
      <c r="H389" s="8"/>
      <c r="I389" s="9"/>
      <c r="J389" s="9"/>
      <c r="N389" s="14"/>
      <c r="O389" s="14"/>
    </row>
    <row r="390" spans="1:19" x14ac:dyDescent="0.35">
      <c r="A390" s="4" t="s">
        <v>135</v>
      </c>
      <c r="B390" s="410"/>
      <c r="C390" s="137">
        <v>57830</v>
      </c>
      <c r="D390" s="18">
        <v>57830</v>
      </c>
      <c r="E390" s="17">
        <v>57830</v>
      </c>
      <c r="F390" s="17">
        <v>65149</v>
      </c>
      <c r="G390" s="146">
        <v>77771</v>
      </c>
      <c r="H390" s="8"/>
      <c r="I390" s="9"/>
      <c r="J390" s="9"/>
      <c r="O390" s="14"/>
    </row>
    <row r="391" spans="1:19" x14ac:dyDescent="0.35">
      <c r="C391" s="137">
        <f>-SUM(C385:C390)</f>
        <v>-3452969</v>
      </c>
      <c r="D391" s="18">
        <f>-SUM(D387:D390)</f>
        <v>-2308547</v>
      </c>
      <c r="E391" s="17">
        <v>-2387544</v>
      </c>
      <c r="F391" s="17">
        <v>-3010412</v>
      </c>
      <c r="G391" s="146">
        <v>-2958772</v>
      </c>
      <c r="H391" s="11"/>
      <c r="I391" s="9"/>
      <c r="J391" s="9"/>
      <c r="N391" s="14"/>
      <c r="O391" s="18"/>
    </row>
    <row r="392" spans="1:19" x14ac:dyDescent="0.35">
      <c r="C392" s="137">
        <f>C391+C383</f>
        <v>-114510</v>
      </c>
      <c r="D392" s="18">
        <f>D391+D383</f>
        <v>1199672</v>
      </c>
      <c r="E392" s="17">
        <f>SUM(E383,E391)</f>
        <v>2048549</v>
      </c>
      <c r="F392" s="17">
        <f>SUM(F383,F391)</f>
        <v>2155320</v>
      </c>
      <c r="G392" s="146">
        <f>SUM(G383,G391)</f>
        <v>3048430</v>
      </c>
      <c r="H392" s="11"/>
      <c r="I392" s="9"/>
      <c r="J392" s="9"/>
      <c r="N392" s="18"/>
    </row>
    <row r="393" spans="1:19" x14ac:dyDescent="0.35">
      <c r="D393" s="138"/>
      <c r="H393" s="10"/>
      <c r="I393" s="10"/>
      <c r="J393" s="10"/>
      <c r="N393" s="18"/>
    </row>
    <row r="394" spans="1:19" x14ac:dyDescent="0.35">
      <c r="A394" s="6" t="s">
        <v>548</v>
      </c>
      <c r="D394" s="138"/>
      <c r="H394" s="10"/>
      <c r="I394" s="10"/>
      <c r="J394" s="10"/>
      <c r="N394" s="18"/>
    </row>
    <row r="395" spans="1:19" x14ac:dyDescent="0.35">
      <c r="A395" s="4" t="s">
        <v>544</v>
      </c>
      <c r="B395" t="s">
        <v>549</v>
      </c>
      <c r="C395" s="259" t="s">
        <v>18</v>
      </c>
      <c r="D395" s="260">
        <f>C398</f>
        <v>-114510</v>
      </c>
      <c r="E395" s="260">
        <f t="shared" ref="E395:F395" si="92">D398</f>
        <v>1199672</v>
      </c>
      <c r="F395" s="260">
        <f t="shared" si="92"/>
        <v>2048549</v>
      </c>
      <c r="G395" s="260">
        <f>F398</f>
        <v>2155320</v>
      </c>
      <c r="H395" s="260">
        <f>G398</f>
        <v>3048430</v>
      </c>
      <c r="I395" s="260">
        <f t="shared" ref="I395:L395" si="93">H398</f>
        <v>211186.59999999963</v>
      </c>
      <c r="J395" s="260">
        <f t="shared" si="93"/>
        <v>939339.39999999944</v>
      </c>
      <c r="K395" s="260">
        <f t="shared" si="93"/>
        <v>1667492.2000000002</v>
      </c>
      <c r="L395" s="260">
        <f t="shared" si="93"/>
        <v>2395645.0000000005</v>
      </c>
      <c r="N395" s="18"/>
    </row>
    <row r="396" spans="1:19" x14ac:dyDescent="0.35">
      <c r="A396" s="4" t="s">
        <v>545</v>
      </c>
      <c r="B396" t="s">
        <v>547</v>
      </c>
      <c r="C396" s="259">
        <f>C383</f>
        <v>3338459</v>
      </c>
      <c r="D396" s="259">
        <f>D383</f>
        <v>3508219</v>
      </c>
      <c r="E396" s="259">
        <f t="shared" ref="E396:G396" si="94">E383</f>
        <v>4436093</v>
      </c>
      <c r="F396" s="259">
        <f t="shared" si="94"/>
        <v>5165732</v>
      </c>
      <c r="G396" s="259">
        <f t="shared" si="94"/>
        <v>6007202</v>
      </c>
      <c r="H396" s="261" cm="1">
        <f t="array" ref="H396:L396">TREND(C396:G396)</f>
        <v>3092141.1999999997</v>
      </c>
      <c r="I396" s="261">
        <v>3791641.0999999996</v>
      </c>
      <c r="J396" s="261">
        <v>4491141</v>
      </c>
      <c r="K396" s="262">
        <v>5190640.9000000004</v>
      </c>
      <c r="L396" s="263">
        <v>5890140.7999999998</v>
      </c>
      <c r="N396" s="18"/>
    </row>
    <row r="397" spans="1:19" x14ac:dyDescent="0.35">
      <c r="A397" s="4" t="s">
        <v>546</v>
      </c>
      <c r="B397" t="s">
        <v>547</v>
      </c>
      <c r="C397" s="259">
        <f>C391</f>
        <v>-3452969</v>
      </c>
      <c r="D397" s="259">
        <f>D391</f>
        <v>-2308547</v>
      </c>
      <c r="E397" s="259">
        <f t="shared" ref="E397:G397" si="95">E391</f>
        <v>-2387544</v>
      </c>
      <c r="F397" s="259">
        <f t="shared" si="95"/>
        <v>-3010412</v>
      </c>
      <c r="G397" s="259">
        <f t="shared" si="95"/>
        <v>-2958772</v>
      </c>
      <c r="H397" s="261" cm="1">
        <f t="array" ref="H397:L397">TREND(C397:G397)</f>
        <v>-2880954.6</v>
      </c>
      <c r="I397" s="261">
        <v>-2852301.7</v>
      </c>
      <c r="J397" s="261">
        <v>-2823648.8</v>
      </c>
      <c r="K397" s="262">
        <v>-2794995.9</v>
      </c>
      <c r="L397" s="263">
        <v>-2766343</v>
      </c>
      <c r="N397" s="18"/>
    </row>
    <row r="398" spans="1:19" x14ac:dyDescent="0.35">
      <c r="A398" s="4" t="s">
        <v>551</v>
      </c>
      <c r="B398" t="s">
        <v>550</v>
      </c>
      <c r="C398" s="264">
        <f>SUM(C396:C397)</f>
        <v>-114510</v>
      </c>
      <c r="D398" s="264">
        <f>SUM(D396:D397)</f>
        <v>1199672</v>
      </c>
      <c r="E398" s="264">
        <f>SUM(E396:E397)</f>
        <v>2048549</v>
      </c>
      <c r="F398" s="264">
        <f t="shared" ref="F398:G398" si="96">SUM(F396:F397)</f>
        <v>2155320</v>
      </c>
      <c r="G398" s="264">
        <f t="shared" si="96"/>
        <v>3048430</v>
      </c>
      <c r="H398" s="264">
        <f t="shared" ref="H398" si="97">SUM(H396:H397)</f>
        <v>211186.59999999963</v>
      </c>
      <c r="I398" s="264">
        <f t="shared" ref="I398" si="98">SUM(I396:I397)</f>
        <v>939339.39999999944</v>
      </c>
      <c r="J398" s="264">
        <f t="shared" ref="J398" si="99">SUM(J396:J397)</f>
        <v>1667492.2000000002</v>
      </c>
      <c r="K398" s="264">
        <f t="shared" ref="K398" si="100">SUM(K396:K397)</f>
        <v>2395645.0000000005</v>
      </c>
      <c r="L398" s="264">
        <f t="shared" ref="L398" si="101">SUM(L396:L397)</f>
        <v>3123797.8</v>
      </c>
      <c r="N398" s="18"/>
    </row>
    <row r="399" spans="1:19" x14ac:dyDescent="0.35">
      <c r="D399" s="138"/>
      <c r="H399" s="10"/>
      <c r="I399" s="10"/>
      <c r="J399" s="10"/>
      <c r="N399" s="18"/>
    </row>
    <row r="400" spans="1:19" x14ac:dyDescent="0.35">
      <c r="D400" s="138"/>
      <c r="H400" s="10"/>
      <c r="I400" s="10"/>
      <c r="J400" s="10"/>
      <c r="N400" s="18"/>
    </row>
    <row r="401" spans="1:15" x14ac:dyDescent="0.35">
      <c r="D401" s="138"/>
      <c r="H401" s="10"/>
      <c r="I401" s="10"/>
      <c r="J401" s="10"/>
      <c r="N401" s="18"/>
    </row>
    <row r="402" spans="1:15" x14ac:dyDescent="0.35">
      <c r="A402" s="270" t="s">
        <v>148</v>
      </c>
      <c r="H402" s="8"/>
      <c r="I402" s="9"/>
      <c r="J402" s="9"/>
      <c r="N402" s="18"/>
    </row>
    <row r="403" spans="1:15" x14ac:dyDescent="0.35">
      <c r="A403" s="4" t="s">
        <v>136</v>
      </c>
      <c r="B403" t="s">
        <v>553</v>
      </c>
      <c r="C403" s="86">
        <v>2844907</v>
      </c>
      <c r="D403" s="18">
        <v>3257735</v>
      </c>
      <c r="E403" s="17">
        <v>4342257</v>
      </c>
      <c r="F403" s="17">
        <v>3789796</v>
      </c>
      <c r="G403" s="146">
        <v>2887396</v>
      </c>
      <c r="H403" s="128">
        <f>$M$403*H459</f>
        <v>5563267.2853185181</v>
      </c>
      <c r="I403" s="128">
        <f t="shared" ref="I403:L403" si="102">$M$403*I459</f>
        <v>5415271.4515096825</v>
      </c>
      <c r="J403" s="128">
        <f t="shared" si="102"/>
        <v>6164019.2520072665</v>
      </c>
      <c r="K403" s="128">
        <f t="shared" si="102"/>
        <v>7053502.5490475195</v>
      </c>
      <c r="L403" s="128">
        <f t="shared" si="102"/>
        <v>7883556.1919488767</v>
      </c>
      <c r="M403" s="265">
        <f>AVERAGE(C403/(C459),D403/(D459),E403/(E459),F403/(F459),G403/(G459))</f>
        <v>0.15159833245818932</v>
      </c>
      <c r="N403" s="18"/>
    </row>
    <row r="404" spans="1:15" ht="17.5" customHeight="1" x14ac:dyDescent="0.35">
      <c r="A404" s="4" t="s">
        <v>137</v>
      </c>
      <c r="B404" t="s">
        <v>554</v>
      </c>
      <c r="C404" s="86">
        <v>2637665</v>
      </c>
      <c r="D404" s="18">
        <v>3963070</v>
      </c>
      <c r="E404" s="17">
        <v>4792866</v>
      </c>
      <c r="F404" s="17">
        <v>6150831</v>
      </c>
      <c r="G404" s="146">
        <v>9260256</v>
      </c>
      <c r="H404" s="128">
        <f>$M$404*(SUM(H505,H528,H518))</f>
        <v>6846169.4075926095</v>
      </c>
      <c r="I404" s="128">
        <f t="shared" ref="I404:L404" si="103">$M$404*(SUM(I505,I528,I518))</f>
        <v>6545387.6423530048</v>
      </c>
      <c r="J404" s="128">
        <f t="shared" si="103"/>
        <v>6975204.8772208113</v>
      </c>
      <c r="K404" s="128">
        <f t="shared" si="103"/>
        <v>8526384.8593081012</v>
      </c>
      <c r="L404" s="128">
        <f t="shared" si="103"/>
        <v>8989450.8364060689</v>
      </c>
      <c r="M404" s="265">
        <f>AVERAGE(C404/($C$505+$C$518+$C$528),D404/($D$505+$D$518+$D$528),E404/($E$505+$E$518+$E$528),F404/($F$505+$F$518+$F$528),G404/($G$505+$G$518+$G$528))</f>
        <v>1.6873740312691954</v>
      </c>
      <c r="N404" s="14"/>
      <c r="O404" s="14"/>
    </row>
    <row r="405" spans="1:15" x14ac:dyDescent="0.35">
      <c r="A405" s="4" t="s">
        <v>138</v>
      </c>
      <c r="B405" t="s">
        <v>555</v>
      </c>
      <c r="C405" s="86">
        <v>904882</v>
      </c>
      <c r="D405" s="18">
        <v>1916550</v>
      </c>
      <c r="E405" s="17">
        <v>1994373</v>
      </c>
      <c r="F405" s="17">
        <v>4500182</v>
      </c>
      <c r="G405" s="146">
        <v>1876553</v>
      </c>
      <c r="H405" s="128">
        <f>$M$405*H455</f>
        <v>2797657.1982335746</v>
      </c>
      <c r="I405" s="128">
        <f t="shared" ref="I405:L405" si="104">$M$405*I455</f>
        <v>2722273.5260490105</v>
      </c>
      <c r="J405" s="128">
        <f t="shared" si="104"/>
        <v>3090756.1162330094</v>
      </c>
      <c r="K405" s="128">
        <f t="shared" si="104"/>
        <v>3467876.6885819668</v>
      </c>
      <c r="L405" s="128">
        <f t="shared" si="104"/>
        <v>3849708.8043903215</v>
      </c>
      <c r="M405" s="265">
        <f>AVERAGE(C405/C455,D405/D455,E405/E455,F405/F455,G405/G455)</f>
        <v>3.6917449143460998E-2</v>
      </c>
      <c r="N405" s="14"/>
    </row>
    <row r="406" spans="1:15" x14ac:dyDescent="0.35">
      <c r="A406" s="4" t="s">
        <v>139</v>
      </c>
      <c r="B406" t="s">
        <v>470</v>
      </c>
      <c r="C406" s="86">
        <v>1545</v>
      </c>
      <c r="D406" s="18">
        <v>1240</v>
      </c>
      <c r="E406" s="17">
        <v>500</v>
      </c>
      <c r="F406" s="17">
        <v>5398</v>
      </c>
      <c r="G406" s="146">
        <v>12208</v>
      </c>
      <c r="H406" s="128">
        <f t="shared" ref="H406:H413" si="105">AVERAGE(C406:G406)</f>
        <v>4178.2</v>
      </c>
      <c r="I406" s="128">
        <f t="shared" ref="I406:L409" si="106">AVERAGE(D406:H406)</f>
        <v>4704.84</v>
      </c>
      <c r="J406" s="128">
        <f t="shared" si="106"/>
        <v>5397.808</v>
      </c>
      <c r="K406" s="128">
        <f t="shared" si="106"/>
        <v>6377.3696</v>
      </c>
      <c r="L406" s="128">
        <f t="shared" si="106"/>
        <v>6573.2435200000009</v>
      </c>
      <c r="O406" s="14"/>
    </row>
    <row r="407" spans="1:15" x14ac:dyDescent="0.35">
      <c r="A407" s="4" t="s">
        <v>140</v>
      </c>
      <c r="B407" t="s">
        <v>470</v>
      </c>
      <c r="C407" s="86">
        <v>34120</v>
      </c>
      <c r="D407" s="18">
        <v>5200</v>
      </c>
      <c r="E407" s="17">
        <v>4900</v>
      </c>
      <c r="F407" s="17">
        <v>7400</v>
      </c>
      <c r="G407" s="146">
        <v>20400</v>
      </c>
      <c r="H407" s="128">
        <f t="shared" si="105"/>
        <v>14404</v>
      </c>
      <c r="I407" s="128">
        <f t="shared" si="106"/>
        <v>10460.799999999999</v>
      </c>
      <c r="J407" s="128">
        <f t="shared" si="106"/>
        <v>11512.960000000001</v>
      </c>
      <c r="K407" s="128">
        <f t="shared" si="106"/>
        <v>12835.552</v>
      </c>
      <c r="L407" s="128">
        <f t="shared" si="106"/>
        <v>13922.662400000001</v>
      </c>
    </row>
    <row r="408" spans="1:15" x14ac:dyDescent="0.35">
      <c r="A408" s="4" t="s">
        <v>141</v>
      </c>
      <c r="B408" t="s">
        <v>470</v>
      </c>
      <c r="C408" s="86" t="s">
        <v>18</v>
      </c>
      <c r="D408" s="18">
        <v>14520</v>
      </c>
      <c r="E408" s="17">
        <v>19127</v>
      </c>
      <c r="F408" s="17">
        <v>23969</v>
      </c>
      <c r="H408" s="128">
        <f t="shared" si="105"/>
        <v>19205.333333333332</v>
      </c>
      <c r="I408" s="128">
        <f t="shared" si="106"/>
        <v>19205.333333333332</v>
      </c>
      <c r="J408" s="128">
        <f t="shared" si="106"/>
        <v>20376.666666666664</v>
      </c>
      <c r="K408" s="128">
        <f t="shared" si="106"/>
        <v>20689.083333333328</v>
      </c>
      <c r="L408" s="128">
        <f t="shared" si="106"/>
        <v>19869.104166666664</v>
      </c>
    </row>
    <row r="409" spans="1:15" x14ac:dyDescent="0.35">
      <c r="A409" s="4" t="s">
        <v>142</v>
      </c>
      <c r="B409" t="s">
        <v>470</v>
      </c>
      <c r="C409" s="86">
        <v>258</v>
      </c>
      <c r="D409" s="18">
        <v>7442</v>
      </c>
      <c r="E409" s="17">
        <v>7133</v>
      </c>
      <c r="F409" s="17">
        <v>10231</v>
      </c>
      <c r="G409" s="146">
        <v>1933</v>
      </c>
      <c r="H409" s="128">
        <f t="shared" si="105"/>
        <v>5399.4</v>
      </c>
      <c r="I409" s="128">
        <f t="shared" si="106"/>
        <v>6427.68</v>
      </c>
      <c r="J409" s="128">
        <f t="shared" si="106"/>
        <v>6224.8160000000007</v>
      </c>
      <c r="K409" s="128">
        <f t="shared" si="106"/>
        <v>6043.1792000000005</v>
      </c>
      <c r="L409" s="128">
        <f t="shared" si="106"/>
        <v>5205.6150399999997</v>
      </c>
    </row>
    <row r="410" spans="1:15" x14ac:dyDescent="0.35">
      <c r="A410" s="4" t="s">
        <v>143</v>
      </c>
      <c r="B410" t="s">
        <v>470</v>
      </c>
      <c r="D410" s="18" t="s">
        <v>18</v>
      </c>
      <c r="E410" s="17">
        <v>2056</v>
      </c>
      <c r="F410" s="17">
        <v>2217</v>
      </c>
      <c r="G410" s="146">
        <v>1775</v>
      </c>
      <c r="H410" s="128">
        <f>AVERAGE(E410:G410)</f>
        <v>2016</v>
      </c>
      <c r="I410" s="128">
        <f t="shared" ref="I410:L410" si="107">AVERAGE(F410:H410)</f>
        <v>2002.6666666666667</v>
      </c>
      <c r="J410" s="128">
        <f t="shared" si="107"/>
        <v>1931.2222222222224</v>
      </c>
      <c r="K410" s="128">
        <f t="shared" si="107"/>
        <v>1983.2962962962965</v>
      </c>
      <c r="L410" s="128">
        <f t="shared" si="107"/>
        <v>1972.3950617283954</v>
      </c>
    </row>
    <row r="411" spans="1:15" x14ac:dyDescent="0.35">
      <c r="A411" s="4" t="s">
        <v>144</v>
      </c>
      <c r="B411" t="s">
        <v>470</v>
      </c>
      <c r="C411" s="86">
        <v>73199</v>
      </c>
      <c r="D411" s="18">
        <v>149825</v>
      </c>
      <c r="E411" s="17">
        <v>325222</v>
      </c>
      <c r="F411" s="17">
        <v>379289</v>
      </c>
      <c r="G411" s="146">
        <v>255955</v>
      </c>
      <c r="H411" s="128">
        <f t="shared" si="105"/>
        <v>236698</v>
      </c>
      <c r="I411" s="128">
        <f t="shared" ref="I411:I413" si="108">AVERAGE(D411:H411)</f>
        <v>269397.8</v>
      </c>
      <c r="J411" s="128">
        <f t="shared" ref="J411:J413" si="109">AVERAGE(E411:I411)</f>
        <v>293312.36</v>
      </c>
      <c r="K411" s="128">
        <f t="shared" ref="K411:K413" si="110">AVERAGE(F411:J411)</f>
        <v>286930.43200000003</v>
      </c>
      <c r="L411" s="128">
        <f t="shared" ref="L411:L413" si="111">AVERAGE(G411:K411)</f>
        <v>268458.71840000001</v>
      </c>
    </row>
    <row r="412" spans="1:15" x14ac:dyDescent="0.35">
      <c r="A412" s="4" t="s">
        <v>145</v>
      </c>
      <c r="B412" t="s">
        <v>470</v>
      </c>
      <c r="C412" s="86">
        <v>22</v>
      </c>
      <c r="D412" s="18">
        <v>8841</v>
      </c>
      <c r="E412" s="17">
        <v>0</v>
      </c>
      <c r="F412" s="17">
        <v>0</v>
      </c>
      <c r="G412" s="146">
        <v>22742</v>
      </c>
      <c r="H412" s="128">
        <f t="shared" si="105"/>
        <v>6321</v>
      </c>
      <c r="I412" s="128">
        <f t="shared" si="108"/>
        <v>7580.8</v>
      </c>
      <c r="J412" s="128">
        <f t="shared" si="109"/>
        <v>7328.76</v>
      </c>
      <c r="K412" s="128">
        <f t="shared" si="110"/>
        <v>8794.5120000000006</v>
      </c>
      <c r="L412" s="128">
        <f t="shared" si="111"/>
        <v>10553.414400000001</v>
      </c>
    </row>
    <row r="413" spans="1:15" x14ac:dyDescent="0.35">
      <c r="A413" s="4" t="s">
        <v>146</v>
      </c>
      <c r="B413" t="s">
        <v>470</v>
      </c>
      <c r="C413" s="86">
        <v>35133</v>
      </c>
      <c r="D413" s="18">
        <v>126944</v>
      </c>
      <c r="E413" s="17">
        <v>27195</v>
      </c>
      <c r="F413" s="17">
        <v>13697</v>
      </c>
      <c r="G413" s="146">
        <v>12491</v>
      </c>
      <c r="H413" s="128">
        <f t="shared" si="105"/>
        <v>43092</v>
      </c>
      <c r="I413" s="128">
        <f t="shared" si="108"/>
        <v>44683.8</v>
      </c>
      <c r="J413" s="128">
        <f t="shared" si="109"/>
        <v>28231.759999999998</v>
      </c>
      <c r="K413" s="128">
        <f t="shared" si="110"/>
        <v>28439.112000000001</v>
      </c>
      <c r="L413" s="128">
        <f t="shared" si="111"/>
        <v>31387.534399999997</v>
      </c>
    </row>
    <row r="414" spans="1:15" x14ac:dyDescent="0.35">
      <c r="A414" s="4" t="s">
        <v>147</v>
      </c>
      <c r="B414" t="s">
        <v>552</v>
      </c>
      <c r="C414" s="86">
        <v>8086</v>
      </c>
      <c r="D414" s="18">
        <v>7363</v>
      </c>
      <c r="E414" s="17">
        <v>17563</v>
      </c>
      <c r="F414" s="17">
        <v>33135</v>
      </c>
      <c r="G414" s="146">
        <v>38716</v>
      </c>
      <c r="H414" s="128">
        <f>SUM($C$414:$G$414)/SUM($C$528:$G$528)*H528</f>
        <v>23737.384207898773</v>
      </c>
      <c r="I414" s="128">
        <f t="shared" ref="I414:L414" si="112">SUM($C$414:$G$414)/SUM($C$528:$G$528)*I528</f>
        <v>25235.423688313665</v>
      </c>
      <c r="J414" s="128">
        <f t="shared" si="112"/>
        <v>27743.067284258315</v>
      </c>
      <c r="K414" s="128">
        <f t="shared" si="112"/>
        <v>30084.624633299263</v>
      </c>
      <c r="L414" s="128">
        <f t="shared" si="112"/>
        <v>29117.497554162124</v>
      </c>
      <c r="M414" s="265"/>
    </row>
    <row r="415" spans="1:15" x14ac:dyDescent="0.35">
      <c r="A415" s="165"/>
      <c r="B415" s="5"/>
      <c r="C415" s="135">
        <f t="shared" ref="C415:I415" si="113">SUM(C403:C414)</f>
        <v>6539817</v>
      </c>
      <c r="D415" s="272">
        <f t="shared" si="113"/>
        <v>9458730</v>
      </c>
      <c r="E415" s="272">
        <f t="shared" si="113"/>
        <v>11533192</v>
      </c>
      <c r="F415" s="272">
        <f t="shared" si="113"/>
        <v>14916145</v>
      </c>
      <c r="G415" s="273">
        <f t="shared" si="113"/>
        <v>14390425</v>
      </c>
      <c r="H415" s="272">
        <f t="shared" si="113"/>
        <v>15562145.208685935</v>
      </c>
      <c r="I415" s="272">
        <f t="shared" si="113"/>
        <v>15072631.763600012</v>
      </c>
      <c r="J415" s="272">
        <f t="shared" ref="J415:L415" si="114">SUM(J403:J414)</f>
        <v>16632039.665634234</v>
      </c>
      <c r="K415" s="272">
        <f t="shared" si="114"/>
        <v>19449941.258000515</v>
      </c>
      <c r="L415" s="272">
        <f t="shared" si="114"/>
        <v>21109776.017687827</v>
      </c>
    </row>
    <row r="417" spans="1:12" x14ac:dyDescent="0.35">
      <c r="A417" s="270" t="s">
        <v>158</v>
      </c>
    </row>
    <row r="418" spans="1:12" x14ac:dyDescent="0.35">
      <c r="A418" s="4" t="s">
        <v>159</v>
      </c>
      <c r="B418" t="s">
        <v>470</v>
      </c>
      <c r="C418" s="135">
        <v>61049</v>
      </c>
      <c r="D418" s="272">
        <v>79539</v>
      </c>
      <c r="E418" s="272">
        <v>98298</v>
      </c>
      <c r="F418" s="272">
        <v>74278</v>
      </c>
      <c r="G418" s="273">
        <v>85166</v>
      </c>
      <c r="H418" s="274">
        <f>AVERAGE(C418:G418)</f>
        <v>79666</v>
      </c>
      <c r="I418" s="274">
        <f t="shared" ref="I418:L418" si="115">AVERAGE(D418:H418)</f>
        <v>83389.399999999994</v>
      </c>
      <c r="J418" s="274">
        <f t="shared" si="115"/>
        <v>84159.48000000001</v>
      </c>
      <c r="K418" s="274">
        <f t="shared" si="115"/>
        <v>81331.775999999998</v>
      </c>
      <c r="L418" s="274">
        <f t="shared" si="115"/>
        <v>82742.531199999998</v>
      </c>
    </row>
    <row r="420" spans="1:12" x14ac:dyDescent="0.35">
      <c r="A420" s="270" t="s">
        <v>160</v>
      </c>
    </row>
    <row r="421" spans="1:12" x14ac:dyDescent="0.35">
      <c r="A421" s="4" t="s">
        <v>161</v>
      </c>
      <c r="B421" t="s">
        <v>489</v>
      </c>
      <c r="C421" s="86">
        <v>296836</v>
      </c>
      <c r="D421" s="17">
        <v>0</v>
      </c>
      <c r="E421" s="17">
        <v>0</v>
      </c>
      <c r="F421" s="17">
        <v>0</v>
      </c>
      <c r="G421" s="146">
        <v>2618621</v>
      </c>
      <c r="H421" cm="1">
        <f t="array" ref="H421:L421">IF(TREND(C421:G421)&lt;0,0,TREND(C421:G421))</f>
        <v>0</v>
      </c>
      <c r="I421">
        <v>118734.40000000026</v>
      </c>
      <c r="J421">
        <v>583091.4</v>
      </c>
      <c r="K421">
        <v>1047448.4</v>
      </c>
      <c r="L421" s="120">
        <v>1511805.4</v>
      </c>
    </row>
    <row r="422" spans="1:12" x14ac:dyDescent="0.35">
      <c r="A422" s="4" t="s">
        <v>162</v>
      </c>
      <c r="B422" t="s">
        <v>489</v>
      </c>
      <c r="C422" s="86">
        <v>0</v>
      </c>
      <c r="D422" s="17">
        <v>0</v>
      </c>
      <c r="E422" s="17">
        <v>0</v>
      </c>
      <c r="F422" s="17">
        <v>0</v>
      </c>
      <c r="G422" s="146">
        <v>4583105</v>
      </c>
      <c r="H422" cm="1">
        <f t="array" ref="H422:L422">IF(TREND(C422:G422)&lt;0,0,TREND(C422:G422))</f>
        <v>0</v>
      </c>
      <c r="I422" s="12">
        <v>2.3283064365386963E-10</v>
      </c>
      <c r="J422">
        <v>916621</v>
      </c>
      <c r="K422">
        <v>1833242</v>
      </c>
      <c r="L422" s="120">
        <v>2749862.9999999995</v>
      </c>
    </row>
    <row r="423" spans="1:12" x14ac:dyDescent="0.35">
      <c r="A423" s="4" t="s">
        <v>163</v>
      </c>
      <c r="B423" t="s">
        <v>489</v>
      </c>
      <c r="C423" s="86">
        <v>200000</v>
      </c>
      <c r="D423" s="17">
        <v>0</v>
      </c>
      <c r="E423" s="17">
        <v>474360</v>
      </c>
      <c r="F423" s="17">
        <v>474360</v>
      </c>
      <c r="G423" s="146">
        <v>324360</v>
      </c>
      <c r="H423" cm="1">
        <f t="array" ref="H423:L423">IF(TREND(C423:G423)&lt;0,0,TREND(C423:G423))</f>
        <v>150000.00000000006</v>
      </c>
      <c r="I423">
        <v>222308.00000000003</v>
      </c>
      <c r="J423">
        <v>294616</v>
      </c>
      <c r="K423">
        <v>366924</v>
      </c>
      <c r="L423" s="120">
        <v>439232</v>
      </c>
    </row>
    <row r="424" spans="1:12" x14ac:dyDescent="0.35">
      <c r="A424" s="4" t="s">
        <v>353</v>
      </c>
      <c r="B424" s="5" t="s">
        <v>685</v>
      </c>
      <c r="C424" s="86">
        <v>1662000</v>
      </c>
      <c r="D424" s="17">
        <v>0</v>
      </c>
      <c r="E424" s="146">
        <v>0</v>
      </c>
      <c r="F424" s="146">
        <v>0</v>
      </c>
      <c r="G424" s="146">
        <v>0</v>
      </c>
      <c r="H424">
        <f>H691</f>
        <v>17960876.074915946</v>
      </c>
      <c r="I424">
        <f t="shared" ref="I424:L424" si="116">I691</f>
        <v>25125946.510330439</v>
      </c>
      <c r="J424">
        <f t="shared" si="116"/>
        <v>41482935.793050736</v>
      </c>
      <c r="K424">
        <f t="shared" si="116"/>
        <v>106696399.41549416</v>
      </c>
      <c r="L424">
        <f t="shared" si="116"/>
        <v>200078822.3883945</v>
      </c>
    </row>
    <row r="425" spans="1:12" x14ac:dyDescent="0.35">
      <c r="A425" s="165"/>
      <c r="B425" s="5"/>
      <c r="C425" s="135">
        <f>SUM(C421:C424)</f>
        <v>2158836</v>
      </c>
      <c r="D425" s="272"/>
      <c r="E425" s="272">
        <v>474360</v>
      </c>
      <c r="F425" s="272">
        <f>SUM(F421:F423)</f>
        <v>474360</v>
      </c>
      <c r="G425" s="273">
        <f>SUM(G421:G424)</f>
        <v>7526086</v>
      </c>
      <c r="H425" s="273">
        <f t="shared" ref="H425:L425" si="117">SUM(H421:H424)</f>
        <v>18110876.074915946</v>
      </c>
      <c r="I425" s="273">
        <f t="shared" si="117"/>
        <v>25466988.910330441</v>
      </c>
      <c r="J425" s="273">
        <f t="shared" si="117"/>
        <v>43277264.193050735</v>
      </c>
      <c r="K425" s="273">
        <f t="shared" si="117"/>
        <v>109944013.81549416</v>
      </c>
      <c r="L425" s="273">
        <f t="shared" si="117"/>
        <v>204779722.78839451</v>
      </c>
    </row>
    <row r="427" spans="1:12" x14ac:dyDescent="0.35">
      <c r="A427" s="270" t="s">
        <v>164</v>
      </c>
    </row>
    <row r="428" spans="1:12" x14ac:dyDescent="0.35">
      <c r="A428" s="4" t="s">
        <v>165</v>
      </c>
    </row>
    <row r="429" spans="1:12" x14ac:dyDescent="0.35">
      <c r="A429" s="4" t="s">
        <v>166</v>
      </c>
      <c r="B429" t="s">
        <v>520</v>
      </c>
      <c r="C429" s="86">
        <v>332563</v>
      </c>
      <c r="D429" s="17">
        <v>425112</v>
      </c>
      <c r="E429" s="17">
        <v>427798</v>
      </c>
      <c r="F429" s="17">
        <v>354530</v>
      </c>
      <c r="G429" s="146">
        <v>447056</v>
      </c>
      <c r="H429" s="14">
        <f>AVERAGE(C429:G429)</f>
        <v>397411.8</v>
      </c>
      <c r="I429" s="14">
        <f t="shared" ref="I429:L429" si="118">AVERAGE(D429:H429)</f>
        <v>410381.56</v>
      </c>
      <c r="J429" s="14">
        <f t="shared" si="118"/>
        <v>407435.47200000001</v>
      </c>
      <c r="K429" s="14">
        <f t="shared" si="118"/>
        <v>403362.96640000003</v>
      </c>
      <c r="L429" s="14">
        <f t="shared" si="118"/>
        <v>413129.55968000006</v>
      </c>
    </row>
    <row r="430" spans="1:12" x14ac:dyDescent="0.35">
      <c r="A430" s="4" t="s">
        <v>167</v>
      </c>
      <c r="B430" t="s">
        <v>520</v>
      </c>
      <c r="C430" s="86">
        <v>33709</v>
      </c>
      <c r="D430" s="17">
        <v>0</v>
      </c>
      <c r="E430" s="17">
        <v>2146</v>
      </c>
      <c r="F430" s="17">
        <v>12046</v>
      </c>
      <c r="G430" s="146">
        <v>9938</v>
      </c>
      <c r="H430" s="14">
        <f>AVERAGE(C430:G430)</f>
        <v>11567.8</v>
      </c>
      <c r="I430" s="14">
        <f t="shared" ref="I430:L430" si="119">AVERAGE(D430:H430)</f>
        <v>7139.56</v>
      </c>
      <c r="J430" s="14">
        <f t="shared" si="119"/>
        <v>8567.4719999999998</v>
      </c>
      <c r="K430" s="14">
        <f t="shared" si="119"/>
        <v>9851.7664000000004</v>
      </c>
      <c r="L430" s="14">
        <f t="shared" si="119"/>
        <v>9412.9196800000009</v>
      </c>
    </row>
    <row r="431" spans="1:12" x14ac:dyDescent="0.35">
      <c r="A431" s="165"/>
      <c r="B431" s="5"/>
      <c r="C431" s="135">
        <f t="shared" ref="C431:H431" si="120">SUM(C429:C430)</f>
        <v>366272</v>
      </c>
      <c r="D431" s="272">
        <f t="shared" si="120"/>
        <v>425112</v>
      </c>
      <c r="E431" s="272">
        <f t="shared" si="120"/>
        <v>429944</v>
      </c>
      <c r="F431" s="272">
        <f t="shared" si="120"/>
        <v>366576</v>
      </c>
      <c r="G431" s="273">
        <f t="shared" si="120"/>
        <v>456994</v>
      </c>
      <c r="H431" s="272">
        <f t="shared" si="120"/>
        <v>408979.6</v>
      </c>
      <c r="I431" s="272">
        <f t="shared" ref="I431:L431" si="121">SUM(I429:I430)</f>
        <v>417521.12</v>
      </c>
      <c r="J431" s="272">
        <f t="shared" si="121"/>
        <v>416002.94400000002</v>
      </c>
      <c r="K431" s="272">
        <f t="shared" si="121"/>
        <v>413214.73280000006</v>
      </c>
      <c r="L431" s="272">
        <f t="shared" si="121"/>
        <v>422542.47936000006</v>
      </c>
    </row>
    <row r="433" spans="1:12" x14ac:dyDescent="0.35">
      <c r="A433" s="270" t="s">
        <v>168</v>
      </c>
      <c r="B433" t="s">
        <v>681</v>
      </c>
      <c r="C433" s="279">
        <v>31333</v>
      </c>
      <c r="D433" s="279">
        <v>28149</v>
      </c>
      <c r="E433" s="279">
        <v>1029514</v>
      </c>
      <c r="F433" s="279">
        <v>1174365</v>
      </c>
      <c r="G433" s="279">
        <v>705550</v>
      </c>
      <c r="H433" s="274">
        <f>SUM($C$433:$G$433)/SUM($C$611:$G$611)*H611</f>
        <v>271505.5398407809</v>
      </c>
      <c r="I433" s="274">
        <f t="shared" ref="I433:L433" si="122">SUM($C$433:$G$433)/SUM($C$611:$G$611)*I611</f>
        <v>258118.19255395734</v>
      </c>
      <c r="J433" s="274">
        <f t="shared" si="122"/>
        <v>298383.27589013125</v>
      </c>
      <c r="K433" s="274">
        <f t="shared" si="122"/>
        <v>343849.87242622994</v>
      </c>
      <c r="L433" s="274">
        <f t="shared" si="122"/>
        <v>450232.40409648826</v>
      </c>
    </row>
    <row r="434" spans="1:12" x14ac:dyDescent="0.35">
      <c r="A434" s="165"/>
      <c r="C434" s="135"/>
      <c r="D434" s="272"/>
      <c r="E434" s="272"/>
      <c r="F434" s="272"/>
      <c r="G434" s="273"/>
      <c r="H434" s="5"/>
      <c r="I434" s="5"/>
      <c r="J434" s="5"/>
      <c r="K434" s="5"/>
      <c r="L434" s="5"/>
    </row>
    <row r="435" spans="1:12" x14ac:dyDescent="0.35">
      <c r="A435" s="270" t="s">
        <v>169</v>
      </c>
      <c r="B435" t="s">
        <v>674</v>
      </c>
      <c r="C435" s="135">
        <v>0</v>
      </c>
      <c r="D435" s="272">
        <v>0</v>
      </c>
      <c r="E435" s="272">
        <v>1013864</v>
      </c>
      <c r="F435" s="272">
        <v>2901371</v>
      </c>
      <c r="G435" s="273">
        <v>236222</v>
      </c>
      <c r="H435" s="274">
        <f>SUM($C$435:$G$435)/SUM($C$573:$G$573)*H573</f>
        <v>834412.9767158333</v>
      </c>
      <c r="I435" s="274">
        <f t="shared" ref="I435:L435" si="123">SUM($C$435:$G$435)/SUM($C$573:$G$573)*I573</f>
        <v>937520.24492188252</v>
      </c>
      <c r="J435" s="274">
        <f t="shared" si="123"/>
        <v>1013489.6447783908</v>
      </c>
      <c r="K435" s="274">
        <f t="shared" si="123"/>
        <v>996772.98041016038</v>
      </c>
      <c r="L435" s="274">
        <f t="shared" si="123"/>
        <v>973224.91952487896</v>
      </c>
    </row>
    <row r="436" spans="1:12" x14ac:dyDescent="0.35">
      <c r="A436" s="165"/>
      <c r="C436" s="135"/>
      <c r="D436" s="272"/>
      <c r="E436" s="272"/>
      <c r="F436" s="272"/>
      <c r="G436" s="273"/>
      <c r="H436" s="5"/>
      <c r="I436" s="5"/>
      <c r="J436" s="5"/>
      <c r="K436" s="5"/>
      <c r="L436" s="257"/>
    </row>
    <row r="437" spans="1:12" x14ac:dyDescent="0.35">
      <c r="A437" s="270" t="s">
        <v>357</v>
      </c>
      <c r="B437" t="s">
        <v>595</v>
      </c>
      <c r="C437" s="135">
        <v>154</v>
      </c>
      <c r="D437" s="272"/>
      <c r="E437" s="272"/>
      <c r="F437" s="272"/>
      <c r="G437" s="273"/>
      <c r="H437" s="5"/>
      <c r="I437" s="5"/>
      <c r="J437" s="5"/>
      <c r="K437" s="5"/>
      <c r="L437" s="257"/>
    </row>
    <row r="439" spans="1:12" x14ac:dyDescent="0.35">
      <c r="A439" s="270" t="s">
        <v>123</v>
      </c>
    </row>
    <row r="440" spans="1:12" x14ac:dyDescent="0.35">
      <c r="A440" s="4" t="s">
        <v>124</v>
      </c>
    </row>
    <row r="441" spans="1:12" x14ac:dyDescent="0.35">
      <c r="A441" s="4" t="s">
        <v>125</v>
      </c>
      <c r="C441" s="86">
        <v>5140373</v>
      </c>
      <c r="D441" s="17">
        <v>4930263</v>
      </c>
      <c r="E441" s="17">
        <v>5364818</v>
      </c>
      <c r="F441" s="17">
        <v>6131294</v>
      </c>
      <c r="G441" s="146">
        <v>5593211</v>
      </c>
      <c r="H441" s="14">
        <f>AVERAGE(C441:G441)</f>
        <v>5431991.7999999998</v>
      </c>
      <c r="I441" s="14">
        <f t="shared" ref="I441:L441" si="124">AVERAGE(D441:H441)</f>
        <v>5490315.5600000005</v>
      </c>
      <c r="J441" s="14">
        <f t="shared" si="124"/>
        <v>5602326.0719999997</v>
      </c>
      <c r="K441" s="14">
        <f t="shared" si="124"/>
        <v>5649827.6864</v>
      </c>
      <c r="L441" s="14">
        <f t="shared" si="124"/>
        <v>5553534.42368</v>
      </c>
    </row>
    <row r="442" spans="1:12" x14ac:dyDescent="0.35">
      <c r="A442" s="4" t="s">
        <v>126</v>
      </c>
      <c r="C442" s="86">
        <v>517392</v>
      </c>
      <c r="D442" s="17">
        <v>517392</v>
      </c>
      <c r="E442" s="17">
        <v>517392</v>
      </c>
      <c r="F442" s="17">
        <v>517392</v>
      </c>
      <c r="G442" s="146">
        <v>517392</v>
      </c>
      <c r="H442" s="14">
        <f>AVERAGE(C442:G442)</f>
        <v>517392</v>
      </c>
      <c r="I442" s="14">
        <f t="shared" ref="I442:L442" si="125">AVERAGE(D442:H442)</f>
        <v>517392</v>
      </c>
      <c r="J442" s="14">
        <f t="shared" si="125"/>
        <v>517392</v>
      </c>
      <c r="K442" s="14">
        <f t="shared" si="125"/>
        <v>517392</v>
      </c>
      <c r="L442" s="14">
        <f t="shared" si="125"/>
        <v>517392</v>
      </c>
    </row>
    <row r="443" spans="1:12" x14ac:dyDescent="0.35">
      <c r="A443" s="271" t="s">
        <v>127</v>
      </c>
      <c r="B443" s="5"/>
      <c r="C443" s="135">
        <v>-5657765</v>
      </c>
      <c r="D443" s="272">
        <v>-2456263</v>
      </c>
      <c r="E443" s="272">
        <v>-4073805</v>
      </c>
      <c r="F443" s="272">
        <v>-6010879</v>
      </c>
      <c r="G443" s="273">
        <v>-6110603</v>
      </c>
      <c r="H443" s="274">
        <f>AVERAGE(C443:G443)</f>
        <v>-4861863</v>
      </c>
      <c r="I443" s="274">
        <f t="shared" ref="I443:L443" si="126">AVERAGE(D443:H443)</f>
        <v>-4702682.5999999996</v>
      </c>
      <c r="J443" s="274">
        <f t="shared" si="126"/>
        <v>-5151966.5200000005</v>
      </c>
      <c r="K443" s="274">
        <f t="shared" si="126"/>
        <v>-5367598.824</v>
      </c>
      <c r="L443" s="274">
        <f t="shared" si="126"/>
        <v>-5238942.7888000002</v>
      </c>
    </row>
    <row r="444" spans="1:12" x14ac:dyDescent="0.35">
      <c r="A444" s="165"/>
      <c r="B444" s="5"/>
      <c r="C444" s="135">
        <f t="shared" ref="C444:I444" si="127">SUM(C441:C443)</f>
        <v>0</v>
      </c>
      <c r="D444" s="272">
        <f t="shared" si="127"/>
        <v>2991392</v>
      </c>
      <c r="E444" s="272">
        <f t="shared" si="127"/>
        <v>1808405</v>
      </c>
      <c r="F444" s="272">
        <f t="shared" si="127"/>
        <v>637807</v>
      </c>
      <c r="G444" s="273">
        <f t="shared" si="127"/>
        <v>0</v>
      </c>
      <c r="H444" s="272">
        <f t="shared" si="127"/>
        <v>1087520.7999999998</v>
      </c>
      <c r="I444" s="272">
        <f t="shared" si="127"/>
        <v>1305024.9600000009</v>
      </c>
      <c r="J444" s="272">
        <f t="shared" ref="J444:L444" si="128">SUM(J441:J443)</f>
        <v>967751.55199999921</v>
      </c>
      <c r="K444" s="272">
        <f t="shared" si="128"/>
        <v>799620.86239999998</v>
      </c>
      <c r="L444" s="272">
        <f t="shared" si="128"/>
        <v>831983.63487999979</v>
      </c>
    </row>
    <row r="446" spans="1:12" x14ac:dyDescent="0.35">
      <c r="A446" s="270" t="s">
        <v>175</v>
      </c>
      <c r="C446" s="139"/>
      <c r="D446" s="140"/>
      <c r="E446" s="140"/>
      <c r="F446" s="140"/>
      <c r="G446" s="151"/>
      <c r="H446" s="129"/>
      <c r="I446" s="80"/>
    </row>
    <row r="447" spans="1:12" x14ac:dyDescent="0.35">
      <c r="A447" s="4" t="s">
        <v>177</v>
      </c>
      <c r="B447" t="s">
        <v>376</v>
      </c>
      <c r="C447" s="86">
        <v>44223191</v>
      </c>
      <c r="D447" s="17">
        <v>42002709</v>
      </c>
      <c r="E447" s="17">
        <v>77442765</v>
      </c>
      <c r="F447" s="17">
        <v>92990439</v>
      </c>
      <c r="G447" s="146">
        <v>89862918</v>
      </c>
      <c r="H447" s="12">
        <f>Regression!C11</f>
        <v>82029147.660311937</v>
      </c>
      <c r="I447" s="12">
        <f>Regression!C12</f>
        <v>79460814.317109287</v>
      </c>
      <c r="J447" s="12">
        <f>Regression!C13</f>
        <v>90649901.734410644</v>
      </c>
      <c r="K447" s="12">
        <f>Regression!C14</f>
        <v>100521982.15100497</v>
      </c>
      <c r="L447" s="160">
        <f>Regression!C15</f>
        <v>111450059.05508977</v>
      </c>
    </row>
    <row r="448" spans="1:12" x14ac:dyDescent="0.35">
      <c r="A448" s="4" t="s">
        <v>176</v>
      </c>
    </row>
    <row r="449" spans="1:17" x14ac:dyDescent="0.35">
      <c r="A449" s="4" t="s">
        <v>512</v>
      </c>
      <c r="B449" t="s">
        <v>486</v>
      </c>
      <c r="C449" s="27">
        <v>6404399</v>
      </c>
      <c r="D449" s="28">
        <v>6118942</v>
      </c>
      <c r="E449" s="28">
        <v>11115481</v>
      </c>
      <c r="F449" s="28">
        <v>13188768</v>
      </c>
      <c r="G449" s="29">
        <v>13464502</v>
      </c>
      <c r="H449" s="121">
        <f>SUM($C$449:$G$449)/SUM($C$447:$G$447)*H447</f>
        <v>11905209.9979204</v>
      </c>
      <c r="I449" s="121">
        <f t="shared" ref="I449:L449" si="129">SUM($C$449:$G$449)/SUM($C$447:$G$447)*I447</f>
        <v>11532457.76694382</v>
      </c>
      <c r="J449" s="121">
        <f t="shared" si="129"/>
        <v>13156373.645476244</v>
      </c>
      <c r="K449" s="121">
        <f t="shared" si="129"/>
        <v>14589147.163526304</v>
      </c>
      <c r="L449" s="121">
        <f t="shared" si="129"/>
        <v>16175181.568702746</v>
      </c>
    </row>
    <row r="450" spans="1:17" x14ac:dyDescent="0.35">
      <c r="A450" s="4" t="s">
        <v>511</v>
      </c>
      <c r="B450" t="s">
        <v>486</v>
      </c>
      <c r="C450" s="30">
        <v>523257</v>
      </c>
      <c r="D450" s="31">
        <v>795459</v>
      </c>
      <c r="E450" s="31">
        <v>1194308</v>
      </c>
      <c r="F450" s="31">
        <v>2297964</v>
      </c>
      <c r="G450" s="32">
        <v>2575010</v>
      </c>
      <c r="H450" s="121">
        <f>SUM($C$450:$G$450)/SUM($C$447:$G$447)*H447</f>
        <v>1748423.1364688524</v>
      </c>
      <c r="I450" s="121">
        <f t="shared" ref="I450:K450" si="130">SUM($C$450:$G$450)/SUM($C$447:$G$447)*I447</f>
        <v>1693679.9925072023</v>
      </c>
      <c r="J450" s="121">
        <f t="shared" si="130"/>
        <v>1932171.551597819</v>
      </c>
      <c r="K450" s="121">
        <f t="shared" si="130"/>
        <v>2142591.558360924</v>
      </c>
      <c r="L450" s="121">
        <f>SUM($C$450:$G$450)/SUM($C$447:$G$447)*L447</f>
        <v>2375519.7679204787</v>
      </c>
    </row>
    <row r="451" spans="1:17" x14ac:dyDescent="0.35">
      <c r="C451" s="141">
        <f t="shared" ref="C451:D451" si="131">-SUM(C449:C450)</f>
        <v>-6927656</v>
      </c>
      <c r="D451" s="33">
        <f t="shared" si="131"/>
        <v>-6914401</v>
      </c>
      <c r="E451" s="33">
        <f>-SUM(E449:E450)</f>
        <v>-12309789</v>
      </c>
      <c r="F451" s="33">
        <f>-SUM(F449:F450)</f>
        <v>-15486732</v>
      </c>
      <c r="G451" s="152">
        <f>-SUM(G449:G450)</f>
        <v>-16039512</v>
      </c>
      <c r="H451" s="33">
        <f>-SUM(H449:H450)</f>
        <v>-13653633.134389251</v>
      </c>
      <c r="I451" s="33">
        <f>-SUM(I449:I450)</f>
        <v>-13226137.759451022</v>
      </c>
      <c r="J451" s="33">
        <f t="shared" ref="J451:L451" si="132">-SUM(J449:J450)</f>
        <v>-15088545.197074063</v>
      </c>
      <c r="K451" s="33">
        <f t="shared" si="132"/>
        <v>-16731738.721887227</v>
      </c>
      <c r="L451" s="152">
        <f t="shared" si="132"/>
        <v>-18550701.336623225</v>
      </c>
    </row>
    <row r="452" spans="1:17" x14ac:dyDescent="0.35">
      <c r="C452" s="86">
        <f t="shared" ref="C452:D452" si="133">SUM(C447,C451)</f>
        <v>37295535</v>
      </c>
      <c r="D452" s="17">
        <f t="shared" si="133"/>
        <v>35088308</v>
      </c>
      <c r="E452" s="17">
        <f>SUM(E447,E451)</f>
        <v>65132976</v>
      </c>
      <c r="F452" s="17">
        <f>SUM(F447,F451)</f>
        <v>77503707</v>
      </c>
      <c r="G452" s="146">
        <f>SUM(G447,G451)</f>
        <v>73823406</v>
      </c>
      <c r="H452" s="23">
        <f>SUM(H447,H451)</f>
        <v>68375514.525922686</v>
      </c>
      <c r="I452" s="23">
        <f t="shared" ref="I452:L452" si="134">SUM(I447,I451)</f>
        <v>66234676.557658263</v>
      </c>
      <c r="J452" s="23">
        <f t="shared" si="134"/>
        <v>75561356.537336588</v>
      </c>
      <c r="K452" s="23">
        <f t="shared" si="134"/>
        <v>83790243.429117739</v>
      </c>
      <c r="L452" s="146">
        <f t="shared" si="134"/>
        <v>92899357.71846655</v>
      </c>
    </row>
    <row r="453" spans="1:17" x14ac:dyDescent="0.35">
      <c r="A453" s="4" t="s">
        <v>178</v>
      </c>
      <c r="B453" t="s">
        <v>376</v>
      </c>
      <c r="C453" s="86">
        <v>469164</v>
      </c>
      <c r="D453" s="17">
        <v>158059</v>
      </c>
      <c r="E453" s="17">
        <v>4805957</v>
      </c>
      <c r="F453" s="17">
        <v>4479059</v>
      </c>
      <c r="G453" s="146">
        <v>7294749</v>
      </c>
      <c r="H453" s="12">
        <f>Regression!C33</f>
        <v>7317665.4541452993</v>
      </c>
      <c r="I453" s="12">
        <f>Regression!C34</f>
        <v>7410021.5714749806</v>
      </c>
      <c r="J453" s="12">
        <f>Regression!C35</f>
        <v>8058070.3032716857</v>
      </c>
      <c r="K453" s="12">
        <f>Regression!C36</f>
        <v>10037893.209920056</v>
      </c>
      <c r="L453" s="160">
        <f>Regression!C37</f>
        <v>11265112.56313844</v>
      </c>
    </row>
    <row r="454" spans="1:17" x14ac:dyDescent="0.35">
      <c r="A454" s="4" t="s">
        <v>179</v>
      </c>
      <c r="B454" t="s">
        <v>672</v>
      </c>
      <c r="C454" s="30">
        <v>71933</v>
      </c>
      <c r="D454" s="31">
        <v>85031</v>
      </c>
      <c r="E454" s="31">
        <v>80661</v>
      </c>
      <c r="F454" s="31">
        <v>76817</v>
      </c>
      <c r="G454" s="32">
        <v>106293</v>
      </c>
      <c r="H454" s="39">
        <v>88253.004694721152</v>
      </c>
      <c r="I454" s="39">
        <v>94782.501564482649</v>
      </c>
      <c r="J454" s="39">
        <v>101311.94127096643</v>
      </c>
      <c r="K454" s="39">
        <v>107841.30748330941</v>
      </c>
      <c r="L454" s="82">
        <v>114370.58387232639</v>
      </c>
    </row>
    <row r="455" spans="1:17" ht="15" thickBot="1" x14ac:dyDescent="0.4">
      <c r="A455" s="165"/>
      <c r="B455" s="5"/>
      <c r="C455" s="280">
        <f t="shared" ref="C455:D455" si="135">SUM(C452:C454)</f>
        <v>37836632</v>
      </c>
      <c r="D455" s="281">
        <f t="shared" si="135"/>
        <v>35331398</v>
      </c>
      <c r="E455" s="281">
        <f>SUM(E452:E454)</f>
        <v>70019594</v>
      </c>
      <c r="F455" s="281">
        <f>SUM(F452:F454)</f>
        <v>82059583</v>
      </c>
      <c r="G455" s="282">
        <f>SUM(G452:G454)</f>
        <v>81224448</v>
      </c>
      <c r="H455" s="281">
        <f>SUM(H452:H454)</f>
        <v>75781432.984762698</v>
      </c>
      <c r="I455" s="281">
        <f t="shared" ref="I455:L455" si="136">SUM(I452:I454)</f>
        <v>73739480.630697727</v>
      </c>
      <c r="J455" s="281">
        <f t="shared" si="136"/>
        <v>83720738.781879231</v>
      </c>
      <c r="K455" s="281">
        <f t="shared" si="136"/>
        <v>93935977.946521103</v>
      </c>
      <c r="L455" s="282">
        <f t="shared" si="136"/>
        <v>104278840.86547732</v>
      </c>
    </row>
    <row r="456" spans="1:17" ht="15" thickTop="1" x14ac:dyDescent="0.35"/>
    <row r="457" spans="1:17" x14ac:dyDescent="0.35">
      <c r="A457" s="270" t="s">
        <v>180</v>
      </c>
      <c r="M457" s="38"/>
    </row>
    <row r="458" spans="1:17" x14ac:dyDescent="0.35">
      <c r="A458" s="4" t="s">
        <v>182</v>
      </c>
      <c r="C458" s="86">
        <v>15856</v>
      </c>
      <c r="D458" s="18">
        <v>25120</v>
      </c>
      <c r="E458" s="17">
        <v>28354</v>
      </c>
      <c r="F458" s="17">
        <v>56008</v>
      </c>
      <c r="G458" s="146" t="s">
        <v>18</v>
      </c>
      <c r="H458" s="125">
        <f>'IS Assumptions'!G14</f>
        <v>431254</v>
      </c>
      <c r="I458" s="125">
        <f>'IS Assumptions'!H14</f>
        <v>135184</v>
      </c>
      <c r="J458" s="125">
        <f>'IS Assumptions'!I14</f>
        <v>162700</v>
      </c>
      <c r="K458" s="125">
        <f>'IS Assumptions'!J14</f>
        <v>196286.5</v>
      </c>
      <c r="L458" s="161">
        <f>'IS Assumptions'!K14</f>
        <v>231356.125</v>
      </c>
      <c r="Q458" t="s">
        <v>673</v>
      </c>
    </row>
    <row r="459" spans="1:17" x14ac:dyDescent="0.35">
      <c r="A459" s="4" t="s">
        <v>183</v>
      </c>
      <c r="B459" s="88" t="s">
        <v>461</v>
      </c>
      <c r="C459" s="86">
        <v>17274480</v>
      </c>
      <c r="D459" s="18">
        <v>11425736</v>
      </c>
      <c r="E459" s="17">
        <v>31987105</v>
      </c>
      <c r="F459" s="17">
        <v>37915000</v>
      </c>
      <c r="G459" s="146">
        <v>39839676</v>
      </c>
      <c r="H459" s="125">
        <f>'IS Assumptions'!G15</f>
        <v>36697417.412905</v>
      </c>
      <c r="I459" s="125">
        <f>'IS Assumptions'!H15</f>
        <v>35721180.857996635</v>
      </c>
      <c r="J459" s="125">
        <f>'IS Assumptions'!I15</f>
        <v>40660204.845639035</v>
      </c>
      <c r="K459" s="125">
        <f>'IS Assumptions'!J15</f>
        <v>46527573.454627998</v>
      </c>
      <c r="L459" s="161">
        <f>'IS Assumptions'!K15</f>
        <v>52002921.563290641</v>
      </c>
    </row>
    <row r="460" spans="1:17" x14ac:dyDescent="0.35">
      <c r="A460" s="4" t="s">
        <v>184</v>
      </c>
      <c r="B460" s="88" t="s">
        <v>461</v>
      </c>
      <c r="C460" s="86">
        <v>1503316</v>
      </c>
      <c r="D460" s="18">
        <v>1622575</v>
      </c>
      <c r="E460" s="17">
        <v>2199965</v>
      </c>
      <c r="F460" s="17">
        <v>1828058</v>
      </c>
      <c r="G460" s="146">
        <v>2020350</v>
      </c>
      <c r="H460" s="125">
        <f>'IS Assumptions'!G16</f>
        <v>2390984.5273813982</v>
      </c>
      <c r="I460" s="125">
        <f>'IS Assumptions'!H16</f>
        <v>2599380.4959165957</v>
      </c>
      <c r="J460" s="125">
        <f>'IS Assumptions'!I16</f>
        <v>2722102.5209465185</v>
      </c>
      <c r="K460" s="125">
        <f>'IS Assumptions'!J16</f>
        <v>3040593.0880523063</v>
      </c>
      <c r="L460" s="161">
        <f>'IS Assumptions'!K16</f>
        <v>3220688.3779029236</v>
      </c>
    </row>
    <row r="461" spans="1:17" x14ac:dyDescent="0.35">
      <c r="A461" s="4" t="s">
        <v>185</v>
      </c>
      <c r="B461" s="88" t="s">
        <v>461</v>
      </c>
      <c r="C461" s="86">
        <v>6299932</v>
      </c>
      <c r="D461" s="18">
        <v>5033762</v>
      </c>
      <c r="E461" s="17">
        <v>7159270</v>
      </c>
      <c r="F461" s="17">
        <v>8557549</v>
      </c>
      <c r="G461" s="146">
        <v>11856064</v>
      </c>
      <c r="H461" s="125">
        <f>Regression!Q142</f>
        <v>12104006.477978462</v>
      </c>
      <c r="I461" s="125">
        <f>Regression!R142</f>
        <v>12458277.820002416</v>
      </c>
      <c r="J461" s="125">
        <f>Regression!S142</f>
        <v>13052562.23185369</v>
      </c>
      <c r="K461" s="125">
        <f>Regression!T142</f>
        <v>15327443.857071919</v>
      </c>
      <c r="L461" s="125">
        <f>Regression!U142</f>
        <v>16698204.565281425</v>
      </c>
    </row>
    <row r="462" spans="1:17" x14ac:dyDescent="0.35">
      <c r="A462" s="4" t="s">
        <v>186</v>
      </c>
      <c r="B462" s="87" t="s">
        <v>465</v>
      </c>
      <c r="C462" s="86">
        <v>409887</v>
      </c>
      <c r="D462" s="18">
        <v>480553</v>
      </c>
      <c r="E462" s="17">
        <v>661914</v>
      </c>
      <c r="F462" s="17">
        <v>560762</v>
      </c>
      <c r="G462" s="146">
        <v>152734</v>
      </c>
      <c r="H462" s="125">
        <f>'IS Assumptions'!G18</f>
        <v>453170</v>
      </c>
      <c r="I462" s="125">
        <f>'IS Assumptions'!H18</f>
        <v>461826.6</v>
      </c>
      <c r="J462" s="125">
        <f>'IS Assumptions'!I18</f>
        <v>458081.32</v>
      </c>
      <c r="K462" s="125">
        <f>'IS Assumptions'!J18</f>
        <v>417314.78400000004</v>
      </c>
      <c r="L462" s="161">
        <f>'IS Assumptions'!K18</f>
        <v>388625.34080000001</v>
      </c>
    </row>
    <row r="463" spans="1:17" x14ac:dyDescent="0.35">
      <c r="A463" s="4" t="s">
        <v>187</v>
      </c>
      <c r="B463" s="87" t="s">
        <v>478</v>
      </c>
      <c r="C463" s="86">
        <v>1058073</v>
      </c>
      <c r="D463" s="18">
        <v>1262101</v>
      </c>
      <c r="E463" s="17">
        <v>1783250</v>
      </c>
      <c r="F463" s="17">
        <v>2393566</v>
      </c>
      <c r="G463" s="146">
        <v>2899437</v>
      </c>
      <c r="H463" s="125">
        <f>'IS Assumptions'!G19</f>
        <v>2852471.378075629</v>
      </c>
      <c r="I463" s="125">
        <f>'IS Assumptions'!H19</f>
        <v>3167033.0979445549</v>
      </c>
      <c r="J463" s="125">
        <f>'IS Assumptions'!I19</f>
        <v>3513979.4435715307</v>
      </c>
      <c r="K463" s="125">
        <f>'IS Assumptions'!J19</f>
        <v>3785798.0349326241</v>
      </c>
      <c r="L463" s="161">
        <f>'IS Assumptions'!K19</f>
        <v>4209462.7739311643</v>
      </c>
    </row>
    <row r="464" spans="1:17" x14ac:dyDescent="0.35">
      <c r="A464" s="4" t="s">
        <v>188</v>
      </c>
      <c r="B464" s="87" t="s">
        <v>478</v>
      </c>
      <c r="C464" s="86">
        <v>399190</v>
      </c>
      <c r="D464" s="18">
        <v>431022</v>
      </c>
      <c r="E464" s="17">
        <v>419364</v>
      </c>
      <c r="F464" s="17">
        <v>449662</v>
      </c>
      <c r="G464" s="146">
        <v>449661</v>
      </c>
      <c r="H464" s="125">
        <f>'IS Assumptions'!G20</f>
        <v>424059.74679234374</v>
      </c>
      <c r="I464" s="125">
        <f>'IS Assumptions'!H20</f>
        <v>456489.00770285132</v>
      </c>
      <c r="J464" s="125">
        <f>'IS Assumptions'!I20</f>
        <v>484160.60607855202</v>
      </c>
      <c r="K464" s="125">
        <f>'IS Assumptions'!J20</f>
        <v>512046.06442331464</v>
      </c>
      <c r="L464" s="161">
        <f>'IS Assumptions'!K20</f>
        <v>0</v>
      </c>
    </row>
    <row r="465" spans="1:12" x14ac:dyDescent="0.35">
      <c r="A465" s="4" t="s">
        <v>332</v>
      </c>
      <c r="B465" s="87" t="s">
        <v>466</v>
      </c>
      <c r="C465" s="86" t="s">
        <v>18</v>
      </c>
      <c r="D465" s="18" t="s">
        <v>18</v>
      </c>
      <c r="E465" s="17">
        <v>76460</v>
      </c>
      <c r="H465" s="125">
        <f>'IS Assumptions'!G21</f>
        <v>16427.057639690534</v>
      </c>
      <c r="I465" s="125">
        <f>'IS Assumptions'!H21</f>
        <v>167188.32682376605</v>
      </c>
      <c r="J465" s="125">
        <f>'IS Assumptions'!I21</f>
        <v>21714.032000000003</v>
      </c>
      <c r="K465" s="125">
        <f>'IS Assumptions'!J21</f>
        <v>25548.927561329394</v>
      </c>
      <c r="L465" s="161">
        <f>'IS Assumptions'!K21</f>
        <v>344685.64048767654</v>
      </c>
    </row>
    <row r="466" spans="1:12" x14ac:dyDescent="0.35">
      <c r="A466" s="4" t="s">
        <v>344</v>
      </c>
      <c r="B466" s="87" t="s">
        <v>466</v>
      </c>
      <c r="C466" s="86" t="s">
        <v>18</v>
      </c>
      <c r="D466" s="18">
        <v>6000</v>
      </c>
      <c r="H466" s="125">
        <f>'IS Assumptions'!G22</f>
        <v>0</v>
      </c>
      <c r="I466" s="125">
        <f>'IS Assumptions'!H22</f>
        <v>0</v>
      </c>
      <c r="J466" s="125">
        <f>'IS Assumptions'!I22</f>
        <v>0</v>
      </c>
      <c r="K466" s="125">
        <f>'IS Assumptions'!J22</f>
        <v>0</v>
      </c>
      <c r="L466" s="161">
        <f>'IS Assumptions'!K22</f>
        <v>0</v>
      </c>
    </row>
    <row r="467" spans="1:12" x14ac:dyDescent="0.35">
      <c r="A467" s="4" t="s">
        <v>189</v>
      </c>
      <c r="B467" s="87" t="s">
        <v>467</v>
      </c>
      <c r="C467" s="86">
        <v>553077</v>
      </c>
      <c r="D467" s="18">
        <v>414650</v>
      </c>
      <c r="E467" s="17">
        <v>505705</v>
      </c>
      <c r="F467" s="17">
        <v>495029</v>
      </c>
      <c r="G467" s="146">
        <v>549730</v>
      </c>
      <c r="H467" s="125">
        <f>'IS Assumptions'!G23</f>
        <v>1107735.1602255085</v>
      </c>
      <c r="I467" s="125">
        <f>'IS Assumptions'!H23</f>
        <v>865408.03292071295</v>
      </c>
      <c r="J467" s="125">
        <f>'IS Assumptions'!I23</f>
        <v>604659.26445803489</v>
      </c>
      <c r="K467" s="125">
        <f>'IS Assumptions'!J23</f>
        <v>566674.01328237797</v>
      </c>
      <c r="L467" s="161">
        <f>'IS Assumptions'!K23</f>
        <v>705762.96423681267</v>
      </c>
    </row>
    <row r="468" spans="1:12" x14ac:dyDescent="0.35">
      <c r="A468" s="4" t="s">
        <v>190</v>
      </c>
      <c r="B468" s="87" t="s">
        <v>467</v>
      </c>
      <c r="C468" s="86">
        <v>495582</v>
      </c>
      <c r="D468" s="18">
        <v>613150</v>
      </c>
      <c r="E468" s="17">
        <v>1271407</v>
      </c>
      <c r="F468" s="17">
        <v>1475287</v>
      </c>
      <c r="G468" s="146">
        <v>1269179</v>
      </c>
      <c r="H468" s="125">
        <f>'IS Assumptions'!G24</f>
        <v>992580.79105599748</v>
      </c>
      <c r="I468" s="125">
        <f>'IS Assumptions'!H24</f>
        <v>1279693.5617637408</v>
      </c>
      <c r="J468" s="125">
        <f>'IS Assumptions'!I24</f>
        <v>1520190.6673788014</v>
      </c>
      <c r="K468" s="125">
        <f>'IS Assumptions'!J24</f>
        <v>1688803.6964164109</v>
      </c>
      <c r="L468" s="161">
        <f>'IS Assumptions'!K24</f>
        <v>1629417.2287979801</v>
      </c>
    </row>
    <row r="469" spans="1:12" x14ac:dyDescent="0.35">
      <c r="A469" s="4" t="s">
        <v>191</v>
      </c>
      <c r="B469" s="87" t="s">
        <v>468</v>
      </c>
      <c r="C469" s="86">
        <v>491610</v>
      </c>
      <c r="D469" s="18">
        <v>542584</v>
      </c>
      <c r="E469" s="17">
        <v>738785</v>
      </c>
      <c r="F469" s="17">
        <v>682564</v>
      </c>
      <c r="G469" s="146">
        <v>907416</v>
      </c>
      <c r="H469" s="125">
        <f>'IS Assumptions'!G25</f>
        <v>672591.8</v>
      </c>
      <c r="I469" s="125">
        <f>'IS Assumptions'!H25</f>
        <v>708788.15999999992</v>
      </c>
      <c r="J469" s="125">
        <f>'IS Assumptions'!I25</f>
        <v>742028.99199999997</v>
      </c>
      <c r="K469" s="125">
        <f>'IS Assumptions'!J25</f>
        <v>742677.79040000006</v>
      </c>
      <c r="L469" s="161">
        <f>'IS Assumptions'!K25</f>
        <v>754700.54848</v>
      </c>
    </row>
    <row r="470" spans="1:12" x14ac:dyDescent="0.35">
      <c r="A470" s="4" t="s">
        <v>192</v>
      </c>
      <c r="B470" s="87" t="s">
        <v>468</v>
      </c>
      <c r="C470" s="86">
        <v>258024</v>
      </c>
      <c r="D470" s="18">
        <v>160708</v>
      </c>
      <c r="E470" s="17">
        <v>252703</v>
      </c>
      <c r="F470" s="17">
        <v>275228</v>
      </c>
      <c r="G470" s="146">
        <v>304235</v>
      </c>
      <c r="H470" s="125">
        <f>'IS Assumptions'!G26</f>
        <v>250179.6</v>
      </c>
      <c r="I470" s="125">
        <f>'IS Assumptions'!H26</f>
        <v>248610.72000000003</v>
      </c>
      <c r="J470" s="125">
        <f>'IS Assumptions'!I26</f>
        <v>266191.26400000002</v>
      </c>
      <c r="K470" s="125">
        <f>'IS Assumptions'!J26</f>
        <v>268888.91680000001</v>
      </c>
      <c r="L470" s="161">
        <f>'IS Assumptions'!K26</f>
        <v>267621.10016000003</v>
      </c>
    </row>
    <row r="471" spans="1:12" ht="29" x14ac:dyDescent="0.35">
      <c r="A471" s="4" t="s">
        <v>193</v>
      </c>
      <c r="B471" s="87" t="s">
        <v>468</v>
      </c>
      <c r="C471" s="86">
        <v>11614</v>
      </c>
      <c r="D471" s="18">
        <v>8895</v>
      </c>
      <c r="E471" s="17">
        <v>27853</v>
      </c>
      <c r="F471" s="17">
        <v>44072</v>
      </c>
      <c r="G471" s="146">
        <v>74106</v>
      </c>
      <c r="H471" s="125">
        <f>'IS Assumptions'!G27</f>
        <v>33308</v>
      </c>
      <c r="I471" s="125">
        <f>'IS Assumptions'!H27</f>
        <v>37646.800000000003</v>
      </c>
      <c r="J471" s="125">
        <f>'IS Assumptions'!I27</f>
        <v>43397.159999999996</v>
      </c>
      <c r="K471" s="125">
        <f>'IS Assumptions'!J27</f>
        <v>46505.991999999998</v>
      </c>
      <c r="L471" s="161">
        <f>'IS Assumptions'!K27</f>
        <v>46992.790399999998</v>
      </c>
    </row>
    <row r="472" spans="1:12" x14ac:dyDescent="0.35">
      <c r="A472" s="4" t="s">
        <v>194</v>
      </c>
      <c r="B472" s="87" t="s">
        <v>468</v>
      </c>
      <c r="C472" s="86">
        <v>28024</v>
      </c>
      <c r="D472" s="18">
        <v>47320</v>
      </c>
      <c r="E472" s="17">
        <v>67882</v>
      </c>
      <c r="F472" s="17">
        <v>91794</v>
      </c>
      <c r="G472" s="146">
        <v>586345</v>
      </c>
      <c r="H472" s="125">
        <f>'IS Assumptions'!G28</f>
        <v>164285</v>
      </c>
      <c r="I472" s="125">
        <f>'IS Assumptions'!H28</f>
        <v>191525.2</v>
      </c>
      <c r="J472" s="125">
        <f>'IS Assumptions'!I28</f>
        <v>220366.24</v>
      </c>
      <c r="K472" s="125">
        <f>'IS Assumptions'!J28</f>
        <v>250863.08799999999</v>
      </c>
      <c r="L472" s="161">
        <f>'IS Assumptions'!K28</f>
        <v>282676.9056</v>
      </c>
    </row>
    <row r="473" spans="1:12" x14ac:dyDescent="0.35">
      <c r="A473" s="4" t="s">
        <v>195</v>
      </c>
      <c r="B473" s="87" t="s">
        <v>468</v>
      </c>
      <c r="C473" s="86">
        <v>1134097</v>
      </c>
      <c r="D473" s="18">
        <v>806427</v>
      </c>
      <c r="E473" s="17">
        <v>1515290</v>
      </c>
      <c r="F473" s="17">
        <v>2009780</v>
      </c>
      <c r="G473" s="146">
        <v>2148373</v>
      </c>
      <c r="H473" s="125">
        <f>'IS Assumptions'!G29</f>
        <v>1522793.4</v>
      </c>
      <c r="I473" s="125">
        <f>'IS Assumptions'!H29</f>
        <v>1600532.6800000002</v>
      </c>
      <c r="J473" s="125">
        <f>'IS Assumptions'!I29</f>
        <v>1759353.8160000001</v>
      </c>
      <c r="K473" s="125">
        <f>'IS Assumptions'!J29</f>
        <v>1808166.5792</v>
      </c>
      <c r="L473" s="161">
        <f>'IS Assumptions'!K29</f>
        <v>1767843.8950399999</v>
      </c>
    </row>
    <row r="474" spans="1:12" x14ac:dyDescent="0.35">
      <c r="A474" s="4" t="s">
        <v>196</v>
      </c>
      <c r="B474" s="87" t="s">
        <v>468</v>
      </c>
      <c r="C474" s="86">
        <v>186727</v>
      </c>
      <c r="D474" s="18">
        <v>284649</v>
      </c>
      <c r="E474" s="17">
        <v>519224</v>
      </c>
      <c r="F474" s="17">
        <v>426730</v>
      </c>
      <c r="G474" s="146">
        <v>505194</v>
      </c>
      <c r="H474" s="125">
        <f>'IS Assumptions'!G30</f>
        <v>384504.8</v>
      </c>
      <c r="I474" s="125">
        <f>'IS Assumptions'!H30</f>
        <v>424060.36</v>
      </c>
      <c r="J474" s="125">
        <f>'IS Assumptions'!I30</f>
        <v>451942.63200000004</v>
      </c>
      <c r="K474" s="125">
        <f>'IS Assumptions'!J30</f>
        <v>438486.35840000008</v>
      </c>
      <c r="L474" s="161">
        <f>'IS Assumptions'!K30</f>
        <v>440837.63008000003</v>
      </c>
    </row>
    <row r="475" spans="1:12" x14ac:dyDescent="0.35">
      <c r="A475" s="4" t="s">
        <v>197</v>
      </c>
      <c r="B475" s="87" t="s">
        <v>468</v>
      </c>
      <c r="C475" s="86">
        <v>39644</v>
      </c>
      <c r="D475" s="18">
        <v>20571</v>
      </c>
      <c r="E475" s="17">
        <v>-21911</v>
      </c>
      <c r="F475" s="17">
        <v>6123</v>
      </c>
      <c r="G475" s="146">
        <v>22040</v>
      </c>
      <c r="H475" s="125">
        <f>'IS Assumptions'!G31</f>
        <v>13293.4</v>
      </c>
      <c r="I475" s="125">
        <f>'IS Assumptions'!H31</f>
        <v>8023.2800000000007</v>
      </c>
      <c r="J475" s="125">
        <f>'IS Assumptions'!I31</f>
        <v>5513.7359999999999</v>
      </c>
      <c r="K475" s="125">
        <f>'IS Assumptions'!J31</f>
        <v>10998.683199999999</v>
      </c>
      <c r="L475" s="161">
        <f>'IS Assumptions'!K31</f>
        <v>11973.81984</v>
      </c>
    </row>
    <row r="476" spans="1:12" x14ac:dyDescent="0.35">
      <c r="A476" s="4" t="s">
        <v>198</v>
      </c>
      <c r="B476" s="87" t="s">
        <v>468</v>
      </c>
      <c r="E476" s="17" t="s">
        <v>18</v>
      </c>
      <c r="F476" s="17">
        <v>99199</v>
      </c>
      <c r="G476" s="146">
        <v>6612</v>
      </c>
      <c r="H476" s="125">
        <f>'IS Assumptions'!G32</f>
        <v>52905.5</v>
      </c>
      <c r="I476" s="125">
        <f>'IS Assumptions'!H32</f>
        <v>52905.5</v>
      </c>
      <c r="J476" s="125">
        <f>'IS Assumptions'!I32</f>
        <v>52905.5</v>
      </c>
      <c r="K476" s="125">
        <f>'IS Assumptions'!J32</f>
        <v>52905.5</v>
      </c>
      <c r="L476" s="161">
        <f>'IS Assumptions'!K32</f>
        <v>43646.8</v>
      </c>
    </row>
    <row r="477" spans="1:12" x14ac:dyDescent="0.35">
      <c r="A477" s="4" t="s">
        <v>181</v>
      </c>
      <c r="B477" s="87"/>
      <c r="H477" s="125">
        <f>'IS Assumptions'!G33</f>
        <v>0</v>
      </c>
      <c r="I477" s="125">
        <f>'IS Assumptions'!H33</f>
        <v>0</v>
      </c>
      <c r="J477" s="125">
        <f>'IS Assumptions'!I33</f>
        <v>0</v>
      </c>
      <c r="K477" s="125">
        <f>'IS Assumptions'!J33</f>
        <v>0</v>
      </c>
      <c r="L477" s="161">
        <f>'IS Assumptions'!K33</f>
        <v>0</v>
      </c>
    </row>
    <row r="478" spans="1:12" x14ac:dyDescent="0.35">
      <c r="A478" s="4" t="s">
        <v>199</v>
      </c>
      <c r="B478" s="87" t="s">
        <v>468</v>
      </c>
      <c r="D478" s="18">
        <v>57302</v>
      </c>
      <c r="E478" s="17">
        <v>20594</v>
      </c>
      <c r="F478" s="17">
        <v>14224</v>
      </c>
      <c r="G478" s="146">
        <v>210</v>
      </c>
      <c r="H478" s="125">
        <f>'IS Assumptions'!G34</f>
        <v>23082.5</v>
      </c>
      <c r="I478" s="125">
        <f>'IS Assumptions'!H34</f>
        <v>23082.5</v>
      </c>
      <c r="J478" s="125">
        <f>'IS Assumptions'!I34</f>
        <v>16238.6</v>
      </c>
      <c r="K478" s="125">
        <f>'IS Assumptions'!J34</f>
        <v>15367.52</v>
      </c>
      <c r="L478" s="161">
        <f>'IS Assumptions'!K34</f>
        <v>15596.223999999998</v>
      </c>
    </row>
    <row r="479" spans="1:12" x14ac:dyDescent="0.35">
      <c r="A479" s="4" t="s">
        <v>200</v>
      </c>
      <c r="B479" s="87"/>
      <c r="D479" s="18">
        <v>91763</v>
      </c>
      <c r="E479" s="17">
        <v>1665</v>
      </c>
      <c r="F479" s="17">
        <v>18604</v>
      </c>
      <c r="G479" s="146" t="s">
        <v>18</v>
      </c>
      <c r="H479" s="125">
        <f>'IS Assumptions'!G35</f>
        <v>37344</v>
      </c>
      <c r="I479" s="125">
        <f>'IS Assumptions'!H35</f>
        <v>37344</v>
      </c>
      <c r="J479" s="125">
        <f>'IS Assumptions'!I35</f>
        <v>23739.25</v>
      </c>
      <c r="K479" s="125">
        <f>'IS Assumptions'!J35</f>
        <v>29257.8125</v>
      </c>
      <c r="L479" s="161">
        <f>'IS Assumptions'!K35</f>
        <v>31921.265625</v>
      </c>
    </row>
    <row r="480" spans="1:12" x14ac:dyDescent="0.35">
      <c r="A480" s="4" t="s">
        <v>201</v>
      </c>
      <c r="B480" s="87" t="s">
        <v>478</v>
      </c>
      <c r="F480" s="17" t="s">
        <v>18</v>
      </c>
      <c r="G480" s="146">
        <v>9851</v>
      </c>
      <c r="H480" s="125">
        <f>'IS Assumptions'!G36</f>
        <v>5344.5298560918945</v>
      </c>
      <c r="I480" s="125">
        <f>'IS Assumptions'!H36</f>
        <v>5344.5298560918945</v>
      </c>
      <c r="J480" s="125">
        <f>'IS Assumptions'!I36</f>
        <v>5344.5298560918945</v>
      </c>
      <c r="K480" s="125">
        <f>'IS Assumptions'!J36</f>
        <v>5344.5298560918945</v>
      </c>
      <c r="L480" s="161">
        <f>'IS Assumptions'!K36</f>
        <v>5344.5298560918945</v>
      </c>
    </row>
    <row r="481" spans="1:12" x14ac:dyDescent="0.35">
      <c r="A481" s="4" t="s">
        <v>202</v>
      </c>
      <c r="B481" s="87" t="s">
        <v>471</v>
      </c>
      <c r="C481" s="86">
        <v>21177</v>
      </c>
      <c r="D481" s="18">
        <v>6026</v>
      </c>
      <c r="E481" s="17">
        <v>21026</v>
      </c>
      <c r="F481" s="17">
        <v>2716</v>
      </c>
      <c r="G481" s="146" t="s">
        <v>18</v>
      </c>
      <c r="H481" s="125">
        <f>'IS Assumptions'!G37</f>
        <v>42414.54171497927</v>
      </c>
      <c r="I481" s="125">
        <f>'IS Assumptions'!H37</f>
        <v>12576.748598529402</v>
      </c>
      <c r="J481" s="125">
        <f>'IS Assumptions'!I37</f>
        <v>25140.280785229814</v>
      </c>
      <c r="K481" s="125">
        <f>'IS Assumptions'!J37</f>
        <v>3109.0837508003337</v>
      </c>
      <c r="L481" s="161">
        <f>'IS Assumptions'!K37</f>
        <v>0</v>
      </c>
    </row>
    <row r="482" spans="1:12" x14ac:dyDescent="0.35">
      <c r="C482" s="86">
        <f>SUM(C459:C481)</f>
        <v>30164454</v>
      </c>
      <c r="D482" s="17">
        <f>SUM(D459:D481)</f>
        <v>23315794</v>
      </c>
      <c r="E482" s="17">
        <f>SUM(E459:E481)</f>
        <v>49207551</v>
      </c>
      <c r="F482" s="17">
        <f>SUM(F459:F481)</f>
        <v>57345947</v>
      </c>
      <c r="G482" s="146">
        <f>SUM(G459:G481)</f>
        <v>63601213</v>
      </c>
      <c r="H482" s="125">
        <f>'IS Assumptions'!G38</f>
        <v>52990998.345646642</v>
      </c>
      <c r="I482" s="125">
        <f>'IS Assumptions'!H38</f>
        <v>54693294.419523478</v>
      </c>
      <c r="J482" s="125">
        <f>'IS Assumptions'!I38</f>
        <v>62362118.308713794</v>
      </c>
      <c r="K482" s="125">
        <f>'IS Assumptions'!J38</f>
        <v>69331727.235803246</v>
      </c>
      <c r="L482" s="161">
        <f>'IS Assumptions'!K38</f>
        <v>74731970.006848291</v>
      </c>
    </row>
    <row r="483" spans="1:12" x14ac:dyDescent="0.35">
      <c r="A483" s="4" t="s">
        <v>203</v>
      </c>
      <c r="B483" s="87" t="s">
        <v>468</v>
      </c>
      <c r="C483" s="86">
        <v>-25120</v>
      </c>
      <c r="D483" s="18">
        <v>-28354</v>
      </c>
      <c r="E483" s="17">
        <v>-56008</v>
      </c>
      <c r="G483" s="146">
        <v>-431254</v>
      </c>
      <c r="H483" s="125">
        <f>'IS Assumptions'!G39</f>
        <v>-135184</v>
      </c>
      <c r="I483" s="125">
        <f>'IS Assumptions'!H39</f>
        <v>-162700</v>
      </c>
      <c r="J483" s="125">
        <f>'IS Assumptions'!I39</f>
        <v>-196286.5</v>
      </c>
      <c r="K483" s="125">
        <f>'IS Assumptions'!J39</f>
        <v>-231356.125</v>
      </c>
      <c r="L483" s="161">
        <f>'IS Assumptions'!K39</f>
        <v>-231356.125</v>
      </c>
    </row>
    <row r="484" spans="1:12" x14ac:dyDescent="0.35">
      <c r="A484" s="4" t="s">
        <v>207</v>
      </c>
      <c r="C484" s="86">
        <f>SUM(C458,C482,C483)</f>
        <v>30155190</v>
      </c>
      <c r="D484" s="18">
        <v>23312560</v>
      </c>
      <c r="E484" s="17">
        <f>SUM(E458,E482,E483)</f>
        <v>49179897</v>
      </c>
      <c r="F484" s="17">
        <f>SUM(F482:F483)</f>
        <v>57345947</v>
      </c>
      <c r="G484" s="146">
        <f>SUM(G482:G483)</f>
        <v>63169959</v>
      </c>
      <c r="H484" s="125">
        <f>'IS Assumptions'!G40</f>
        <v>52855814.345646642</v>
      </c>
      <c r="I484" s="125">
        <f>'IS Assumptions'!H40</f>
        <v>54530594.419523478</v>
      </c>
      <c r="J484" s="125">
        <f>'IS Assumptions'!I40</f>
        <v>62165831.808713794</v>
      </c>
      <c r="K484" s="125">
        <f>'IS Assumptions'!J40</f>
        <v>69100371.110803246</v>
      </c>
      <c r="L484" s="161">
        <f>'IS Assumptions'!K40</f>
        <v>74500613.881848291</v>
      </c>
    </row>
    <row r="485" spans="1:12" x14ac:dyDescent="0.35">
      <c r="A485" s="4" t="s">
        <v>204</v>
      </c>
      <c r="C485" s="86">
        <v>1125819</v>
      </c>
      <c r="D485" s="18">
        <v>1622853</v>
      </c>
      <c r="E485" s="17">
        <v>736768</v>
      </c>
      <c r="F485" s="17">
        <v>4001606</v>
      </c>
      <c r="G485" s="146">
        <v>3062264</v>
      </c>
      <c r="H485" s="125">
        <f>'IS Assumptions'!G41</f>
        <v>5902479</v>
      </c>
      <c r="I485" s="125">
        <f>'IS Assumptions'!H41</f>
        <v>3065194</v>
      </c>
      <c r="J485" s="125">
        <f>'IS Assumptions'!I41</f>
        <v>3353662.2</v>
      </c>
      <c r="K485" s="125">
        <f>'IS Assumptions'!J41</f>
        <v>3877041.04</v>
      </c>
      <c r="L485" s="161">
        <f>'IS Assumptions'!K41</f>
        <v>3852128.0479999995</v>
      </c>
    </row>
    <row r="486" spans="1:12" x14ac:dyDescent="0.35">
      <c r="A486" s="4" t="s">
        <v>205</v>
      </c>
      <c r="B486" s="87" t="s">
        <v>468</v>
      </c>
      <c r="C486" s="86">
        <v>-1622853</v>
      </c>
      <c r="D486" s="18">
        <v>-736768</v>
      </c>
      <c r="E486" s="17">
        <v>-4001606</v>
      </c>
      <c r="F486" s="17">
        <v>-3062264</v>
      </c>
      <c r="G486" s="146">
        <v>-5902479</v>
      </c>
      <c r="H486" s="125">
        <f>'IS Assumptions'!G42</f>
        <v>-3065194</v>
      </c>
      <c r="I486" s="125">
        <f>'IS Assumptions'!H42</f>
        <v>-3353662.2</v>
      </c>
      <c r="J486" s="125">
        <f>'IS Assumptions'!I42</f>
        <v>-3877041.04</v>
      </c>
      <c r="K486" s="125">
        <f>'IS Assumptions'!J42</f>
        <v>-3852128.0479999995</v>
      </c>
      <c r="L486" s="161">
        <f>'IS Assumptions'!K42</f>
        <v>-4010100.8575999998</v>
      </c>
    </row>
    <row r="487" spans="1:12" x14ac:dyDescent="0.35">
      <c r="C487" s="86">
        <f>SUM(C485:C486)</f>
        <v>-497034</v>
      </c>
      <c r="D487" s="18">
        <v>886085</v>
      </c>
      <c r="E487" s="17">
        <f>SUM(E485:E486)</f>
        <v>-3264838</v>
      </c>
      <c r="F487" s="17">
        <f>SUM(F485:F486)</f>
        <v>939342</v>
      </c>
      <c r="G487" s="146">
        <f>SUM(G485:G486)</f>
        <v>-2840215</v>
      </c>
      <c r="H487" s="125">
        <f>'IS Assumptions'!G43</f>
        <v>2837285</v>
      </c>
      <c r="I487" s="125">
        <f>'IS Assumptions'!H43</f>
        <v>-288468.20000000019</v>
      </c>
      <c r="J487" s="125">
        <f>'IS Assumptions'!I43</f>
        <v>-523378.83999999985</v>
      </c>
      <c r="K487" s="125">
        <f>'IS Assumptions'!J43</f>
        <v>24912.992000000551</v>
      </c>
      <c r="L487" s="161">
        <f>'IS Assumptions'!K43</f>
        <v>-157972.80960000027</v>
      </c>
    </row>
    <row r="488" spans="1:12" x14ac:dyDescent="0.35">
      <c r="A488" s="4" t="s">
        <v>206</v>
      </c>
      <c r="B488" s="87" t="s">
        <v>468</v>
      </c>
      <c r="C488" s="86">
        <v>72377</v>
      </c>
      <c r="D488" s="18">
        <v>183484</v>
      </c>
      <c r="E488" s="17">
        <v>69269</v>
      </c>
      <c r="F488" s="17">
        <v>12276</v>
      </c>
      <c r="G488" s="146">
        <v>164853</v>
      </c>
      <c r="H488" s="125">
        <f>'IS Assumptions'!G44</f>
        <v>100451.8</v>
      </c>
      <c r="I488" s="125">
        <f>'IS Assumptions'!H44</f>
        <v>106066.76000000001</v>
      </c>
      <c r="J488" s="125">
        <f>'IS Assumptions'!I44</f>
        <v>90583.312000000005</v>
      </c>
      <c r="K488" s="125">
        <f>'IS Assumptions'!J44</f>
        <v>94846.174399999989</v>
      </c>
      <c r="L488" s="161">
        <f>'IS Assumptions'!K44</f>
        <v>111360.20928</v>
      </c>
    </row>
    <row r="489" spans="1:12" x14ac:dyDescent="0.35">
      <c r="A489" s="165"/>
      <c r="B489" s="5"/>
      <c r="C489" s="135">
        <f>SUM(C488,C487,C484)</f>
        <v>29730533</v>
      </c>
      <c r="D489" s="272">
        <f>SUM(D488,D487,D484)</f>
        <v>24382129</v>
      </c>
      <c r="E489" s="272">
        <f>SUM(E488,E487,E484)</f>
        <v>45984328</v>
      </c>
      <c r="F489" s="272">
        <f>SUM(F488,F487,F484)</f>
        <v>58297565</v>
      </c>
      <c r="G489" s="273">
        <f>SUM(G488,G487,G484)</f>
        <v>60494597</v>
      </c>
      <c r="H489" s="283">
        <f>'IS Assumptions'!G45</f>
        <v>55793551.145646639</v>
      </c>
      <c r="I489" s="283">
        <f>'IS Assumptions'!H45</f>
        <v>54348192.97952348</v>
      </c>
      <c r="J489" s="283">
        <f>'IS Assumptions'!I45</f>
        <v>61733036.280713797</v>
      </c>
      <c r="K489" s="283">
        <f>'IS Assumptions'!J45</f>
        <v>69220130.277203247</v>
      </c>
      <c r="L489" s="284">
        <f>'IS Assumptions'!K45</f>
        <v>74454001.281528294</v>
      </c>
    </row>
    <row r="490" spans="1:12" x14ac:dyDescent="0.35">
      <c r="H490" s="8"/>
      <c r="I490" s="8"/>
      <c r="J490" s="8"/>
      <c r="K490" s="8"/>
      <c r="L490" s="156"/>
    </row>
    <row r="491" spans="1:12" x14ac:dyDescent="0.35">
      <c r="A491" s="270" t="s">
        <v>208</v>
      </c>
    </row>
    <row r="492" spans="1:12" x14ac:dyDescent="0.35">
      <c r="A492" s="4" t="s">
        <v>209</v>
      </c>
      <c r="B492" t="s">
        <v>469</v>
      </c>
      <c r="C492" s="86">
        <v>175231</v>
      </c>
      <c r="D492" s="18">
        <v>123814</v>
      </c>
      <c r="E492" s="18">
        <v>131697</v>
      </c>
      <c r="F492" s="17">
        <v>201318</v>
      </c>
      <c r="G492" s="146">
        <v>454005</v>
      </c>
      <c r="H492" s="125">
        <f>'IS Assumptions'!G56</f>
        <v>278700.29303058691</v>
      </c>
      <c r="I492" s="125">
        <f>'IS Assumptions'!H56</f>
        <v>198351.19900246052</v>
      </c>
      <c r="J492" s="125">
        <f>'IS Assumptions'!I56</f>
        <v>162953.83594788719</v>
      </c>
      <c r="K492" s="125">
        <f>'IS Assumptions'!J56</f>
        <v>334850.49123195995</v>
      </c>
      <c r="L492" s="161">
        <f>'IS Assumptions'!K56</f>
        <v>723740.25639607839</v>
      </c>
    </row>
    <row r="493" spans="1:12" x14ac:dyDescent="0.35">
      <c r="A493" s="4" t="s">
        <v>210</v>
      </c>
      <c r="B493" t="s">
        <v>470</v>
      </c>
      <c r="D493" s="18">
        <v>95990</v>
      </c>
      <c r="E493" s="18">
        <v>156829</v>
      </c>
      <c r="F493" s="17">
        <v>209590</v>
      </c>
      <c r="G493" s="146">
        <v>224863</v>
      </c>
      <c r="H493" s="125">
        <f>'IS Assumptions'!G57</f>
        <v>171818</v>
      </c>
      <c r="I493" s="125">
        <f>'IS Assumptions'!H57</f>
        <v>171818</v>
      </c>
      <c r="J493" s="125">
        <f>'IS Assumptions'!I57</f>
        <v>186983.6</v>
      </c>
      <c r="K493" s="125">
        <f>'IS Assumptions'!J57</f>
        <v>193014.52</v>
      </c>
      <c r="L493" s="161">
        <f>'IS Assumptions'!K57</f>
        <v>189699.424</v>
      </c>
    </row>
    <row r="494" spans="1:12" x14ac:dyDescent="0.35">
      <c r="A494" s="4" t="s">
        <v>211</v>
      </c>
      <c r="B494" t="s">
        <v>479</v>
      </c>
      <c r="C494" s="86">
        <v>159219</v>
      </c>
      <c r="D494" s="18" t="s">
        <v>18</v>
      </c>
      <c r="E494" s="18">
        <v>7654</v>
      </c>
      <c r="F494" s="17">
        <v>45788</v>
      </c>
      <c r="G494" s="146">
        <v>18753</v>
      </c>
      <c r="H494" s="125">
        <f>'IS Assumptions'!G58</f>
        <v>318893.1820993193</v>
      </c>
      <c r="I494" s="125">
        <f>'IS Assumptions'!H58</f>
        <v>0</v>
      </c>
      <c r="J494" s="125">
        <f>'IS Assumptions'!I58</f>
        <v>9151.7030880885104</v>
      </c>
      <c r="K494" s="125">
        <f>'IS Assumptions'!J58</f>
        <v>52414.847857748777</v>
      </c>
      <c r="L494" s="161">
        <f>'IS Assumptions'!K58</f>
        <v>24075.769683904731</v>
      </c>
    </row>
    <row r="495" spans="1:12" x14ac:dyDescent="0.35">
      <c r="A495" s="4" t="s">
        <v>354</v>
      </c>
      <c r="C495" s="86">
        <v>-1701</v>
      </c>
      <c r="D495" s="18"/>
      <c r="E495" s="18"/>
      <c r="H495" s="125">
        <f>'IS Assumptions'!G59</f>
        <v>0</v>
      </c>
      <c r="I495" s="125">
        <f>'IS Assumptions'!H59</f>
        <v>0</v>
      </c>
      <c r="J495" s="125">
        <f>'IS Assumptions'!I59</f>
        <v>0</v>
      </c>
      <c r="K495" s="125">
        <f>'IS Assumptions'!J59</f>
        <v>0</v>
      </c>
      <c r="L495" s="161">
        <f>'IS Assumptions'!K59</f>
        <v>0</v>
      </c>
    </row>
    <row r="496" spans="1:12" x14ac:dyDescent="0.35">
      <c r="A496" s="4" t="s">
        <v>333</v>
      </c>
      <c r="B496" t="s">
        <v>470</v>
      </c>
      <c r="C496" s="86" t="s">
        <v>18</v>
      </c>
      <c r="D496" s="18">
        <v>331</v>
      </c>
      <c r="E496" s="18">
        <v>56</v>
      </c>
      <c r="H496" s="125">
        <f>'IS Assumptions'!G60</f>
        <v>129</v>
      </c>
      <c r="I496" s="125">
        <f>'IS Assumptions'!H60</f>
        <v>172</v>
      </c>
      <c r="J496" s="125">
        <f>'IS Assumptions'!I60</f>
        <v>119</v>
      </c>
      <c r="K496" s="125">
        <f>'IS Assumptions'!J60</f>
        <v>140</v>
      </c>
      <c r="L496" s="161">
        <f>'IS Assumptions'!K60</f>
        <v>140</v>
      </c>
    </row>
    <row r="497" spans="1:12" x14ac:dyDescent="0.35">
      <c r="A497" s="4" t="s">
        <v>212</v>
      </c>
      <c r="B497" t="s">
        <v>470</v>
      </c>
      <c r="C497" s="86">
        <v>12308</v>
      </c>
      <c r="D497" s="18">
        <v>5653</v>
      </c>
      <c r="E497" s="18">
        <v>6805</v>
      </c>
      <c r="F497" s="17">
        <v>7913</v>
      </c>
      <c r="G497" s="146">
        <v>11026</v>
      </c>
      <c r="H497" s="125">
        <f>'IS Assumptions'!G61</f>
        <v>8741</v>
      </c>
      <c r="I497" s="125">
        <f>'IS Assumptions'!H61</f>
        <v>8027.6</v>
      </c>
      <c r="J497" s="125">
        <f>'IS Assumptions'!I61</f>
        <v>8502.52</v>
      </c>
      <c r="K497" s="125">
        <f>'IS Assumptions'!J61</f>
        <v>8842.0239999999994</v>
      </c>
      <c r="L497" s="161">
        <f>'IS Assumptions'!K61</f>
        <v>9027.8287999999993</v>
      </c>
    </row>
    <row r="498" spans="1:12" x14ac:dyDescent="0.35">
      <c r="A498" s="4" t="s">
        <v>190</v>
      </c>
      <c r="B498" t="s">
        <v>470</v>
      </c>
      <c r="C498" s="86">
        <v>6706</v>
      </c>
      <c r="D498" s="18">
        <v>3027</v>
      </c>
      <c r="E498" s="18">
        <v>5225</v>
      </c>
      <c r="F498" s="17">
        <v>10744</v>
      </c>
      <c r="G498" s="146">
        <v>17675</v>
      </c>
      <c r="H498" s="125">
        <f>'IS Assumptions'!G62</f>
        <v>8675.4</v>
      </c>
      <c r="I498" s="125">
        <f>'IS Assumptions'!H62</f>
        <v>9069.2800000000007</v>
      </c>
      <c r="J498" s="125">
        <f>'IS Assumptions'!I62</f>
        <v>10277.736000000001</v>
      </c>
      <c r="K498" s="125">
        <f>'IS Assumptions'!J62</f>
        <v>11288.2832</v>
      </c>
      <c r="L498" s="161">
        <f>'IS Assumptions'!K62</f>
        <v>11397.13984</v>
      </c>
    </row>
    <row r="499" spans="1:12" x14ac:dyDescent="0.35">
      <c r="A499" s="4" t="s">
        <v>213</v>
      </c>
      <c r="B499" s="87" t="s">
        <v>478</v>
      </c>
      <c r="C499" s="86">
        <v>5750</v>
      </c>
      <c r="D499" s="18">
        <v>7054</v>
      </c>
      <c r="E499" s="18">
        <v>8166</v>
      </c>
      <c r="F499" s="17">
        <v>11089</v>
      </c>
      <c r="G499" s="146">
        <v>7524</v>
      </c>
      <c r="H499" s="125">
        <f>'IS Assumptions'!G63</f>
        <v>13187.585291494035</v>
      </c>
      <c r="I499" s="125">
        <f>'IS Assumptions'!H63</f>
        <v>13943.332528507925</v>
      </c>
      <c r="J499" s="125">
        <f>'IS Assumptions'!I63</f>
        <v>14638.975880542381</v>
      </c>
      <c r="K499" s="125">
        <f>'IS Assumptions'!J63</f>
        <v>15457.068737417247</v>
      </c>
      <c r="L499" s="161">
        <f>'IS Assumptions'!K63</f>
        <v>16380.54964579031</v>
      </c>
    </row>
    <row r="500" spans="1:12" x14ac:dyDescent="0.35">
      <c r="A500" s="4" t="s">
        <v>214</v>
      </c>
      <c r="B500" s="87" t="s">
        <v>478</v>
      </c>
      <c r="E500" s="18" t="s">
        <v>18</v>
      </c>
      <c r="F500" s="17">
        <v>8816</v>
      </c>
      <c r="G500" s="146">
        <v>8840</v>
      </c>
      <c r="H500" s="125">
        <f>'IS Assumptions'!G64</f>
        <v>3354.970067064035</v>
      </c>
      <c r="I500" s="125">
        <f>'IS Assumptions'!H64</f>
        <v>4328.2935338079515</v>
      </c>
      <c r="J500" s="125">
        <f>'IS Assumptions'!I64</f>
        <v>5502.9882788954164</v>
      </c>
      <c r="K500" s="125">
        <f>'IS Assumptions'!J64</f>
        <v>6974.4291806655483</v>
      </c>
      <c r="L500" s="161">
        <f>'IS Assumptions'!K64</f>
        <v>0</v>
      </c>
    </row>
    <row r="501" spans="1:12" x14ac:dyDescent="0.35">
      <c r="A501" s="4" t="s">
        <v>192</v>
      </c>
      <c r="C501" s="86">
        <v>27649</v>
      </c>
      <c r="D501" s="18">
        <v>4046</v>
      </c>
      <c r="E501" s="18">
        <v>54978</v>
      </c>
      <c r="F501" s="17">
        <v>66665</v>
      </c>
      <c r="G501" s="146">
        <v>50278</v>
      </c>
      <c r="H501" s="125">
        <f>'IS Assumptions'!G65</f>
        <v>40723.199999999997</v>
      </c>
      <c r="I501" s="125">
        <f>'IS Assumptions'!H65</f>
        <v>43338.04</v>
      </c>
      <c r="J501" s="125">
        <f>'IS Assumptions'!I65</f>
        <v>51196.448000000004</v>
      </c>
      <c r="K501" s="125">
        <f>'IS Assumptions'!J65</f>
        <v>50440.137600000002</v>
      </c>
      <c r="L501" s="161">
        <f>'IS Assumptions'!K65</f>
        <v>47195.165119999998</v>
      </c>
    </row>
    <row r="502" spans="1:12" ht="29" x14ac:dyDescent="0.35">
      <c r="A502" s="4" t="s">
        <v>215</v>
      </c>
      <c r="C502" s="86">
        <v>1674</v>
      </c>
      <c r="D502" s="18">
        <v>1667</v>
      </c>
      <c r="E502" s="18">
        <v>1303</v>
      </c>
      <c r="F502" s="17">
        <v>3275</v>
      </c>
      <c r="G502" s="146">
        <v>16237</v>
      </c>
      <c r="H502" s="125">
        <f>'IS Assumptions'!G66</f>
        <v>4831.2</v>
      </c>
      <c r="I502" s="125">
        <f>'IS Assumptions'!H66</f>
        <v>5462.64</v>
      </c>
      <c r="J502" s="125">
        <f>'IS Assumptions'!I66</f>
        <v>6221.768</v>
      </c>
      <c r="K502" s="125">
        <f>'IS Assumptions'!J66</f>
        <v>7205.5216</v>
      </c>
      <c r="L502" s="161">
        <f>'IS Assumptions'!K66</f>
        <v>7991.6259200000004</v>
      </c>
    </row>
    <row r="503" spans="1:12" x14ac:dyDescent="0.35">
      <c r="A503" s="4" t="s">
        <v>216</v>
      </c>
      <c r="B503" s="87" t="s">
        <v>478</v>
      </c>
      <c r="F503" s="17" t="s">
        <v>18</v>
      </c>
      <c r="G503" s="146">
        <v>2158</v>
      </c>
      <c r="H503" s="125">
        <f>'IS Assumptions'!G67</f>
        <v>5344.5298560918945</v>
      </c>
      <c r="I503" s="125">
        <f>'IS Assumptions'!H67</f>
        <v>5215.721801109964</v>
      </c>
      <c r="J503" s="125">
        <f>'IS Assumptions'!I67</f>
        <v>5858.4785725993806</v>
      </c>
      <c r="K503" s="125">
        <f>'IS Assumptions'!J67</f>
        <v>6493.9508423593179</v>
      </c>
      <c r="L503" s="161">
        <f>'IS Assumptions'!K67</f>
        <v>6244.0501454465666</v>
      </c>
    </row>
    <row r="504" spans="1:12" x14ac:dyDescent="0.35">
      <c r="A504" s="4" t="s">
        <v>217</v>
      </c>
      <c r="B504" s="87" t="s">
        <v>471</v>
      </c>
      <c r="C504" s="86">
        <v>4788</v>
      </c>
      <c r="D504" s="18">
        <v>1687</v>
      </c>
      <c r="E504" s="18">
        <v>3625</v>
      </c>
      <c r="F504" s="17">
        <v>3673</v>
      </c>
      <c r="H504" s="125">
        <f>'IS Assumptions'!G68</f>
        <v>9589.6881395533255</v>
      </c>
      <c r="I504" s="125">
        <f>'IS Assumptions'!H68</f>
        <v>3520.9052249782776</v>
      </c>
      <c r="J504" s="125">
        <f>'IS Assumptions'!I68</f>
        <v>4334.3250188556112</v>
      </c>
      <c r="K504" s="125">
        <f>'IS Assumptions'!J68</f>
        <v>4204.5893286780656</v>
      </c>
      <c r="L504" s="161">
        <f>'IS Assumptions'!K68</f>
        <v>0</v>
      </c>
    </row>
    <row r="505" spans="1:12" x14ac:dyDescent="0.35">
      <c r="A505" s="165"/>
      <c r="B505" s="5"/>
      <c r="C505" s="135">
        <f>SUM(C492:C504)</f>
        <v>391624</v>
      </c>
      <c r="D505" s="272">
        <f>SUM(D492:D504)</f>
        <v>243269</v>
      </c>
      <c r="E505" s="272">
        <f>SUM(E492:E504)</f>
        <v>376338</v>
      </c>
      <c r="F505" s="272">
        <f>SUM(F492:F504)</f>
        <v>568871</v>
      </c>
      <c r="G505" s="273">
        <f>SUM(G492:G504)</f>
        <v>811359</v>
      </c>
      <c r="H505" s="283">
        <f>'IS Assumptions'!G69</f>
        <v>863988.04848410946</v>
      </c>
      <c r="I505" s="283">
        <f>'IS Assumptions'!H69</f>
        <v>463247.01209086465</v>
      </c>
      <c r="J505" s="283">
        <f>'IS Assumptions'!I69</f>
        <v>465741.37878686847</v>
      </c>
      <c r="K505" s="283">
        <f>'IS Assumptions'!J69</f>
        <v>691325.86357882875</v>
      </c>
      <c r="L505" s="284">
        <f>'IS Assumptions'!K69</f>
        <v>1035891.80955122</v>
      </c>
    </row>
    <row r="506" spans="1:12" x14ac:dyDescent="0.35">
      <c r="H506" s="8"/>
      <c r="I506" s="8"/>
      <c r="J506" s="8"/>
      <c r="K506" s="8"/>
      <c r="L506" s="156"/>
    </row>
    <row r="507" spans="1:12" x14ac:dyDescent="0.35">
      <c r="A507" s="270" t="s">
        <v>218</v>
      </c>
    </row>
    <row r="508" spans="1:12" x14ac:dyDescent="0.35">
      <c r="A508" s="4" t="s">
        <v>219</v>
      </c>
      <c r="B508" t="s">
        <v>479</v>
      </c>
      <c r="C508" s="86">
        <v>293717</v>
      </c>
      <c r="D508" s="18">
        <v>316490</v>
      </c>
      <c r="E508" s="18">
        <v>370774</v>
      </c>
      <c r="F508" s="17">
        <v>520605</v>
      </c>
      <c r="G508" s="146">
        <v>565928</v>
      </c>
      <c r="H508" s="125">
        <f>'IS Assumptions'!G80</f>
        <v>467149.15721570328</v>
      </c>
      <c r="I508" s="125">
        <f>'IS Assumptions'!H80</f>
        <v>507019.97328483633</v>
      </c>
      <c r="J508" s="125">
        <f>'IS Assumptions'!I80</f>
        <v>458773.13507325097</v>
      </c>
      <c r="K508" s="125">
        <f>'IS Assumptions'!J80</f>
        <v>865917.80162635492</v>
      </c>
      <c r="L508" s="161">
        <f>'IS Assumptions'!K80</f>
        <v>902159.39432763914</v>
      </c>
    </row>
    <row r="509" spans="1:12" x14ac:dyDescent="0.35">
      <c r="A509" s="4" t="s">
        <v>220</v>
      </c>
      <c r="B509" t="s">
        <v>470</v>
      </c>
      <c r="C509" s="86">
        <v>41992</v>
      </c>
      <c r="D509" s="18">
        <v>34228</v>
      </c>
      <c r="E509" s="18">
        <v>35668</v>
      </c>
      <c r="F509" s="17">
        <v>86903</v>
      </c>
      <c r="G509" s="146">
        <v>96249</v>
      </c>
      <c r="H509" s="125">
        <f>'IS Assumptions'!G81</f>
        <v>59008</v>
      </c>
      <c r="I509" s="125">
        <f>'IS Assumptions'!H81</f>
        <v>62411.199999999997</v>
      </c>
      <c r="J509" s="125">
        <f>'IS Assumptions'!I81</f>
        <v>68047.839999999997</v>
      </c>
      <c r="K509" s="125">
        <f>'IS Assumptions'!J81</f>
        <v>74523.808000000005</v>
      </c>
      <c r="L509" s="161">
        <f>'IS Assumptions'!K81</f>
        <v>72047.969600000011</v>
      </c>
    </row>
    <row r="510" spans="1:12" x14ac:dyDescent="0.35">
      <c r="A510" s="4" t="s">
        <v>190</v>
      </c>
      <c r="B510" t="s">
        <v>470</v>
      </c>
      <c r="C510" s="86">
        <v>88455</v>
      </c>
      <c r="D510" s="18">
        <v>106340</v>
      </c>
      <c r="E510" s="18">
        <v>122582</v>
      </c>
      <c r="F510" s="17">
        <v>379020</v>
      </c>
      <c r="G510" s="146">
        <v>599301</v>
      </c>
      <c r="H510" s="125">
        <f>'IS Assumptions'!G82</f>
        <v>259139.6</v>
      </c>
      <c r="I510" s="125">
        <f>'IS Assumptions'!H82</f>
        <v>293276.52</v>
      </c>
      <c r="J510" s="125">
        <f>'IS Assumptions'!I82</f>
        <v>330663.82400000002</v>
      </c>
      <c r="K510" s="125">
        <f>'IS Assumptions'!J82</f>
        <v>372280.1888</v>
      </c>
      <c r="L510" s="161">
        <f>'IS Assumptions'!K82</f>
        <v>370932.22656000004</v>
      </c>
    </row>
    <row r="511" spans="1:12" x14ac:dyDescent="0.35">
      <c r="A511" s="4" t="s">
        <v>213</v>
      </c>
      <c r="B511" s="87" t="s">
        <v>478</v>
      </c>
      <c r="C511" s="86">
        <v>17584</v>
      </c>
      <c r="D511" s="18">
        <v>22552</v>
      </c>
      <c r="E511" s="18">
        <v>23024</v>
      </c>
      <c r="F511" s="17">
        <v>49032</v>
      </c>
      <c r="G511" s="146">
        <v>48743</v>
      </c>
      <c r="H511" s="125">
        <f>'IS Assumptions'!G83</f>
        <v>49186.813306993099</v>
      </c>
      <c r="I511" s="125">
        <f>'IS Assumptions'!H83</f>
        <v>54423.17386409441</v>
      </c>
      <c r="J511" s="125">
        <f>'IS Assumptions'!I83</f>
        <v>59653.742202755275</v>
      </c>
      <c r="K511" s="125">
        <f>'IS Assumptions'!J83</f>
        <v>67151.139650365862</v>
      </c>
      <c r="L511" s="161">
        <f>'IS Assumptions'!K83</f>
        <v>70868.911572816287</v>
      </c>
    </row>
    <row r="512" spans="1:12" x14ac:dyDescent="0.35">
      <c r="A512" s="4" t="s">
        <v>221</v>
      </c>
      <c r="B512" s="87" t="s">
        <v>478</v>
      </c>
      <c r="C512" s="86">
        <v>21131</v>
      </c>
      <c r="D512" s="18">
        <v>25193</v>
      </c>
      <c r="E512" s="18">
        <v>33740</v>
      </c>
      <c r="F512" s="17">
        <v>97446</v>
      </c>
      <c r="G512" s="146">
        <v>92536</v>
      </c>
      <c r="H512" s="125">
        <f>'IS Assumptions'!G84</f>
        <v>50204.183815178105</v>
      </c>
      <c r="I512" s="125">
        <f>'IS Assumptions'!H84</f>
        <v>48994.217093443469</v>
      </c>
      <c r="J512" s="125">
        <f>'IS Assumptions'!I84</f>
        <v>55031.994030459478</v>
      </c>
      <c r="K512" s="125">
        <f>'IS Assumptions'!J84</f>
        <v>61001.343533505409</v>
      </c>
      <c r="L512" s="161">
        <f>'IS Assumptions'!K84</f>
        <v>58653.885317129578</v>
      </c>
    </row>
    <row r="513" spans="1:12" x14ac:dyDescent="0.35">
      <c r="A513" s="4" t="s">
        <v>222</v>
      </c>
      <c r="B513" s="87" t="s">
        <v>478</v>
      </c>
      <c r="D513" s="18" t="s">
        <v>18</v>
      </c>
      <c r="E513" s="18">
        <v>7615</v>
      </c>
      <c r="F513" s="17">
        <v>5022</v>
      </c>
      <c r="G513" s="146">
        <v>2221</v>
      </c>
      <c r="H513" s="125">
        <f>'IS Assumptions'!G85</f>
        <v>11628.166926817703</v>
      </c>
      <c r="I513" s="125">
        <f>'IS Assumptions'!H85</f>
        <v>11195.473087755508</v>
      </c>
      <c r="J513" s="125">
        <f>'IS Assumptions'!I85</f>
        <v>10433.565625551419</v>
      </c>
      <c r="K513" s="125">
        <f>'IS Assumptions'!J85</f>
        <v>9161.0520376027125</v>
      </c>
      <c r="L513" s="161">
        <f>'IS Assumptions'!K85</f>
        <v>0</v>
      </c>
    </row>
    <row r="514" spans="1:12" x14ac:dyDescent="0.35">
      <c r="A514" s="4" t="s">
        <v>223</v>
      </c>
      <c r="B514" s="87" t="s">
        <v>470</v>
      </c>
      <c r="C514" s="86">
        <v>16771</v>
      </c>
      <c r="D514" s="18">
        <v>17024</v>
      </c>
      <c r="E514" s="18">
        <v>16772</v>
      </c>
      <c r="F514" s="17">
        <v>87645</v>
      </c>
      <c r="G514" s="146">
        <v>112185</v>
      </c>
      <c r="H514" s="125">
        <f>'IS Assumptions'!G86</f>
        <v>50079.4</v>
      </c>
      <c r="I514" s="125">
        <f>'IS Assumptions'!H86</f>
        <v>56741.08</v>
      </c>
      <c r="J514" s="125">
        <f>'IS Assumptions'!I86</f>
        <v>64684.496000000006</v>
      </c>
      <c r="K514" s="125">
        <f>'IS Assumptions'!J86</f>
        <v>74266.99519999999</v>
      </c>
      <c r="L514" s="161">
        <f>'IS Assumptions'!K86</f>
        <v>71591.394239999994</v>
      </c>
    </row>
    <row r="515" spans="1:12" ht="29" x14ac:dyDescent="0.35">
      <c r="A515" s="4" t="s">
        <v>215</v>
      </c>
      <c r="B515" s="87" t="s">
        <v>470</v>
      </c>
      <c r="C515" s="86">
        <v>37838</v>
      </c>
      <c r="D515" s="18">
        <v>6579</v>
      </c>
      <c r="E515" s="18">
        <v>43450</v>
      </c>
      <c r="F515" s="17">
        <v>74467</v>
      </c>
      <c r="G515" s="146">
        <v>81445</v>
      </c>
      <c r="H515" s="125">
        <f>'IS Assumptions'!G87</f>
        <v>48755.8</v>
      </c>
      <c r="I515" s="125">
        <f>'IS Assumptions'!H87</f>
        <v>50939.360000000001</v>
      </c>
      <c r="J515" s="125">
        <f>'IS Assumptions'!I87</f>
        <v>59811.431999999993</v>
      </c>
      <c r="K515" s="125">
        <f>'IS Assumptions'!J87</f>
        <v>63083.718399999991</v>
      </c>
      <c r="L515" s="161">
        <f>'IS Assumptions'!K87</f>
        <v>60807.062080000003</v>
      </c>
    </row>
    <row r="516" spans="1:12" x14ac:dyDescent="0.35">
      <c r="A516" s="4" t="s">
        <v>224</v>
      </c>
      <c r="B516" s="87" t="s">
        <v>470</v>
      </c>
      <c r="C516" s="86">
        <v>27722</v>
      </c>
      <c r="D516" s="18">
        <v>8035</v>
      </c>
      <c r="E516" s="18">
        <v>13030</v>
      </c>
      <c r="G516" s="146">
        <v>264</v>
      </c>
      <c r="H516" s="125">
        <f>'IS Assumptions'!G88</f>
        <v>12262.75</v>
      </c>
      <c r="I516" s="125">
        <f>'IS Assumptions'!H88</f>
        <v>8397.9375</v>
      </c>
      <c r="J516" s="125">
        <f>'IS Assumptions'!I88</f>
        <v>8488.671875</v>
      </c>
      <c r="K516" s="125">
        <f>'IS Assumptions'!J88</f>
        <v>7353.33984375</v>
      </c>
      <c r="L516" s="161">
        <f>'IS Assumptions'!K88</f>
        <v>7353.33984375</v>
      </c>
    </row>
    <row r="517" spans="1:12" x14ac:dyDescent="0.35">
      <c r="A517" s="4" t="s">
        <v>147</v>
      </c>
      <c r="B517" s="87" t="s">
        <v>470</v>
      </c>
      <c r="C517" s="86">
        <v>20632</v>
      </c>
      <c r="D517" s="18">
        <v>13413</v>
      </c>
      <c r="E517" s="18">
        <v>16266</v>
      </c>
      <c r="F517" s="17">
        <v>29147</v>
      </c>
      <c r="G517" s="146">
        <v>18392</v>
      </c>
      <c r="H517" s="125">
        <f>'IS Assumptions'!G89</f>
        <v>19570</v>
      </c>
      <c r="I517" s="125">
        <f>'IS Assumptions'!H89</f>
        <v>19357.599999999999</v>
      </c>
      <c r="J517" s="125">
        <f>'IS Assumptions'!I89</f>
        <v>20546.52</v>
      </c>
      <c r="K517" s="125">
        <f>'IS Assumptions'!J89</f>
        <v>21402.624000000003</v>
      </c>
      <c r="L517" s="161">
        <f>'IS Assumptions'!K89</f>
        <v>19853.748800000001</v>
      </c>
    </row>
    <row r="518" spans="1:12" x14ac:dyDescent="0.35">
      <c r="A518" s="165"/>
      <c r="B518" s="5"/>
      <c r="C518" s="135">
        <f>SUM(C508:C517)</f>
        <v>565842</v>
      </c>
      <c r="D518" s="272">
        <f>SUM(D508:D517)</f>
        <v>549854</v>
      </c>
      <c r="E518" s="272">
        <f>SUM(E508:E517)</f>
        <v>682921</v>
      </c>
      <c r="F518" s="272">
        <f>SUM(F508:F517)</f>
        <v>1329287</v>
      </c>
      <c r="G518" s="273">
        <f>SUM(G508:G517)</f>
        <v>1617264</v>
      </c>
      <c r="H518" s="283">
        <f>'IS Assumptions'!G90</f>
        <v>1026983.8712646923</v>
      </c>
      <c r="I518" s="283">
        <f>'IS Assumptions'!H90</f>
        <v>1112756.5348301299</v>
      </c>
      <c r="J518" s="283">
        <f>'IS Assumptions'!I90</f>
        <v>1136135.2208070171</v>
      </c>
      <c r="K518" s="283">
        <f>'IS Assumptions'!J90</f>
        <v>1616142.0110915788</v>
      </c>
      <c r="L518" s="284">
        <f>'IS Assumptions'!K90</f>
        <v>1634267.9323413351</v>
      </c>
    </row>
    <row r="519" spans="1:12" x14ac:dyDescent="0.35">
      <c r="H519" s="125"/>
      <c r="I519" s="125"/>
      <c r="J519" s="125"/>
      <c r="K519" s="125"/>
      <c r="L519" s="161"/>
    </row>
    <row r="520" spans="1:12" x14ac:dyDescent="0.35">
      <c r="A520" s="270" t="s">
        <v>225</v>
      </c>
    </row>
    <row r="521" spans="1:12" x14ac:dyDescent="0.35">
      <c r="A521" s="4" t="s">
        <v>226</v>
      </c>
      <c r="B521" s="87" t="s">
        <v>470</v>
      </c>
      <c r="C521" s="86">
        <v>34926</v>
      </c>
      <c r="D521" s="18">
        <v>66867</v>
      </c>
      <c r="E521" s="18">
        <v>41386</v>
      </c>
      <c r="F521" s="17">
        <v>77501</v>
      </c>
      <c r="G521" s="146">
        <v>83480</v>
      </c>
      <c r="H521" s="125">
        <f>'IS Assumptions'!G93</f>
        <v>60832</v>
      </c>
      <c r="I521" s="125">
        <f>'IS Assumptions'!H93</f>
        <v>66013.2</v>
      </c>
      <c r="J521" s="125">
        <f>'IS Assumptions'!I93</f>
        <v>65842.44</v>
      </c>
      <c r="K521" s="125">
        <f>'IS Assumptions'!J93</f>
        <v>70733.728000000003</v>
      </c>
      <c r="L521" s="161">
        <f>'IS Assumptions'!K93</f>
        <v>69380.2736</v>
      </c>
    </row>
    <row r="522" spans="1:12" x14ac:dyDescent="0.35">
      <c r="A522" s="4" t="s">
        <v>227</v>
      </c>
      <c r="B522" s="87" t="s">
        <v>470</v>
      </c>
      <c r="C522" s="86">
        <v>4503</v>
      </c>
      <c r="D522" s="18">
        <v>4408</v>
      </c>
      <c r="E522" s="18">
        <v>5284</v>
      </c>
      <c r="F522" s="17">
        <v>11610</v>
      </c>
      <c r="G522" s="146">
        <v>32386</v>
      </c>
      <c r="H522" s="125">
        <f>'IS Assumptions'!G94</f>
        <v>11638.2</v>
      </c>
      <c r="I522" s="125">
        <f>'IS Assumptions'!H94</f>
        <v>13065.24</v>
      </c>
      <c r="J522" s="125">
        <f>'IS Assumptions'!I94</f>
        <v>14796.688</v>
      </c>
      <c r="K522" s="125">
        <f>'IS Assumptions'!J94</f>
        <v>16699.225599999998</v>
      </c>
      <c r="L522" s="161">
        <f>'IS Assumptions'!K94</f>
        <v>17717.07072</v>
      </c>
    </row>
    <row r="523" spans="1:12" x14ac:dyDescent="0.35">
      <c r="A523" s="4" t="s">
        <v>228</v>
      </c>
      <c r="B523" s="87" t="s">
        <v>470</v>
      </c>
      <c r="C523" s="86">
        <v>56759</v>
      </c>
      <c r="D523" s="18">
        <v>11910</v>
      </c>
      <c r="E523" s="18">
        <v>277486</v>
      </c>
      <c r="F523" s="17">
        <v>174010</v>
      </c>
      <c r="G523" s="146">
        <v>145216</v>
      </c>
      <c r="H523" s="125">
        <f>'IS Assumptions'!G95</f>
        <v>133076.20000000001</v>
      </c>
      <c r="I523" s="125">
        <f>'IS Assumptions'!H95</f>
        <v>148339.63999999998</v>
      </c>
      <c r="J523" s="125">
        <f>'IS Assumptions'!I95</f>
        <v>175625.568</v>
      </c>
      <c r="K523" s="125">
        <f>'IS Assumptions'!J95</f>
        <v>155253.4816</v>
      </c>
      <c r="L523" s="161">
        <f>'IS Assumptions'!K95</f>
        <v>151502.17791999999</v>
      </c>
    </row>
    <row r="524" spans="1:12" x14ac:dyDescent="0.35">
      <c r="A524" s="4" t="s">
        <v>334</v>
      </c>
      <c r="B524" s="87" t="s">
        <v>484</v>
      </c>
      <c r="C524" s="86">
        <v>798</v>
      </c>
      <c r="D524" s="18">
        <v>5762</v>
      </c>
      <c r="E524" s="18">
        <v>16</v>
      </c>
      <c r="F524" s="17">
        <v>-1093</v>
      </c>
      <c r="H524" s="125">
        <f>'IS Assumptions'!G96</f>
        <v>1517.9915636156186</v>
      </c>
      <c r="I524" s="125">
        <f>'IS Assumptions'!H96</f>
        <v>1630.308579658197</v>
      </c>
      <c r="J524" s="125">
        <f>'IS Assumptions'!I96</f>
        <v>1768.1665580784675</v>
      </c>
      <c r="K524" s="125">
        <f>'IS Assumptions'!J96</f>
        <v>1944.2740051145504</v>
      </c>
      <c r="L524" s="161">
        <f>'IS Assumptions'!K96</f>
        <v>2002.5604037393509</v>
      </c>
    </row>
    <row r="525" spans="1:12" x14ac:dyDescent="0.35">
      <c r="A525" s="4" t="s">
        <v>229</v>
      </c>
      <c r="B525" s="87" t="s">
        <v>470</v>
      </c>
      <c r="C525" s="86">
        <v>774578</v>
      </c>
      <c r="D525" s="18">
        <v>175197</v>
      </c>
      <c r="E525" s="18">
        <v>626696</v>
      </c>
      <c r="F525" s="17">
        <v>1952758</v>
      </c>
      <c r="G525" s="146">
        <v>852103</v>
      </c>
      <c r="H525" s="125">
        <f>'IS Assumptions'!G97</f>
        <v>876266.4</v>
      </c>
      <c r="I525" s="125">
        <f>'IS Assumptions'!H97</f>
        <v>896604.08000000007</v>
      </c>
      <c r="J525" s="125">
        <f>'IS Assumptions'!I97</f>
        <v>1040885.496</v>
      </c>
      <c r="K525" s="125">
        <f>'IS Assumptions'!J97</f>
        <v>1123723.3952000001</v>
      </c>
      <c r="L525" s="161">
        <f>'IS Assumptions'!K97</f>
        <v>957916.47424000001</v>
      </c>
    </row>
    <row r="526" spans="1:12" x14ac:dyDescent="0.35">
      <c r="A526" s="4" t="s">
        <v>230</v>
      </c>
      <c r="B526" s="87" t="s">
        <v>485</v>
      </c>
      <c r="C526" s="86">
        <v>73698</v>
      </c>
      <c r="D526" s="18">
        <v>132255</v>
      </c>
      <c r="E526" s="18">
        <v>329748</v>
      </c>
      <c r="F526" s="17">
        <v>356392</v>
      </c>
      <c r="G526" s="146">
        <v>138993</v>
      </c>
      <c r="H526" s="125">
        <f>'IS Assumptions'!G98</f>
        <v>268720.26708622911</v>
      </c>
      <c r="I526" s="125">
        <f>'IS Assumptions'!H98</f>
        <v>292141.67349148216</v>
      </c>
      <c r="J526" s="125">
        <f>'IS Assumptions'!I98</f>
        <v>305934.27439112955</v>
      </c>
      <c r="K526" s="125">
        <f>'IS Assumptions'!J98</f>
        <v>341729.09835464734</v>
      </c>
      <c r="L526" s="161">
        <f>'IS Assumptions'!K98</f>
        <v>361969.82088355144</v>
      </c>
    </row>
    <row r="527" spans="1:12" x14ac:dyDescent="0.35">
      <c r="A527" s="4" t="s">
        <v>231</v>
      </c>
      <c r="B527" s="87" t="s">
        <v>485</v>
      </c>
      <c r="C527" s="86">
        <v>269296</v>
      </c>
      <c r="D527" s="18">
        <v>439389</v>
      </c>
      <c r="E527" s="18">
        <v>1073579</v>
      </c>
      <c r="F527" s="17">
        <v>881182</v>
      </c>
      <c r="G527" s="146">
        <v>460924</v>
      </c>
      <c r="H527" s="125">
        <f>'IS Assumptions'!G99</f>
        <v>814269.16947393492</v>
      </c>
      <c r="I527" s="125">
        <f>'IS Assumptions'!H99</f>
        <v>885240.10645725206</v>
      </c>
      <c r="J527" s="125">
        <f>'IS Assumptions'!I99</f>
        <v>927034.08724336629</v>
      </c>
      <c r="K527" s="125">
        <f>'IS Assumptions'!J99</f>
        <v>1035498.6325353167</v>
      </c>
      <c r="L527" s="161">
        <f>'IS Assumptions'!K99</f>
        <v>1096831.5439002581</v>
      </c>
    </row>
    <row r="528" spans="1:12" x14ac:dyDescent="0.35">
      <c r="A528" s="165"/>
      <c r="B528" s="5"/>
      <c r="C528" s="135">
        <f>SUM(C521:C527)</f>
        <v>1214558</v>
      </c>
      <c r="D528" s="272">
        <f>SUM(D521:D527)</f>
        <v>835788</v>
      </c>
      <c r="E528" s="272">
        <f>SUM(E521:E527)</f>
        <v>2354195</v>
      </c>
      <c r="F528" s="272">
        <f>SUM(F521:F527)</f>
        <v>3452360</v>
      </c>
      <c r="G528" s="273">
        <f>SUM(G521:G527)</f>
        <v>1713102</v>
      </c>
      <c r="H528" s="283">
        <f>'IS Assumptions'!G100</f>
        <v>2166320.2281237794</v>
      </c>
      <c r="I528" s="283">
        <f>'IS Assumptions'!H100</f>
        <v>2303034.2485283925</v>
      </c>
      <c r="J528" s="283">
        <f>'IS Assumptions'!I100</f>
        <v>2531886.7201925744</v>
      </c>
      <c r="K528" s="283">
        <f>'IS Assumptions'!J100</f>
        <v>2745581.8352950788</v>
      </c>
      <c r="L528" s="284">
        <f>'IS Assumptions'!K100</f>
        <v>2657319.9216675488</v>
      </c>
    </row>
    <row r="529" spans="1:12" x14ac:dyDescent="0.35">
      <c r="H529" s="8"/>
      <c r="I529" s="8"/>
      <c r="J529" s="8"/>
      <c r="K529" s="8"/>
      <c r="L529" s="156"/>
    </row>
    <row r="530" spans="1:12" x14ac:dyDescent="0.35">
      <c r="A530" s="270" t="s">
        <v>232</v>
      </c>
    </row>
    <row r="531" spans="1:12" x14ac:dyDescent="0.35">
      <c r="A531" s="7" t="s">
        <v>233</v>
      </c>
      <c r="I531" s="11"/>
      <c r="J531" s="8"/>
      <c r="K531" s="8"/>
    </row>
    <row r="532" spans="1:12" x14ac:dyDescent="0.35">
      <c r="A532" s="4" t="s">
        <v>235</v>
      </c>
      <c r="B532" t="s">
        <v>470</v>
      </c>
      <c r="C532" s="86">
        <v>30657</v>
      </c>
      <c r="D532" s="18">
        <v>45251</v>
      </c>
      <c r="E532" s="18">
        <v>54242</v>
      </c>
      <c r="F532" s="17">
        <v>129214</v>
      </c>
      <c r="G532" s="146">
        <v>169741</v>
      </c>
      <c r="H532" s="125">
        <f>'IS Assumptions'!G113</f>
        <v>85821</v>
      </c>
      <c r="I532" s="125">
        <f>'IS Assumptions'!H113</f>
        <v>96853.8</v>
      </c>
      <c r="J532" s="125">
        <f>'IS Assumptions'!I113</f>
        <v>107174.36000000002</v>
      </c>
      <c r="K532" s="125">
        <f>'IS Assumptions'!J113</f>
        <v>117760.83200000001</v>
      </c>
      <c r="L532" s="161">
        <f>'IS Assumptions'!K113</f>
        <v>115470.19840000002</v>
      </c>
    </row>
    <row r="533" spans="1:12" x14ac:dyDescent="0.35">
      <c r="A533" s="4" t="s">
        <v>236</v>
      </c>
      <c r="B533" t="s">
        <v>470</v>
      </c>
      <c r="C533" s="86">
        <v>790660</v>
      </c>
      <c r="D533" s="18">
        <v>842816</v>
      </c>
      <c r="E533" s="18">
        <v>1164022</v>
      </c>
      <c r="F533" s="17">
        <v>1268381</v>
      </c>
      <c r="G533" s="146">
        <v>957228</v>
      </c>
      <c r="H533" s="125">
        <f>'IS Assumptions'!G114</f>
        <v>1004621.4</v>
      </c>
      <c r="I533" s="125">
        <f>'IS Assumptions'!H114</f>
        <v>1047413.68</v>
      </c>
      <c r="J533" s="125">
        <f>'IS Assumptions'!I114</f>
        <v>1088333.216</v>
      </c>
      <c r="K533" s="125">
        <f>'IS Assumptions'!J114</f>
        <v>1073195.4591999999</v>
      </c>
      <c r="L533" s="161">
        <f>'IS Assumptions'!K114</f>
        <v>1034158.3510400001</v>
      </c>
    </row>
    <row r="534" spans="1:12" ht="29" x14ac:dyDescent="0.35">
      <c r="A534" s="4" t="s">
        <v>237</v>
      </c>
      <c r="B534" t="s">
        <v>470</v>
      </c>
      <c r="C534" s="86" t="s">
        <v>18</v>
      </c>
      <c r="D534" s="18">
        <v>118336</v>
      </c>
      <c r="E534" s="18">
        <v>57918</v>
      </c>
      <c r="G534" s="146">
        <v>165447</v>
      </c>
      <c r="H534" s="125">
        <f>'IS Assumptions'!G115</f>
        <v>113900.33333333333</v>
      </c>
      <c r="I534" s="125">
        <f>'IS Assumptions'!H115</f>
        <v>113900.33333333333</v>
      </c>
      <c r="J534" s="125">
        <f>'IS Assumptions'!I115</f>
        <v>112791.41666666666</v>
      </c>
      <c r="K534" s="125">
        <f>'IS Assumptions'!J115</f>
        <v>126509.77083333331</v>
      </c>
      <c r="L534" s="161">
        <f>'IS Assumptions'!K115</f>
        <v>126509.7708333333</v>
      </c>
    </row>
    <row r="535" spans="1:12" ht="29" x14ac:dyDescent="0.35">
      <c r="A535" s="4" t="s">
        <v>238</v>
      </c>
      <c r="C535" s="86" t="s">
        <v>18</v>
      </c>
      <c r="D535" s="18"/>
      <c r="G535" s="146">
        <v>47158</v>
      </c>
      <c r="H535" s="125"/>
      <c r="I535" s="125"/>
      <c r="J535" s="125"/>
      <c r="K535" s="125"/>
      <c r="L535" s="161"/>
    </row>
    <row r="536" spans="1:12" x14ac:dyDescent="0.35">
      <c r="C536" s="86">
        <f>SUM(C532:C535)</f>
        <v>821317</v>
      </c>
      <c r="D536" s="17">
        <f>SUM(D532:D535)</f>
        <v>1006403</v>
      </c>
      <c r="E536" s="17">
        <f>SUM(E532:E535)</f>
        <v>1276182</v>
      </c>
      <c r="F536" s="17">
        <f>SUM(F532:F535)</f>
        <v>1397595</v>
      </c>
      <c r="G536" s="146">
        <f>SUM(G532:G535)</f>
        <v>1339574</v>
      </c>
      <c r="H536" s="125">
        <f>'IS Assumptions'!G117</f>
        <v>1204342.7333333332</v>
      </c>
      <c r="I536" s="125">
        <f>'IS Assumptions'!H117</f>
        <v>1258167.8133333332</v>
      </c>
      <c r="J536" s="125">
        <f>'IS Assumptions'!I117</f>
        <v>1308298.9926666669</v>
      </c>
      <c r="K536" s="125">
        <f>'IS Assumptions'!J117</f>
        <v>1317466.0620333331</v>
      </c>
      <c r="L536" s="161">
        <f>'IS Assumptions'!K117</f>
        <v>1276138.3202733335</v>
      </c>
    </row>
    <row r="537" spans="1:12" x14ac:dyDescent="0.35">
      <c r="A537" s="7" t="s">
        <v>234</v>
      </c>
      <c r="H537" s="125"/>
      <c r="I537" s="125"/>
      <c r="J537" s="125"/>
      <c r="K537" s="125"/>
      <c r="L537" s="161"/>
    </row>
    <row r="538" spans="1:12" x14ac:dyDescent="0.35">
      <c r="A538" s="4" t="s">
        <v>239</v>
      </c>
      <c r="B538" t="s">
        <v>486</v>
      </c>
      <c r="C538" s="86">
        <v>63130</v>
      </c>
      <c r="D538" s="17">
        <v>43593</v>
      </c>
      <c r="E538" s="18">
        <v>30455</v>
      </c>
      <c r="F538" s="17">
        <v>31546</v>
      </c>
      <c r="G538" s="146">
        <v>111134</v>
      </c>
      <c r="H538" s="125">
        <f>'IS Assumptions'!G119</f>
        <v>66248.352913973184</v>
      </c>
      <c r="I538" s="125">
        <f>'IS Assumptions'!H119</f>
        <v>64174.116394708013</v>
      </c>
      <c r="J538" s="125">
        <f>'IS Assumptions'!I119</f>
        <v>73210.643448192437</v>
      </c>
      <c r="K538" s="125">
        <f>'IS Assumptions'!J119</f>
        <v>81183.529746389249</v>
      </c>
      <c r="L538" s="161">
        <f>'IS Assumptions'!K119</f>
        <v>90009.259576118115</v>
      </c>
    </row>
    <row r="539" spans="1:12" x14ac:dyDescent="0.35">
      <c r="A539" s="4" t="s">
        <v>240</v>
      </c>
      <c r="B539" t="s">
        <v>488</v>
      </c>
      <c r="E539" s="18">
        <v>1831</v>
      </c>
      <c r="F539" s="17">
        <v>1093</v>
      </c>
      <c r="G539" s="146">
        <v>4900</v>
      </c>
      <c r="H539" s="125"/>
      <c r="I539" s="125"/>
      <c r="J539" s="125"/>
      <c r="K539" s="125"/>
      <c r="L539" s="161"/>
    </row>
    <row r="540" spans="1:12" x14ac:dyDescent="0.35">
      <c r="A540" s="4" t="s">
        <v>241</v>
      </c>
      <c r="G540" s="146">
        <v>239327</v>
      </c>
      <c r="H540" s="125"/>
      <c r="I540" s="125"/>
      <c r="J540" s="125"/>
      <c r="K540" s="125"/>
      <c r="L540" s="161"/>
    </row>
    <row r="541" spans="1:12" x14ac:dyDescent="0.35">
      <c r="A541" s="4" t="s">
        <v>147</v>
      </c>
      <c r="B541" t="s">
        <v>487</v>
      </c>
      <c r="C541" s="86">
        <v>9815</v>
      </c>
      <c r="D541" s="17">
        <v>36876</v>
      </c>
      <c r="E541" s="18">
        <v>32286</v>
      </c>
      <c r="F541" s="17">
        <v>12228</v>
      </c>
      <c r="G541" s="146">
        <v>11521</v>
      </c>
      <c r="H541" s="125">
        <f>'IS Assumptions'!G122</f>
        <v>24792.400000000001</v>
      </c>
      <c r="I541" s="125">
        <f>'IS Assumptions'!H122</f>
        <v>32527.119999999995</v>
      </c>
      <c r="J541" s="125">
        <f>'IS Assumptions'!I122</f>
        <v>20061.576000000001</v>
      </c>
      <c r="K541" s="125">
        <f>'IS Assumptions'!J122</f>
        <v>12891.364800000001</v>
      </c>
      <c r="L541" s="161">
        <f>'IS Assumptions'!K122</f>
        <v>20756.711039999998</v>
      </c>
    </row>
    <row r="542" spans="1:12" x14ac:dyDescent="0.35">
      <c r="A542" s="165"/>
      <c r="B542" s="5"/>
      <c r="C542" s="135">
        <f>SUM(C536:C541)</f>
        <v>894262</v>
      </c>
      <c r="D542" s="272">
        <f>SUM(D536:D539)</f>
        <v>1049996</v>
      </c>
      <c r="E542" s="272">
        <f>SUM(E536:E539)</f>
        <v>1308468</v>
      </c>
      <c r="F542" s="272">
        <f>SUM(F536:F541)</f>
        <v>1442462</v>
      </c>
      <c r="G542" s="273">
        <f>SUM(G536:G541)</f>
        <v>1706456</v>
      </c>
      <c r="H542" s="283">
        <f>'IS Assumptions'!G123</f>
        <v>1295383.4862473062</v>
      </c>
      <c r="I542" s="283">
        <f>'IS Assumptions'!H123</f>
        <v>1354869.049728041</v>
      </c>
      <c r="J542" s="283">
        <f>'IS Assumptions'!I123</f>
        <v>1401571.2121148594</v>
      </c>
      <c r="K542" s="283">
        <f>'IS Assumptions'!J123</f>
        <v>1411540.9565797225</v>
      </c>
      <c r="L542" s="284">
        <f>'IS Assumptions'!K123</f>
        <v>1386904.2908894515</v>
      </c>
    </row>
    <row r="543" spans="1:12" x14ac:dyDescent="0.35">
      <c r="H543" s="125"/>
      <c r="I543" s="125"/>
      <c r="J543" s="125"/>
      <c r="K543" s="125"/>
      <c r="L543" s="161"/>
    </row>
    <row r="544" spans="1:12" x14ac:dyDescent="0.35">
      <c r="A544" s="270" t="s">
        <v>242</v>
      </c>
      <c r="H544" s="125"/>
      <c r="I544" s="125"/>
      <c r="J544" s="125"/>
      <c r="K544" s="125"/>
      <c r="L544" s="161"/>
    </row>
    <row r="545" spans="1:12" x14ac:dyDescent="0.35">
      <c r="A545" s="4" t="s">
        <v>243</v>
      </c>
      <c r="H545" s="125"/>
      <c r="I545" s="125"/>
      <c r="J545" s="125"/>
      <c r="K545" s="125"/>
      <c r="L545" s="161"/>
    </row>
    <row r="546" spans="1:12" x14ac:dyDescent="0.35">
      <c r="A546" s="4" t="s">
        <v>245</v>
      </c>
      <c r="B546" t="s">
        <v>490</v>
      </c>
      <c r="C546" s="86">
        <v>1190039</v>
      </c>
      <c r="D546" s="18">
        <v>1632887</v>
      </c>
      <c r="E546" s="18">
        <v>1338676</v>
      </c>
      <c r="F546" s="17">
        <v>2048083</v>
      </c>
      <c r="G546" s="146">
        <v>3903082</v>
      </c>
      <c r="H546" s="125">
        <f>'IS Assumptions'!G127</f>
        <v>559473.50838500005</v>
      </c>
      <c r="I546" s="125">
        <f>'IS Assumptions'!H127</f>
        <v>376012.79385000002</v>
      </c>
      <c r="J546" s="125">
        <f>'IS Assumptions'!I127</f>
        <v>605814.91532142856</v>
      </c>
      <c r="K546" s="125">
        <f>'IS Assumptions'!J127</f>
        <v>425506.60234999994</v>
      </c>
      <c r="L546" s="161">
        <f>'IS Assumptions'!K127</f>
        <v>595758.58962142863</v>
      </c>
    </row>
    <row r="547" spans="1:12" x14ac:dyDescent="0.35">
      <c r="A547" s="4" t="s">
        <v>246</v>
      </c>
      <c r="B547" t="s">
        <v>602</v>
      </c>
      <c r="C547" s="86">
        <v>333081</v>
      </c>
      <c r="D547" s="18">
        <v>302368</v>
      </c>
      <c r="E547" s="18">
        <v>258123</v>
      </c>
      <c r="F547" s="17">
        <v>235064</v>
      </c>
      <c r="G547" s="146">
        <v>204984</v>
      </c>
      <c r="H547" s="125">
        <f>H370</f>
        <v>1164235.3211974571</v>
      </c>
      <c r="I547" s="125">
        <f t="shared" ref="I547:L547" si="137">I370</f>
        <v>0</v>
      </c>
      <c r="J547" s="125">
        <f t="shared" si="137"/>
        <v>0</v>
      </c>
      <c r="K547" s="125">
        <f t="shared" si="137"/>
        <v>0</v>
      </c>
      <c r="L547" s="125">
        <f t="shared" si="137"/>
        <v>0</v>
      </c>
    </row>
    <row r="548" spans="1:12" x14ac:dyDescent="0.35">
      <c r="A548" s="4" t="s">
        <v>247</v>
      </c>
      <c r="B548" t="s">
        <v>470</v>
      </c>
      <c r="C548" s="86">
        <v>109845</v>
      </c>
      <c r="D548" s="18">
        <v>102413</v>
      </c>
      <c r="E548" s="18">
        <v>5742</v>
      </c>
      <c r="F548" s="17">
        <v>42339</v>
      </c>
      <c r="G548" s="146">
        <v>245041</v>
      </c>
      <c r="H548" s="125">
        <f>'IS Assumptions'!G129</f>
        <v>101076</v>
      </c>
      <c r="I548" s="125">
        <f>'IS Assumptions'!H129</f>
        <v>99322.2</v>
      </c>
      <c r="J548" s="125">
        <f>'IS Assumptions'!I129</f>
        <v>98704.040000000008</v>
      </c>
      <c r="K548" s="125">
        <f>'IS Assumptions'!J129</f>
        <v>117296.448</v>
      </c>
      <c r="L548" s="161">
        <f>'IS Assumptions'!K129</f>
        <v>132287.9376</v>
      </c>
    </row>
    <row r="549" spans="1:12" x14ac:dyDescent="0.35">
      <c r="A549" s="4" t="s">
        <v>244</v>
      </c>
      <c r="E549" s="18"/>
      <c r="H549" s="125"/>
      <c r="I549" s="125"/>
      <c r="J549" s="125"/>
      <c r="K549" s="125"/>
      <c r="L549" s="161"/>
    </row>
    <row r="550" spans="1:12" x14ac:dyDescent="0.35">
      <c r="A550" s="4" t="s">
        <v>248</v>
      </c>
      <c r="B550" t="s">
        <v>601</v>
      </c>
      <c r="E550" s="18">
        <v>-13699</v>
      </c>
      <c r="F550" s="17">
        <v>-29778</v>
      </c>
      <c r="G550" s="146">
        <v>-58521</v>
      </c>
      <c r="H550" s="146">
        <f>H364</f>
        <v>-11588.333333333336</v>
      </c>
      <c r="I550" s="146">
        <f t="shared" ref="I550:L550" si="138">I364</f>
        <v>-42390.611111111109</v>
      </c>
      <c r="J550" s="146">
        <f t="shared" si="138"/>
        <v>-45565.175925925927</v>
      </c>
      <c r="K550" s="146">
        <f t="shared" si="138"/>
        <v>-16192.952160493824</v>
      </c>
      <c r="L550" s="146">
        <f t="shared" si="138"/>
        <v>-47815.075874485599</v>
      </c>
    </row>
    <row r="551" spans="1:12" x14ac:dyDescent="0.35">
      <c r="D551" s="18"/>
      <c r="E551" s="17">
        <f>SUM(E546:E550)</f>
        <v>1588842</v>
      </c>
      <c r="F551" s="17">
        <f>SUM(F546:F550)</f>
        <v>2295708</v>
      </c>
      <c r="G551" s="146">
        <f>SUM(G546:G550)</f>
        <v>4294586</v>
      </c>
      <c r="H551" s="125">
        <f>'IS Assumptions'!G132</f>
        <v>957973.77505166677</v>
      </c>
      <c r="I551" s="125">
        <f>'IS Assumptions'!H132</f>
        <v>706733.74051666667</v>
      </c>
      <c r="J551" s="125">
        <f>'IS Assumptions'!I132</f>
        <v>907336.20598809526</v>
      </c>
      <c r="K551" s="125">
        <f>'IS Assumptions'!J132</f>
        <v>746697.05354999995</v>
      </c>
      <c r="L551" s="161">
        <f>'IS Assumptions'!K132</f>
        <v>948579.62258142873</v>
      </c>
    </row>
    <row r="552" spans="1:12" ht="29" x14ac:dyDescent="0.35">
      <c r="A552" s="4" t="s">
        <v>345</v>
      </c>
      <c r="B552" t="s">
        <v>489</v>
      </c>
      <c r="C552" s="86">
        <v>0</v>
      </c>
      <c r="D552" s="17">
        <v>2800</v>
      </c>
      <c r="E552" s="17">
        <v>0</v>
      </c>
      <c r="F552" s="17">
        <v>0</v>
      </c>
      <c r="G552" s="146">
        <v>0</v>
      </c>
      <c r="H552" s="125" cm="1">
        <f t="array" ref="H552:L552">TREND(C552:G552)</f>
        <v>1119.9999999999995</v>
      </c>
      <c r="I552" s="125">
        <v>839.99999999999977</v>
      </c>
      <c r="J552" s="125">
        <v>560</v>
      </c>
      <c r="K552" s="125">
        <v>280.00000000000023</v>
      </c>
      <c r="L552" s="161">
        <v>4.5474735088646412E-13</v>
      </c>
    </row>
    <row r="553" spans="1:12" ht="29" x14ac:dyDescent="0.35">
      <c r="A553" s="4" t="s">
        <v>603</v>
      </c>
      <c r="B553" t="s">
        <v>489</v>
      </c>
      <c r="C553" s="86">
        <v>8607</v>
      </c>
      <c r="D553" s="17">
        <v>0</v>
      </c>
      <c r="E553" s="17">
        <v>0</v>
      </c>
      <c r="F553" s="17">
        <v>0</v>
      </c>
      <c r="G553" s="17">
        <v>0</v>
      </c>
      <c r="H553" s="125">
        <f>IF(TREND(C553:G553)&lt;0,0,TREND(C553:G553))</f>
        <v>5164.2000000000007</v>
      </c>
      <c r="I553" s="125">
        <f t="shared" ref="I553:L553" si="139">IF(TREND(D553:H553)&lt;0,0,TREND(D553:H553))</f>
        <v>0</v>
      </c>
      <c r="J553" s="125">
        <f t="shared" si="139"/>
        <v>3.4106051316484809E-13</v>
      </c>
      <c r="K553" s="125">
        <f t="shared" si="139"/>
        <v>1032.8399999999999</v>
      </c>
      <c r="L553" s="125">
        <f t="shared" si="139"/>
        <v>1859.1120000000001</v>
      </c>
    </row>
    <row r="554" spans="1:12" x14ac:dyDescent="0.35">
      <c r="A554" s="4" t="s">
        <v>249</v>
      </c>
      <c r="B554" t="s">
        <v>470</v>
      </c>
      <c r="C554" s="86">
        <v>11007</v>
      </c>
      <c r="D554" s="18">
        <v>19797</v>
      </c>
      <c r="E554" s="18">
        <v>28569</v>
      </c>
      <c r="F554" s="17">
        <v>13418</v>
      </c>
      <c r="G554" s="146">
        <v>17197</v>
      </c>
      <c r="H554" s="125">
        <f>'IS Assumptions'!G135</f>
        <v>17997.599999999999</v>
      </c>
      <c r="I554" s="125">
        <f>'IS Assumptions'!H135</f>
        <v>19395.72</v>
      </c>
      <c r="J554" s="125">
        <f>'IS Assumptions'!I135</f>
        <v>19315.464</v>
      </c>
      <c r="K554" s="125">
        <f>'IS Assumptions'!J135</f>
        <v>17464.756800000003</v>
      </c>
      <c r="L554" s="161">
        <f>'IS Assumptions'!K135</f>
        <v>18274.10816</v>
      </c>
    </row>
    <row r="555" spans="1:12" x14ac:dyDescent="0.35">
      <c r="A555" s="4" t="s">
        <v>250</v>
      </c>
      <c r="B555" t="s">
        <v>470</v>
      </c>
      <c r="C555" s="86">
        <v>22000</v>
      </c>
      <c r="D555" s="18">
        <v>43822</v>
      </c>
      <c r="E555" s="18">
        <v>42691</v>
      </c>
      <c r="F555" s="17">
        <v>95695</v>
      </c>
      <c r="G555" s="146">
        <v>68161</v>
      </c>
      <c r="H555" s="125">
        <f>'IS Assumptions'!G136</f>
        <v>54473.8</v>
      </c>
      <c r="I555" s="125">
        <f>'IS Assumptions'!H136</f>
        <v>60968.56</v>
      </c>
      <c r="J555" s="125">
        <f>'IS Assumptions'!I136</f>
        <v>64397.871999999996</v>
      </c>
      <c r="K555" s="125">
        <f>'IS Assumptions'!J136</f>
        <v>68739.246399999989</v>
      </c>
      <c r="L555" s="161">
        <f>'IS Assumptions'!K136</f>
        <v>63348.095679999991</v>
      </c>
    </row>
    <row r="556" spans="1:12" x14ac:dyDescent="0.35">
      <c r="A556" s="4" t="s">
        <v>336</v>
      </c>
      <c r="C556" s="86" t="s">
        <v>18</v>
      </c>
      <c r="D556" s="18" t="s">
        <v>18</v>
      </c>
      <c r="E556" s="18">
        <v>1603</v>
      </c>
      <c r="H556" s="125"/>
      <c r="I556" s="125"/>
      <c r="J556" s="125"/>
      <c r="K556" s="125"/>
      <c r="L556" s="161"/>
    </row>
    <row r="557" spans="1:12" ht="29" x14ac:dyDescent="0.35">
      <c r="A557" s="4" t="s">
        <v>251</v>
      </c>
      <c r="B557" t="s">
        <v>608</v>
      </c>
      <c r="C557" s="86">
        <v>0</v>
      </c>
      <c r="D557" s="18">
        <v>18048</v>
      </c>
      <c r="E557" s="18">
        <v>156583</v>
      </c>
      <c r="F557" s="17">
        <v>503733</v>
      </c>
      <c r="G557" s="146">
        <v>-678364</v>
      </c>
      <c r="H557" s="125"/>
      <c r="I557" s="125"/>
      <c r="J557" s="125"/>
      <c r="K557" s="125"/>
      <c r="L557" s="161"/>
    </row>
    <row r="558" spans="1:12" x14ac:dyDescent="0.35">
      <c r="A558" s="4" t="s">
        <v>356</v>
      </c>
      <c r="C558" s="86">
        <v>73406</v>
      </c>
      <c r="D558" s="18"/>
      <c r="E558" s="18"/>
      <c r="H558" s="125"/>
      <c r="I558" s="125"/>
      <c r="J558" s="125"/>
      <c r="K558" s="125"/>
      <c r="L558" s="161"/>
    </row>
    <row r="559" spans="1:12" x14ac:dyDescent="0.35">
      <c r="A559" s="4" t="s">
        <v>335</v>
      </c>
      <c r="B559" t="s">
        <v>470</v>
      </c>
      <c r="C559" s="86">
        <v>11693</v>
      </c>
      <c r="D559" s="18">
        <v>1014</v>
      </c>
      <c r="E559" s="18">
        <v>10117</v>
      </c>
      <c r="F559" s="17">
        <v>1381</v>
      </c>
      <c r="H559" s="125">
        <f>'IS Assumptions'!G140</f>
        <v>6051.25</v>
      </c>
      <c r="I559" s="125">
        <f>'IS Assumptions'!H140</f>
        <v>4640.8125</v>
      </c>
      <c r="J559" s="125">
        <f>'IS Assumptions'!I140</f>
        <v>5547.515625</v>
      </c>
      <c r="K559" s="125">
        <f>'IS Assumptions'!J140</f>
        <v>4405.14453125</v>
      </c>
      <c r="L559" s="161">
        <f>'IS Assumptions'!K140</f>
        <v>5161.1806640625</v>
      </c>
    </row>
    <row r="560" spans="1:12" x14ac:dyDescent="0.35">
      <c r="A560" s="4" t="s">
        <v>252</v>
      </c>
      <c r="B560" t="s">
        <v>470</v>
      </c>
      <c r="C560" s="86">
        <v>634</v>
      </c>
      <c r="D560" s="18">
        <v>46539</v>
      </c>
      <c r="E560" s="18">
        <v>17975</v>
      </c>
      <c r="F560" s="17">
        <v>84612</v>
      </c>
      <c r="G560" s="146">
        <v>237492</v>
      </c>
      <c r="H560" s="125">
        <f>'IS Assumptions'!G141</f>
        <v>77450.399999999994</v>
      </c>
      <c r="I560" s="125">
        <f>'IS Assumptions'!H141</f>
        <v>92813.680000000008</v>
      </c>
      <c r="J560" s="125">
        <f>'IS Assumptions'!I141</f>
        <v>102068.61600000001</v>
      </c>
      <c r="K560" s="125">
        <f>'IS Assumptions'!J141</f>
        <v>118887.3392</v>
      </c>
      <c r="L560" s="161">
        <f>'IS Assumptions'!K141</f>
        <v>125742.40704000001</v>
      </c>
    </row>
    <row r="561" spans="1:12" x14ac:dyDescent="0.35">
      <c r="A561" s="4" t="s">
        <v>253</v>
      </c>
      <c r="B561" t="s">
        <v>470</v>
      </c>
      <c r="C561" s="86">
        <v>25271</v>
      </c>
      <c r="D561" s="18">
        <v>21409</v>
      </c>
      <c r="E561" s="18">
        <v>55559</v>
      </c>
      <c r="F561" s="17">
        <v>88385</v>
      </c>
      <c r="G561" s="146">
        <v>258136</v>
      </c>
      <c r="H561" s="125">
        <f>'IS Assumptions'!G142</f>
        <v>89752</v>
      </c>
      <c r="I561" s="125">
        <f>'IS Assumptions'!H142</f>
        <v>102648.2</v>
      </c>
      <c r="J561" s="125">
        <f>'IS Assumptions'!I142</f>
        <v>118896.04</v>
      </c>
      <c r="K561" s="125">
        <f>'IS Assumptions'!J142</f>
        <v>131563.448</v>
      </c>
      <c r="L561" s="161">
        <f>'IS Assumptions'!K142</f>
        <v>140199.13759999999</v>
      </c>
    </row>
    <row r="562" spans="1:12" x14ac:dyDescent="0.35">
      <c r="A562" s="165"/>
      <c r="B562" s="5"/>
      <c r="C562" s="285">
        <f>SUM(C546:C561)</f>
        <v>1785583</v>
      </c>
      <c r="D562" s="286">
        <f>SUM(D546:D561)</f>
        <v>2191097</v>
      </c>
      <c r="E562" s="272">
        <f>SUM(E551:E561)</f>
        <v>1901939</v>
      </c>
      <c r="F562" s="272">
        <f>SUM(F551:F561)</f>
        <v>3082932</v>
      </c>
      <c r="G562" s="273">
        <f>SUM(G551:G561)</f>
        <v>4197208</v>
      </c>
      <c r="H562" s="283">
        <f>'IS Assumptions'!G143</f>
        <v>1203698.8250516667</v>
      </c>
      <c r="I562" s="283">
        <f>'IS Assumptions'!H143</f>
        <v>987200.71301666659</v>
      </c>
      <c r="J562" s="283">
        <f>'IS Assumptions'!I143</f>
        <v>1213952.1136130954</v>
      </c>
      <c r="K562" s="283">
        <f>'IS Assumptions'!J143</f>
        <v>1052108.86848125</v>
      </c>
      <c r="L562" s="284">
        <f>'IS Assumptions'!K143</f>
        <v>1157780.2077254911</v>
      </c>
    </row>
    <row r="563" spans="1:12" x14ac:dyDescent="0.35">
      <c r="A563" s="165"/>
      <c r="B563" s="5"/>
      <c r="C563" s="135"/>
      <c r="D563" s="272"/>
      <c r="E563" s="272"/>
      <c r="F563" s="272"/>
      <c r="G563" s="273"/>
      <c r="H563" s="5"/>
      <c r="I563" s="11"/>
      <c r="J563" s="13"/>
      <c r="K563" s="5"/>
      <c r="L563" s="257"/>
    </row>
    <row r="564" spans="1:12" x14ac:dyDescent="0.35">
      <c r="A564" s="270" t="s">
        <v>254</v>
      </c>
      <c r="B564" s="5"/>
      <c r="C564" s="135"/>
      <c r="D564" s="272"/>
      <c r="E564" s="272"/>
      <c r="F564" s="272"/>
      <c r="G564" s="273"/>
      <c r="H564" s="5"/>
      <c r="I564" s="11"/>
      <c r="J564" s="13"/>
      <c r="K564" s="5"/>
      <c r="L564" s="257"/>
    </row>
    <row r="565" spans="1:12" x14ac:dyDescent="0.35">
      <c r="A565" s="7" t="s">
        <v>255</v>
      </c>
      <c r="H565" s="11"/>
      <c r="I565" s="8"/>
      <c r="J565" s="8"/>
    </row>
    <row r="566" spans="1:12" x14ac:dyDescent="0.35">
      <c r="A566" s="4" t="s">
        <v>259</v>
      </c>
      <c r="B566" t="s">
        <v>470</v>
      </c>
      <c r="C566" s="86">
        <v>962033</v>
      </c>
      <c r="D566" s="17">
        <v>1094177</v>
      </c>
      <c r="E566" s="18">
        <v>4084111</v>
      </c>
      <c r="F566" s="17">
        <v>4264721</v>
      </c>
      <c r="G566" s="146">
        <v>3691825</v>
      </c>
      <c r="H566" s="124">
        <f>'IS Assumptions'!G147</f>
        <v>2819373.4</v>
      </c>
      <c r="I566" s="124">
        <f>'IS Assumptions'!H147</f>
        <v>3190841.48</v>
      </c>
      <c r="J566" s="124">
        <f>'IS Assumptions'!I147</f>
        <v>3610174.3759999997</v>
      </c>
      <c r="K566" s="124">
        <f>'IS Assumptions'!J147</f>
        <v>3515387.0512000001</v>
      </c>
      <c r="L566" s="162">
        <f>'IS Assumptions'!K147</f>
        <v>3365520.26144</v>
      </c>
    </row>
    <row r="567" spans="1:12" x14ac:dyDescent="0.35">
      <c r="A567" s="4" t="s">
        <v>260</v>
      </c>
      <c r="B567" t="s">
        <v>470</v>
      </c>
      <c r="C567" s="86">
        <v>138768</v>
      </c>
      <c r="D567" s="17">
        <v>95526</v>
      </c>
      <c r="E567" s="18">
        <v>-7258</v>
      </c>
      <c r="F567" s="17">
        <v>632543</v>
      </c>
      <c r="G567" s="146">
        <v>281779</v>
      </c>
      <c r="H567" s="124">
        <f>'IS Assumptions'!G148</f>
        <v>228271.6</v>
      </c>
      <c r="I567" s="124">
        <f>'IS Assumptions'!H148</f>
        <v>246172.32</v>
      </c>
      <c r="J567" s="124">
        <f>'IS Assumptions'!I148</f>
        <v>276301.58400000003</v>
      </c>
      <c r="K567" s="124">
        <f>'IS Assumptions'!J148</f>
        <v>333013.50080000004</v>
      </c>
      <c r="L567" s="162">
        <f>'IS Assumptions'!K148</f>
        <v>273107.60096000001</v>
      </c>
    </row>
    <row r="568" spans="1:12" x14ac:dyDescent="0.35">
      <c r="C568" s="86">
        <f>SUM(C566:C567)</f>
        <v>1100801</v>
      </c>
      <c r="D568" s="17">
        <f>SUM(D566:D567)</f>
        <v>1189703</v>
      </c>
      <c r="E568" s="17">
        <f>SUM(E566:E567)</f>
        <v>4076853</v>
      </c>
      <c r="F568" s="17">
        <f>SUM(F566:F567)</f>
        <v>4897264</v>
      </c>
      <c r="G568" s="146">
        <f>SUM(G566:G567)</f>
        <v>3973604</v>
      </c>
      <c r="H568" s="124">
        <f>'IS Assumptions'!G149</f>
        <v>3047645</v>
      </c>
      <c r="I568" s="124">
        <f>'IS Assumptions'!H149</f>
        <v>3437013.8</v>
      </c>
      <c r="J568" s="124">
        <f>'IS Assumptions'!I149</f>
        <v>3886475.96</v>
      </c>
      <c r="K568" s="124">
        <f>'IS Assumptions'!J149</f>
        <v>3848400.5520000001</v>
      </c>
      <c r="L568" s="162">
        <f>'IS Assumptions'!K149</f>
        <v>3638627.8624</v>
      </c>
    </row>
    <row r="569" spans="1:12" x14ac:dyDescent="0.35">
      <c r="A569" s="7" t="s">
        <v>256</v>
      </c>
      <c r="E569" s="18"/>
      <c r="H569" s="124">
        <f>'IS Assumptions'!G150</f>
        <v>0</v>
      </c>
      <c r="I569" s="124">
        <f>'IS Assumptions'!H150</f>
        <v>0</v>
      </c>
      <c r="J569" s="124">
        <f>'IS Assumptions'!I150</f>
        <v>0</v>
      </c>
      <c r="K569" s="124">
        <f>'IS Assumptions'!J150</f>
        <v>0</v>
      </c>
      <c r="L569" s="162">
        <f>'IS Assumptions'!K150</f>
        <v>0</v>
      </c>
    </row>
    <row r="570" spans="1:12" x14ac:dyDescent="0.35">
      <c r="A570" s="4" t="s">
        <v>257</v>
      </c>
      <c r="B570" t="s">
        <v>470</v>
      </c>
      <c r="C570" s="86">
        <v>238391</v>
      </c>
      <c r="D570" s="17">
        <v>1192622</v>
      </c>
      <c r="E570" s="18">
        <v>854968</v>
      </c>
      <c r="F570" s="17">
        <v>105008</v>
      </c>
      <c r="G570" s="146">
        <v>640237</v>
      </c>
      <c r="H570" s="124">
        <f>'IS Assumptions'!G151</f>
        <v>606245.19999999995</v>
      </c>
      <c r="I570" s="124">
        <f>'IS Assumptions'!H151</f>
        <v>679816.04</v>
      </c>
      <c r="J570" s="124">
        <f>'IS Assumptions'!I151</f>
        <v>577254.848</v>
      </c>
      <c r="K570" s="124">
        <f>'IS Assumptions'!J151</f>
        <v>521712.21759999997</v>
      </c>
      <c r="L570" s="162">
        <f>'IS Assumptions'!K151</f>
        <v>605053.06111999997</v>
      </c>
    </row>
    <row r="571" spans="1:12" x14ac:dyDescent="0.35">
      <c r="A571" s="4" t="s">
        <v>258</v>
      </c>
      <c r="B571" t="s">
        <v>470</v>
      </c>
      <c r="C571" s="86" t="s">
        <v>18</v>
      </c>
      <c r="D571" s="17">
        <v>121563</v>
      </c>
      <c r="E571" s="18">
        <v>-6091</v>
      </c>
      <c r="F571" s="17">
        <v>1763</v>
      </c>
      <c r="G571" s="146">
        <v>252873</v>
      </c>
      <c r="H571" s="124">
        <f>'IS Assumptions'!G152</f>
        <v>92527</v>
      </c>
      <c r="I571" s="124">
        <f>'IS Assumptions'!H152</f>
        <v>92527</v>
      </c>
      <c r="J571" s="124">
        <f>'IS Assumptions'!I152</f>
        <v>86719.8</v>
      </c>
      <c r="K571" s="124">
        <f>'IS Assumptions'!J152</f>
        <v>105281.96</v>
      </c>
      <c r="L571" s="162">
        <f>'IS Assumptions'!K152</f>
        <v>125985.75200000001</v>
      </c>
    </row>
    <row r="572" spans="1:12" x14ac:dyDescent="0.35">
      <c r="C572" s="86">
        <f>SUM(C570:C571)</f>
        <v>238391</v>
      </c>
      <c r="D572" s="17">
        <f>SUM(D570:D571)</f>
        <v>1314185</v>
      </c>
      <c r="E572" s="17">
        <f>SUM(E570:E571)</f>
        <v>848877</v>
      </c>
      <c r="F572" s="17">
        <f>SUM(F570:F571)</f>
        <v>106771</v>
      </c>
      <c r="G572" s="146">
        <f>SUM(G570:G571)</f>
        <v>893110</v>
      </c>
      <c r="H572" s="124">
        <f>'IS Assumptions'!G153</f>
        <v>698772.2</v>
      </c>
      <c r="I572" s="124">
        <f>'IS Assumptions'!H153</f>
        <v>772343.04</v>
      </c>
      <c r="J572" s="124">
        <f>'IS Assumptions'!I153</f>
        <v>663974.64800000004</v>
      </c>
      <c r="K572" s="124">
        <f>'IS Assumptions'!J153</f>
        <v>626994.17759999994</v>
      </c>
      <c r="L572" s="162">
        <f>'IS Assumptions'!K153</f>
        <v>731038.81311999995</v>
      </c>
    </row>
    <row r="573" spans="1:12" x14ac:dyDescent="0.35">
      <c r="A573" s="165"/>
      <c r="B573" s="5"/>
      <c r="C573" s="135">
        <f>SUM(C572,C568)</f>
        <v>1339192</v>
      </c>
      <c r="D573" s="272">
        <f>SUM(D572,D568)</f>
        <v>2503888</v>
      </c>
      <c r="E573" s="272">
        <f>SUM(E572,E568)</f>
        <v>4925730</v>
      </c>
      <c r="F573" s="272">
        <f>SUM(F572,F568)</f>
        <v>5004035</v>
      </c>
      <c r="G573" s="273">
        <f>SUM(G572,G568)</f>
        <v>4866714</v>
      </c>
      <c r="H573" s="287">
        <f>'IS Assumptions'!G154</f>
        <v>3746417.2</v>
      </c>
      <c r="I573" s="287">
        <f>'IS Assumptions'!H154</f>
        <v>4209356.84</v>
      </c>
      <c r="J573" s="287">
        <f>'IS Assumptions'!I154</f>
        <v>4550450.608</v>
      </c>
      <c r="K573" s="287">
        <f>'IS Assumptions'!J154</f>
        <v>4475394.7296000002</v>
      </c>
      <c r="L573" s="288">
        <f>'IS Assumptions'!K154</f>
        <v>4369666.67552</v>
      </c>
    </row>
    <row r="575" spans="1:12" x14ac:dyDescent="0.35">
      <c r="A575" s="270" t="s">
        <v>261</v>
      </c>
      <c r="C575" s="142">
        <v>0.28999999999999998</v>
      </c>
      <c r="D575" s="143">
        <v>0.28999999999999998</v>
      </c>
      <c r="E575" s="143">
        <v>0.28999999999999998</v>
      </c>
      <c r="F575" s="143">
        <v>0.28999999999999998</v>
      </c>
      <c r="G575" s="153">
        <v>0.28999999999999998</v>
      </c>
      <c r="H575" s="126">
        <v>0.28999999999999998</v>
      </c>
      <c r="I575" s="126">
        <v>0.28999999999999998</v>
      </c>
      <c r="J575" s="126">
        <v>0.28999999999999998</v>
      </c>
      <c r="K575" s="126">
        <v>0.28999999999999998</v>
      </c>
      <c r="L575" s="153">
        <v>0.28999999999999998</v>
      </c>
    </row>
    <row r="576" spans="1:12" x14ac:dyDescent="0.35">
      <c r="A576" s="270" t="s">
        <v>264</v>
      </c>
      <c r="B576" s="80">
        <f>SUM(C573:G573)/SUM(C576:G576)</f>
        <v>0.29053686872279777</v>
      </c>
      <c r="C576" s="86">
        <f>'Income Statement'!B16</f>
        <v>5042694</v>
      </c>
      <c r="D576" s="86">
        <f>'Income Statement'!C16</f>
        <v>8216133</v>
      </c>
      <c r="E576" s="86">
        <f>'Income Statement'!D16</f>
        <v>20028341</v>
      </c>
      <c r="F576" s="86">
        <f>'Income Statement'!E16</f>
        <v>16771030</v>
      </c>
      <c r="G576" s="86">
        <f>'Income Statement'!F16</f>
        <v>14097374</v>
      </c>
      <c r="H576" s="86">
        <f>'Income Statement'!G16</f>
        <v>16022274.352439115</v>
      </c>
      <c r="I576" s="86">
        <f>'Income Statement'!H16</f>
        <v>15879918.192436233</v>
      </c>
      <c r="J576" s="86">
        <f>'Income Statement'!I16</f>
        <v>18041558.27988074</v>
      </c>
      <c r="K576" s="86">
        <f>'Income Statement'!J16</f>
        <v>20022230.047450844</v>
      </c>
      <c r="L576" s="86">
        <f>'Income Statement'!K16</f>
        <v>24726484.003552888</v>
      </c>
    </row>
    <row r="577" spans="1:13" x14ac:dyDescent="0.35">
      <c r="A577" s="270" t="s">
        <v>262</v>
      </c>
      <c r="C577" s="86">
        <f>C576*C575</f>
        <v>1462381.26</v>
      </c>
      <c r="D577" s="17">
        <f>D576*D575</f>
        <v>2382678.5699999998</v>
      </c>
      <c r="E577" s="17">
        <f>E576*E575</f>
        <v>5808218.8899999997</v>
      </c>
      <c r="F577" s="17">
        <f>F576*F575</f>
        <v>4863598.6999999993</v>
      </c>
      <c r="G577" s="146">
        <f>G576*G575</f>
        <v>4088238.4599999995</v>
      </c>
      <c r="H577" s="146">
        <f t="shared" ref="H577:L577" si="140">H576*H575</f>
        <v>4646459.5622073431</v>
      </c>
      <c r="I577" s="146">
        <f t="shared" si="140"/>
        <v>4605176.2758065071</v>
      </c>
      <c r="J577" s="146">
        <f t="shared" si="140"/>
        <v>5232051.9011654146</v>
      </c>
      <c r="K577" s="146">
        <f t="shared" si="140"/>
        <v>5806446.7137607448</v>
      </c>
      <c r="L577" s="146">
        <f t="shared" si="140"/>
        <v>7170680.3610303365</v>
      </c>
    </row>
    <row r="578" spans="1:13" x14ac:dyDescent="0.35">
      <c r="A578" s="270" t="s">
        <v>263</v>
      </c>
      <c r="C578" s="86">
        <f>C573</f>
        <v>1339192</v>
      </c>
      <c r="D578" s="86">
        <f t="shared" ref="D578:L578" si="141">D573</f>
        <v>2503888</v>
      </c>
      <c r="E578" s="86">
        <f t="shared" si="141"/>
        <v>4925730</v>
      </c>
      <c r="F578" s="86">
        <f t="shared" si="141"/>
        <v>5004035</v>
      </c>
      <c r="G578" s="86">
        <f t="shared" si="141"/>
        <v>4866714</v>
      </c>
      <c r="H578" s="86">
        <f t="shared" si="141"/>
        <v>3746417.2</v>
      </c>
      <c r="I578" s="86">
        <f t="shared" si="141"/>
        <v>4209356.84</v>
      </c>
      <c r="J578" s="86">
        <f t="shared" si="141"/>
        <v>4550450.608</v>
      </c>
      <c r="K578" s="86">
        <f t="shared" si="141"/>
        <v>4475394.7296000002</v>
      </c>
      <c r="L578" s="86">
        <f t="shared" si="141"/>
        <v>4369666.67552</v>
      </c>
    </row>
    <row r="580" spans="1:13" ht="23.25" customHeight="1" x14ac:dyDescent="0.35">
      <c r="I580" s="8"/>
      <c r="J580" s="20"/>
      <c r="K580" s="20"/>
      <c r="L580" s="163"/>
      <c r="M580" s="20"/>
    </row>
    <row r="581" spans="1:13" ht="23.25" customHeight="1" x14ac:dyDescent="0.35">
      <c r="A581" s="270" t="s">
        <v>266</v>
      </c>
      <c r="I581" s="9"/>
      <c r="J581" s="21"/>
      <c r="K581" s="20"/>
      <c r="L581" s="163"/>
      <c r="M581" s="20"/>
    </row>
    <row r="582" spans="1:13" ht="23.25" customHeight="1" x14ac:dyDescent="0.35">
      <c r="A582" s="8" t="s">
        <v>267</v>
      </c>
      <c r="B582" s="8"/>
      <c r="C582" s="295">
        <v>9040561</v>
      </c>
      <c r="D582" s="290">
        <v>12575886</v>
      </c>
      <c r="E582" s="291">
        <v>17606714</v>
      </c>
      <c r="F582" s="291">
        <v>24654512</v>
      </c>
      <c r="G582" s="292">
        <v>13282584</v>
      </c>
      <c r="I582" s="8"/>
      <c r="J582" s="20"/>
      <c r="K582" s="22"/>
      <c r="L582" s="154"/>
      <c r="M582" s="22"/>
    </row>
    <row r="583" spans="1:13" ht="23.25" customHeight="1" x14ac:dyDescent="0.35">
      <c r="A583" s="8" t="s">
        <v>268</v>
      </c>
      <c r="B583" s="8" t="s">
        <v>610</v>
      </c>
      <c r="C583" s="295">
        <v>12387</v>
      </c>
      <c r="D583" s="290">
        <v>42792</v>
      </c>
      <c r="E583" s="291">
        <v>28612</v>
      </c>
      <c r="F583" s="291">
        <v>674</v>
      </c>
      <c r="G583" s="292">
        <v>-21837</v>
      </c>
      <c r="H583" s="75">
        <f>SUM($C$583:$G$583)/SUM($C$245:$G$245)*H245</f>
        <v>21816.731792308157</v>
      </c>
      <c r="I583" s="75">
        <f t="shared" ref="I583:L583" si="142">SUM($C$583:$G$583)/SUM($C$245:$G$245)*I245</f>
        <v>8520.2419703240466</v>
      </c>
      <c r="J583" s="75">
        <f t="shared" si="142"/>
        <v>6262.5515286582104</v>
      </c>
      <c r="K583" s="75">
        <f t="shared" si="142"/>
        <v>8768.3987813244657</v>
      </c>
      <c r="L583" s="75">
        <f t="shared" si="142"/>
        <v>14463.749350899163</v>
      </c>
      <c r="M583" s="22"/>
    </row>
    <row r="584" spans="1:13" ht="23.25" customHeight="1" x14ac:dyDescent="0.35">
      <c r="A584" s="8" t="s">
        <v>269</v>
      </c>
      <c r="B584" s="8" t="s">
        <v>611</v>
      </c>
      <c r="C584" s="295">
        <v>-45428</v>
      </c>
      <c r="D584" s="290">
        <v>-34528</v>
      </c>
      <c r="E584" s="291">
        <v>-42226</v>
      </c>
      <c r="F584" s="291">
        <v>-92789</v>
      </c>
      <c r="G584" s="292">
        <v>-67404</v>
      </c>
      <c r="H584" s="75">
        <f>SUM($C$584:$G$584)/SUM($C$628:$G$628)*H628</f>
        <v>-76219.631774193083</v>
      </c>
      <c r="I584" s="75">
        <f t="shared" ref="I584:L584" si="143">SUM($C$584:$G$584)/SUM($C$628:$G$628)*I628</f>
        <v>-82661.019956833901</v>
      </c>
      <c r="J584" s="75">
        <f t="shared" si="143"/>
        <v>-89102.408139474705</v>
      </c>
      <c r="K584" s="75">
        <f t="shared" si="143"/>
        <v>-95543.796322115522</v>
      </c>
      <c r="L584" s="75">
        <f t="shared" si="143"/>
        <v>-101985.18450475633</v>
      </c>
      <c r="M584" s="22"/>
    </row>
    <row r="585" spans="1:13" ht="23.25" customHeight="1" x14ac:dyDescent="0.35">
      <c r="A585" s="8" t="s">
        <v>270</v>
      </c>
      <c r="B585" s="8" t="s">
        <v>609</v>
      </c>
      <c r="C585" s="295">
        <v>-1278914</v>
      </c>
      <c r="D585" s="290">
        <v>-1260635</v>
      </c>
      <c r="E585" s="291">
        <v>-2903171</v>
      </c>
      <c r="F585" s="291">
        <v>-3009757</v>
      </c>
      <c r="G585" s="292">
        <v>-6638753</v>
      </c>
      <c r="H585" s="75">
        <f>SUM($C$585:$G$585)/SUM($C$576:$G$576)*H576</f>
        <v>-3768898.3176045837</v>
      </c>
      <c r="I585" s="75">
        <f t="shared" ref="I585:L585" si="144">SUM($C$585:$G$585)/SUM($C$576:$G$576)*I576</f>
        <v>-3735412.0671426551</v>
      </c>
      <c r="J585" s="75">
        <f t="shared" si="144"/>
        <v>-4243891.7941544438</v>
      </c>
      <c r="K585" s="75">
        <f t="shared" si="144"/>
        <v>-4709802.5836164569</v>
      </c>
      <c r="L585" s="75">
        <f t="shared" si="144"/>
        <v>-5816377.9942440139</v>
      </c>
      <c r="M585" s="22"/>
    </row>
    <row r="586" spans="1:13" ht="23.25" customHeight="1" x14ac:dyDescent="0.35">
      <c r="A586" s="8" t="s">
        <v>271</v>
      </c>
      <c r="B586" s="8"/>
      <c r="C586" s="295">
        <f>SUM(C582:C585)</f>
        <v>7728606</v>
      </c>
      <c r="D586" s="296">
        <f>SUM(D582:D585)</f>
        <v>11323515</v>
      </c>
      <c r="E586" s="296">
        <f>SUM(E582:E585)</f>
        <v>14689929</v>
      </c>
      <c r="F586" s="296">
        <f>SUM(F582:F585)</f>
        <v>21552640</v>
      </c>
      <c r="G586" s="297">
        <f>SUM(G582:G585)</f>
        <v>6554590</v>
      </c>
      <c r="I586" s="8"/>
      <c r="J586" s="21"/>
      <c r="K586" s="20"/>
      <c r="L586" s="154"/>
      <c r="M586" s="22"/>
    </row>
    <row r="587" spans="1:13" ht="23.25" customHeight="1" x14ac:dyDescent="0.35">
      <c r="C587" s="293"/>
      <c r="D587" s="290"/>
      <c r="E587" s="290"/>
      <c r="F587" s="290"/>
      <c r="G587" s="294"/>
      <c r="I587" s="8"/>
      <c r="J587" s="21"/>
      <c r="K587" s="20"/>
      <c r="L587" s="163"/>
      <c r="M587" s="20"/>
    </row>
    <row r="588" spans="1:13" ht="23.25" customHeight="1" x14ac:dyDescent="0.35">
      <c r="A588" s="270" t="s">
        <v>272</v>
      </c>
      <c r="B588" s="11"/>
      <c r="C588" s="293"/>
      <c r="D588" s="290"/>
      <c r="E588" s="291"/>
      <c r="F588" s="294"/>
      <c r="G588" s="294"/>
      <c r="I588" s="9"/>
      <c r="J588" s="20"/>
      <c r="K588" s="20"/>
      <c r="L588" s="163"/>
      <c r="M588" s="20"/>
    </row>
    <row r="589" spans="1:13" ht="23.25" customHeight="1" x14ac:dyDescent="0.35">
      <c r="A589" s="8" t="s">
        <v>273</v>
      </c>
      <c r="B589" s="8" t="s">
        <v>688</v>
      </c>
      <c r="C589" s="293">
        <v>-12744841</v>
      </c>
      <c r="D589" s="290">
        <v>-6091440</v>
      </c>
      <c r="E589" s="291">
        <v>-2869090</v>
      </c>
      <c r="F589" s="291">
        <v>-6765766</v>
      </c>
      <c r="G589" s="292">
        <v>-6803718</v>
      </c>
      <c r="H589" s="75">
        <f>SUM($C$589:$G$589)/SUM($C$682:$G$682)*H682</f>
        <v>-8619456.1151490789</v>
      </c>
      <c r="I589" s="75">
        <f t="shared" ref="I589:L589" si="145">SUM($C$589:$G$589)/SUM($C$682:$G$682)*I682</f>
        <v>-7933316.0502392231</v>
      </c>
      <c r="J589" s="75">
        <f t="shared" si="145"/>
        <v>-9057192.5404758174</v>
      </c>
      <c r="K589" s="75">
        <f t="shared" si="145"/>
        <v>-10448090.132423999</v>
      </c>
      <c r="L589" s="75">
        <f t="shared" si="145"/>
        <v>-7396149.5054723592</v>
      </c>
      <c r="M589" s="22"/>
    </row>
    <row r="590" spans="1:13" ht="23.25" customHeight="1" x14ac:dyDescent="0.35">
      <c r="A590" s="8" t="s">
        <v>274</v>
      </c>
      <c r="B590" s="8" t="s">
        <v>689</v>
      </c>
      <c r="C590" s="293">
        <v>2809</v>
      </c>
      <c r="D590" s="290">
        <v>-167922</v>
      </c>
      <c r="E590" s="291">
        <v>-248406</v>
      </c>
      <c r="F590" s="291">
        <v>29385</v>
      </c>
      <c r="G590" s="292">
        <v>44320</v>
      </c>
      <c r="H590">
        <f>SUM($C$590:$G$590)/SUM($C$683:$G$683)*H683</f>
        <v>-37742.914645469966</v>
      </c>
      <c r="I590">
        <f t="shared" ref="I590:L590" si="146">SUM($C$590:$G$590)/SUM($C$683:$G$683)*I683</f>
        <v>-30490.645834657615</v>
      </c>
      <c r="J590">
        <f t="shared" si="146"/>
        <v>-25684.279231930985</v>
      </c>
      <c r="K590">
        <f t="shared" si="146"/>
        <v>-191481.36691299523</v>
      </c>
      <c r="L590">
        <f t="shared" si="146"/>
        <v>-28531.751402166487</v>
      </c>
      <c r="M590" s="22"/>
    </row>
    <row r="591" spans="1:13" ht="23.25" customHeight="1" x14ac:dyDescent="0.35">
      <c r="A591" s="167" t="s">
        <v>358</v>
      </c>
      <c r="B591" s="127" t="s">
        <v>690</v>
      </c>
      <c r="C591" s="293">
        <v>-1575000</v>
      </c>
      <c r="D591" s="290" t="s">
        <v>18</v>
      </c>
      <c r="E591" s="291">
        <v>2601</v>
      </c>
      <c r="F591" s="291">
        <v>-1419000</v>
      </c>
      <c r="G591" s="292">
        <v>-2953000</v>
      </c>
      <c r="H591" s="14">
        <f>SUM($C$591:$G$591)/SUM($C$223:$G$223)*H223</f>
        <v>-2472733.9962886348</v>
      </c>
      <c r="I591" s="14">
        <f t="shared" ref="I591:L591" si="147">SUM($C$591:$G$591)/SUM($C$223:$G$223)*I223</f>
        <v>-2472733.9962886348</v>
      </c>
      <c r="J591" s="14">
        <f t="shared" si="147"/>
        <v>-2472733.9962886348</v>
      </c>
      <c r="K591" s="14">
        <f t="shared" si="147"/>
        <v>-2472733.9962886348</v>
      </c>
      <c r="L591" s="14">
        <f t="shared" si="147"/>
        <v>-2472733.9962886348</v>
      </c>
      <c r="M591" s="22"/>
    </row>
    <row r="592" spans="1:13" ht="23.25" customHeight="1" x14ac:dyDescent="0.35">
      <c r="A592" s="8" t="s">
        <v>346</v>
      </c>
      <c r="B592" s="127" t="s">
        <v>691</v>
      </c>
      <c r="C592" s="293">
        <v>-5421150</v>
      </c>
      <c r="D592" s="290">
        <v>-6000</v>
      </c>
      <c r="E592" s="291">
        <v>0</v>
      </c>
      <c r="F592" s="291">
        <v>0</v>
      </c>
      <c r="G592" s="291">
        <v>0</v>
      </c>
      <c r="H592" s="14">
        <f>SUM($C$592:$G$592)/SUM($C$235:$G$235)*H235</f>
        <v>0</v>
      </c>
      <c r="I592" s="14">
        <f t="shared" ref="I592:L592" si="148">SUM($C$592:$G$592)/SUM($C$235:$G$235)*I235</f>
        <v>0</v>
      </c>
      <c r="J592" s="14">
        <f t="shared" si="148"/>
        <v>0</v>
      </c>
      <c r="K592" s="14">
        <f t="shared" si="148"/>
        <v>0</v>
      </c>
      <c r="L592" s="14">
        <f t="shared" si="148"/>
        <v>0</v>
      </c>
      <c r="M592" s="22"/>
    </row>
    <row r="593" spans="1:13" ht="23.25" customHeight="1" x14ac:dyDescent="0.35">
      <c r="A593" s="8" t="s">
        <v>275</v>
      </c>
      <c r="B593" s="127" t="s">
        <v>692</v>
      </c>
      <c r="C593" s="293"/>
      <c r="D593" s="290" t="s">
        <v>18</v>
      </c>
      <c r="E593" s="291">
        <v>-840000</v>
      </c>
      <c r="F593" s="291" t="s">
        <v>18</v>
      </c>
      <c r="G593" s="292">
        <v>-5050800</v>
      </c>
      <c r="H593" s="14">
        <f>SUM($C$593:$G$593)/SUM($C$287:$G$287)*H287</f>
        <v>-1178160.0000000002</v>
      </c>
      <c r="I593" s="14">
        <f t="shared" ref="I593:L593" si="149">SUM($C$593:$G$593)/SUM($C$287:$G$287)*I287</f>
        <v>-1413792</v>
      </c>
      <c r="J593" s="14">
        <f t="shared" si="149"/>
        <v>-1696550.4000000001</v>
      </c>
      <c r="K593" s="14">
        <f t="shared" si="149"/>
        <v>-2035860.4800000002</v>
      </c>
      <c r="L593" s="14">
        <f t="shared" si="149"/>
        <v>-2443032.5760000004</v>
      </c>
      <c r="M593" s="22"/>
    </row>
    <row r="594" spans="1:13" ht="23.25" customHeight="1" x14ac:dyDescent="0.35">
      <c r="A594" s="8" t="s">
        <v>276</v>
      </c>
      <c r="B594" s="127" t="s">
        <v>692</v>
      </c>
      <c r="C594" s="293"/>
      <c r="D594" s="290"/>
      <c r="E594" s="291" t="s">
        <v>18</v>
      </c>
      <c r="F594" s="291" t="s">
        <v>18</v>
      </c>
      <c r="G594" s="292">
        <v>3630300</v>
      </c>
      <c r="H594" s="14">
        <f>SUM($C$594:$G$594)/SUM($C$287:$G$287)*H287</f>
        <v>726060</v>
      </c>
      <c r="I594" s="14">
        <f t="shared" ref="I594:L594" si="150">SUM($C$594:$G$594)/SUM($C$287:$G$287)*I287</f>
        <v>871271.99999999988</v>
      </c>
      <c r="J594" s="14">
        <f t="shared" si="150"/>
        <v>1045526.4</v>
      </c>
      <c r="K594" s="14">
        <f t="shared" si="150"/>
        <v>1254631.68</v>
      </c>
      <c r="L594" s="14">
        <f t="shared" si="150"/>
        <v>1505558.0160000001</v>
      </c>
      <c r="M594" s="22"/>
    </row>
    <row r="595" spans="1:13" ht="23.25" customHeight="1" x14ac:dyDescent="0.35">
      <c r="A595" s="8" t="s">
        <v>277</v>
      </c>
      <c r="B595" s="127" t="s">
        <v>693</v>
      </c>
      <c r="C595" s="293"/>
      <c r="D595" s="290"/>
      <c r="E595" s="291">
        <v>-10972500</v>
      </c>
      <c r="F595" s="291">
        <v>-340467497</v>
      </c>
      <c r="G595" s="292">
        <v>-40642094</v>
      </c>
      <c r="H595" s="75">
        <f>SUM($C$595:$G$595)/SUM($C$308:$G$308)*H308</f>
        <v>-60512156.830679864</v>
      </c>
      <c r="I595" s="75">
        <f t="shared" ref="I595:L595" si="151">SUM($C$595:$G$595)/SUM($C$308:$G$308)*I308</f>
        <v>-51951688.896444224</v>
      </c>
      <c r="J595" s="75">
        <f t="shared" si="151"/>
        <v>-41534655.913358621</v>
      </c>
      <c r="K595" s="75">
        <f t="shared" si="151"/>
        <v>-51332833.880160905</v>
      </c>
      <c r="L595" s="75">
        <f t="shared" si="151"/>
        <v>-48273059.563321248</v>
      </c>
      <c r="M595" s="22"/>
    </row>
    <row r="596" spans="1:13" ht="23.25" customHeight="1" x14ac:dyDescent="0.35">
      <c r="A596" s="8" t="s">
        <v>278</v>
      </c>
      <c r="B596" s="127" t="s">
        <v>693</v>
      </c>
      <c r="C596" s="293"/>
      <c r="D596" s="290" t="s">
        <v>18</v>
      </c>
      <c r="E596" s="291">
        <v>3934667</v>
      </c>
      <c r="F596" s="291">
        <v>339467894</v>
      </c>
      <c r="G596" s="292">
        <v>53928691</v>
      </c>
      <c r="H596" s="75">
        <f>SUM($C$596:$G$596)/SUM($C$308:$G$308)*H308</f>
        <v>61322288.333629563</v>
      </c>
      <c r="I596" s="75">
        <f t="shared" ref="I596:L596" si="152">SUM($C$596:$G$596)/SUM($C$308:$G$308)*I308</f>
        <v>52647213.597773537</v>
      </c>
      <c r="J596" s="75">
        <f t="shared" si="152"/>
        <v>42090718.281350888</v>
      </c>
      <c r="K596" s="75">
        <f t="shared" si="152"/>
        <v>52020073.40425133</v>
      </c>
      <c r="L596" s="75">
        <f t="shared" si="152"/>
        <v>48919335.094458587</v>
      </c>
      <c r="M596" s="20"/>
    </row>
    <row r="597" spans="1:13" ht="23.25" customHeight="1" x14ac:dyDescent="0.35">
      <c r="A597" s="8" t="s">
        <v>279</v>
      </c>
      <c r="B597" s="127" t="s">
        <v>694</v>
      </c>
      <c r="C597" s="293">
        <v>816760</v>
      </c>
      <c r="D597" s="290">
        <v>979007</v>
      </c>
      <c r="E597" s="291">
        <v>1276182</v>
      </c>
      <c r="F597" s="291">
        <v>1272366</v>
      </c>
      <c r="G597" s="292">
        <v>852743</v>
      </c>
      <c r="H597" s="75">
        <f>SUM($C$597:$G$597)/SUM($C$315:$G$315)*H315</f>
        <v>810774.80890484166</v>
      </c>
      <c r="I597" s="75">
        <f t="shared" ref="I597:L597" si="153">SUM($C$597:$G$597)/SUM($C$315:$G$315)*I315</f>
        <v>1004990.4331683604</v>
      </c>
      <c r="J597" s="75">
        <f t="shared" si="153"/>
        <v>1216416.727190186</v>
      </c>
      <c r="K597" s="75">
        <f t="shared" si="153"/>
        <v>1413954.4633938456</v>
      </c>
      <c r="L597" s="75">
        <f t="shared" si="153"/>
        <v>1519424.1280452472</v>
      </c>
      <c r="M597" s="22"/>
    </row>
    <row r="598" spans="1:13" ht="23.25" customHeight="1" x14ac:dyDescent="0.35">
      <c r="A598" s="8" t="s">
        <v>280</v>
      </c>
      <c r="B598" s="127"/>
      <c r="C598" s="293">
        <f t="shared" ref="C598:H598" si="154">SUM(C589:C597)</f>
        <v>-18921422</v>
      </c>
      <c r="D598" s="291">
        <f t="shared" si="154"/>
        <v>-5286355</v>
      </c>
      <c r="E598" s="291">
        <f t="shared" si="154"/>
        <v>-9716546</v>
      </c>
      <c r="F598" s="291">
        <f t="shared" si="154"/>
        <v>-7882618</v>
      </c>
      <c r="G598" s="292">
        <f t="shared" si="154"/>
        <v>3006442</v>
      </c>
      <c r="H598" s="291">
        <f t="shared" si="154"/>
        <v>-9961126.714228645</v>
      </c>
      <c r="I598" s="291">
        <f t="shared" ref="I598:L598" si="155">SUM(I589:I597)</f>
        <v>-9278545.5578648429</v>
      </c>
      <c r="J598" s="291">
        <f t="shared" si="155"/>
        <v>-10434155.720813934</v>
      </c>
      <c r="K598" s="291">
        <f t="shared" si="155"/>
        <v>-11792340.308141358</v>
      </c>
      <c r="L598" s="291">
        <f t="shared" si="155"/>
        <v>-8669190.1539805736</v>
      </c>
      <c r="M598" s="22"/>
    </row>
    <row r="599" spans="1:13" ht="23.25" customHeight="1" x14ac:dyDescent="0.35">
      <c r="I599" s="8"/>
      <c r="J599" s="21"/>
      <c r="K599" s="20"/>
      <c r="L599" s="154"/>
      <c r="M599" s="20"/>
    </row>
    <row r="600" spans="1:13" ht="23.25" customHeight="1" x14ac:dyDescent="0.35">
      <c r="A600" s="270" t="s">
        <v>281</v>
      </c>
      <c r="B600" s="11"/>
      <c r="C600" s="293"/>
      <c r="D600" s="290"/>
      <c r="E600" s="291"/>
      <c r="F600" s="290"/>
      <c r="G600" s="294"/>
      <c r="I600" s="9"/>
      <c r="J600" s="21"/>
      <c r="K600" s="20"/>
      <c r="L600" s="154"/>
      <c r="M600" s="20"/>
    </row>
    <row r="601" spans="1:13" ht="23.25" customHeight="1" x14ac:dyDescent="0.35">
      <c r="A601" s="8" t="s">
        <v>282</v>
      </c>
      <c r="B601" s="8"/>
      <c r="C601" s="293">
        <v>19366880</v>
      </c>
      <c r="D601" s="290">
        <v>2019133</v>
      </c>
      <c r="E601" s="291">
        <v>928549</v>
      </c>
      <c r="F601" s="291">
        <v>14948531</v>
      </c>
      <c r="G601" s="292">
        <v>4293727</v>
      </c>
      <c r="H601" s="75">
        <f>SUM($C$601:$G$601)/SUM($C$546:$G$546)*H546</f>
        <v>2299068.0871737618</v>
      </c>
      <c r="I601" s="75">
        <f t="shared" ref="I601:L601" si="156">SUM($C$601:$G$601)/SUM($C$546:$G$546)*I546</f>
        <v>1545165.2343736941</v>
      </c>
      <c r="J601" s="75">
        <f t="shared" si="156"/>
        <v>2489500.7854257743</v>
      </c>
      <c r="K601" s="75">
        <f t="shared" si="156"/>
        <v>1748552.2293424269</v>
      </c>
      <c r="L601" s="75">
        <f t="shared" si="156"/>
        <v>2448175.9020406166</v>
      </c>
      <c r="M601" s="20"/>
    </row>
    <row r="602" spans="1:13" ht="23.25" customHeight="1" x14ac:dyDescent="0.35">
      <c r="A602" s="8" t="s">
        <v>283</v>
      </c>
      <c r="B602" s="8"/>
      <c r="C602" s="293">
        <v>-7500000</v>
      </c>
      <c r="D602" s="290"/>
      <c r="E602" s="291">
        <v>-1926515</v>
      </c>
      <c r="F602" s="291">
        <v>-12876271</v>
      </c>
      <c r="G602" s="292">
        <v>-5128274</v>
      </c>
      <c r="H602" s="75">
        <f>SUM($C$602:$G$602)/SUM($C$546:$G$546)*H546</f>
        <v>-1517581.8227513239</v>
      </c>
      <c r="I602" s="75">
        <f t="shared" ref="I602:L602" si="157">SUM($C$602:$G$602)/SUM($C$546:$G$546)*I546</f>
        <v>-1019941.3779499697</v>
      </c>
      <c r="J602" s="75">
        <f t="shared" si="157"/>
        <v>-1643283.711676243</v>
      </c>
      <c r="K602" s="75">
        <f t="shared" si="157"/>
        <v>-1154194.2120745974</v>
      </c>
      <c r="L602" s="75">
        <f t="shared" si="157"/>
        <v>-1616005.749704387</v>
      </c>
      <c r="M602" s="22"/>
    </row>
    <row r="603" spans="1:13" ht="23.25" customHeight="1" x14ac:dyDescent="0.35">
      <c r="A603" s="8" t="s">
        <v>284</v>
      </c>
      <c r="B603" s="8"/>
      <c r="C603" s="293"/>
      <c r="D603" s="290">
        <v>-190586</v>
      </c>
      <c r="E603" s="291">
        <v>474360</v>
      </c>
      <c r="F603" s="291" t="s">
        <v>18</v>
      </c>
      <c r="G603" s="292">
        <v>324360</v>
      </c>
      <c r="H603" s="75">
        <f>SUM($C$603:$G$603)/SUM($C$421:$G$423)*SUM(H421:H423)</f>
        <v>10167.603656053156</v>
      </c>
      <c r="I603" s="75">
        <f t="shared" ref="I603:L603" si="158">SUM($C$603:$G$603)/SUM($C$421:$G$423)*SUM(I421:I423)</f>
        <v>23117.226354060975</v>
      </c>
      <c r="J603" s="75">
        <f t="shared" si="158"/>
        <v>121626.8</v>
      </c>
      <c r="K603" s="75">
        <f t="shared" si="158"/>
        <v>220136.37364593908</v>
      </c>
      <c r="L603" s="75">
        <f t="shared" si="158"/>
        <v>318645.94729187811</v>
      </c>
      <c r="M603" s="22"/>
    </row>
    <row r="604" spans="1:13" ht="23.25" customHeight="1" x14ac:dyDescent="0.35">
      <c r="A604" s="8" t="s">
        <v>285</v>
      </c>
      <c r="B604" s="8"/>
      <c r="C604" s="293"/>
      <c r="D604" s="290">
        <v>3000000</v>
      </c>
      <c r="E604" s="290"/>
      <c r="F604" s="291" t="s">
        <v>18</v>
      </c>
      <c r="G604" s="292">
        <v>-474360</v>
      </c>
      <c r="H604" s="75">
        <f>SUM($C$604:$G$604)/SUM($C$421:$G$423)*SUM(H421:H423)</f>
        <v>42227.052751324693</v>
      </c>
      <c r="I604" s="75">
        <f t="shared" ref="I604:L604" si="159">SUM($C$604:$G$604)/SUM($C$421:$G$423)*SUM(I421:I423)</f>
        <v>96008.102768255936</v>
      </c>
      <c r="J604" s="75">
        <f t="shared" si="159"/>
        <v>505128</v>
      </c>
      <c r="K604" s="75">
        <f t="shared" si="159"/>
        <v>914247.89723174425</v>
      </c>
      <c r="L604" s="75">
        <f t="shared" si="159"/>
        <v>1323367.7944634883</v>
      </c>
      <c r="M604" s="22"/>
    </row>
    <row r="605" spans="1:13" ht="23.25" customHeight="1" x14ac:dyDescent="0.35">
      <c r="A605" s="8" t="s">
        <v>286</v>
      </c>
      <c r="B605" s="8"/>
      <c r="C605" s="293"/>
      <c r="D605" s="290" t="s">
        <v>18</v>
      </c>
      <c r="E605" s="290"/>
      <c r="F605" s="291" t="s">
        <v>18</v>
      </c>
      <c r="G605" s="292">
        <v>1700000</v>
      </c>
      <c r="H605" s="14">
        <f>SUM($C$605:$G$605)/SUM($C$318:$G$318)*H318</f>
        <v>340000</v>
      </c>
      <c r="I605" s="14">
        <f t="shared" ref="I605:L605" si="160">SUM($C$605:$G$605)/SUM($C$318:$G$318)*I318</f>
        <v>340000</v>
      </c>
      <c r="J605" s="14">
        <f t="shared" si="160"/>
        <v>340000</v>
      </c>
      <c r="K605" s="14">
        <f t="shared" si="160"/>
        <v>340000</v>
      </c>
      <c r="L605" s="14">
        <f t="shared" si="160"/>
        <v>340000</v>
      </c>
      <c r="M605" s="22"/>
    </row>
    <row r="606" spans="1:13" ht="23.25" customHeight="1" x14ac:dyDescent="0.35">
      <c r="A606" s="8" t="s">
        <v>287</v>
      </c>
      <c r="B606" s="8"/>
      <c r="C606" s="293"/>
      <c r="D606" s="290"/>
      <c r="E606" s="290"/>
      <c r="F606" s="291" t="s">
        <v>18</v>
      </c>
      <c r="G606" s="292">
        <v>-1700000</v>
      </c>
      <c r="H606" s="14">
        <f>SUM($C$606:$G$606)/SUM($C$318:$G$318)*H318</f>
        <v>-340000</v>
      </c>
      <c r="I606" s="14">
        <f t="shared" ref="I606:L606" si="161">SUM($C$606:$G$606)/SUM($C$318:$G$318)*I318</f>
        <v>-340000</v>
      </c>
      <c r="J606" s="14">
        <f t="shared" si="161"/>
        <v>-340000</v>
      </c>
      <c r="K606" s="14">
        <f t="shared" si="161"/>
        <v>-340000</v>
      </c>
      <c r="L606" s="14">
        <f t="shared" si="161"/>
        <v>-340000</v>
      </c>
      <c r="M606" s="22"/>
    </row>
    <row r="607" spans="1:13" ht="23.25" customHeight="1" x14ac:dyDescent="0.35">
      <c r="A607" s="8" t="s">
        <v>288</v>
      </c>
      <c r="B607" s="8"/>
      <c r="C607" s="293"/>
      <c r="D607" s="290"/>
      <c r="E607" s="290"/>
      <c r="F607" s="291" t="s">
        <v>18</v>
      </c>
      <c r="G607" s="292">
        <v>400000</v>
      </c>
      <c r="H607" s="14">
        <f>SUM($C$607:$G$607)/SUM($C$223:$G$223)*H223</f>
        <v>166390.84935507423</v>
      </c>
      <c r="I607" s="14">
        <f t="shared" ref="I607:L607" si="162">SUM($C$607:$G$607)/SUM($C$223:$G$223)*I223</f>
        <v>166390.84935507423</v>
      </c>
      <c r="J607" s="14">
        <f t="shared" si="162"/>
        <v>166390.84935507423</v>
      </c>
      <c r="K607" s="14">
        <f t="shared" si="162"/>
        <v>166390.84935507423</v>
      </c>
      <c r="L607" s="14">
        <f t="shared" si="162"/>
        <v>166390.84935507423</v>
      </c>
      <c r="M607" s="22"/>
    </row>
    <row r="608" spans="1:13" ht="23.25" customHeight="1" x14ac:dyDescent="0.35">
      <c r="A608" s="8" t="s">
        <v>289</v>
      </c>
      <c r="B608" s="8"/>
      <c r="C608" s="293"/>
      <c r="D608" s="290"/>
      <c r="E608" s="290"/>
      <c r="F608" s="291" t="s">
        <v>18</v>
      </c>
      <c r="G608" s="292">
        <v>-400000</v>
      </c>
      <c r="H608" s="14">
        <f>SUM($C$608:$G$608)/SUM($C$223:$G$223)*H223</f>
        <v>-166390.84935507423</v>
      </c>
      <c r="I608" s="14">
        <f t="shared" ref="I608:L608" si="163">SUM($C$608:$G$608)/SUM($C$223:$G$223)*I223</f>
        <v>-166390.84935507423</v>
      </c>
      <c r="J608" s="14">
        <f t="shared" si="163"/>
        <v>-166390.84935507423</v>
      </c>
      <c r="K608" s="14">
        <f t="shared" si="163"/>
        <v>-166390.84935507423</v>
      </c>
      <c r="L608" s="14">
        <f t="shared" si="163"/>
        <v>-166390.84935507423</v>
      </c>
      <c r="M608" s="22"/>
    </row>
    <row r="609" spans="1:13" ht="23.25" customHeight="1" x14ac:dyDescent="0.35">
      <c r="A609" s="8" t="s">
        <v>290</v>
      </c>
      <c r="B609" s="8"/>
      <c r="C609" s="293">
        <v>-998523</v>
      </c>
      <c r="D609" s="290">
        <v>-1891139</v>
      </c>
      <c r="E609" s="291">
        <v>-1353532</v>
      </c>
      <c r="F609" s="291">
        <v>-2311808</v>
      </c>
      <c r="G609" s="292">
        <v>-4531992</v>
      </c>
      <c r="H609" s="75">
        <f>SUM($C$609:$G$609)/SUM($C$650:$G$650)*H650</f>
        <v>-1102612.2863545304</v>
      </c>
      <c r="I609" s="75">
        <f t="shared" ref="I609:L609" si="164">SUM($C$609:$G$609)/SUM($C$650:$G$650)*I650</f>
        <v>-904295.66982704948</v>
      </c>
      <c r="J609" s="75">
        <f t="shared" si="164"/>
        <v>-1112004.50449754</v>
      </c>
      <c r="K609" s="75">
        <f t="shared" si="164"/>
        <v>-963752.84317503183</v>
      </c>
      <c r="L609" s="75">
        <f t="shared" si="164"/>
        <v>-1060549.9111303294</v>
      </c>
      <c r="M609" s="22"/>
    </row>
    <row r="610" spans="1:13" ht="23.25" customHeight="1" x14ac:dyDescent="0.35">
      <c r="A610" s="8" t="s">
        <v>291</v>
      </c>
      <c r="B610" s="8"/>
      <c r="C610" s="293">
        <v>-1241425</v>
      </c>
      <c r="D610" s="290">
        <v>-1337444</v>
      </c>
      <c r="E610" s="291">
        <v>-1372441</v>
      </c>
      <c r="F610" s="291">
        <v>-1720502</v>
      </c>
      <c r="G610" s="292">
        <v>-2372703</v>
      </c>
      <c r="H610" s="292">
        <f>SUM($C$610:$G$610)/SUM($O$383:$Q$383)*R383</f>
        <v>-3492221.2075288082</v>
      </c>
      <c r="I610" s="292">
        <f t="shared" ref="I610:J610" si="165">SUM($C$610:$G$610)/SUM($O$383:$Q$383)*S383</f>
        <v>-3152108.7186637344</v>
      </c>
      <c r="J610" s="292">
        <f t="shared" si="165"/>
        <v>0</v>
      </c>
      <c r="K610">
        <f t="shared" ref="K610:L610" si="166">SUM($C$610:$G$610)/SUM($O$383:$Q$383)*U383</f>
        <v>0</v>
      </c>
      <c r="L610">
        <f t="shared" si="166"/>
        <v>0</v>
      </c>
      <c r="M610" s="22"/>
    </row>
    <row r="611" spans="1:13" ht="23.25" customHeight="1" x14ac:dyDescent="0.35">
      <c r="A611" s="8" t="s">
        <v>292</v>
      </c>
      <c r="B611" s="8" t="s">
        <v>682</v>
      </c>
      <c r="C611" s="293">
        <v>-839879</v>
      </c>
      <c r="D611" s="290">
        <v>-184969</v>
      </c>
      <c r="E611" s="291">
        <v>-10213054</v>
      </c>
      <c r="F611" s="291">
        <v>-14390460</v>
      </c>
      <c r="G611" s="292">
        <v>-7930739</v>
      </c>
      <c r="H611" s="14">
        <f>-25%*'Income Statement'!G18</f>
        <v>-3068964.2881097784</v>
      </c>
      <c r="I611" s="14">
        <f>-25%*'Income Statement'!H18</f>
        <v>-2917640.3381090583</v>
      </c>
      <c r="J611" s="14">
        <f>-25%*'Income Statement'!I18</f>
        <v>-3372776.9179701852</v>
      </c>
      <c r="K611" s="14">
        <f>-25%*'Income Statement'!J18</f>
        <v>-3886708.8294627108</v>
      </c>
      <c r="L611" s="14">
        <f>-25%*'Income Statement'!K18</f>
        <v>-5089204.3320082221</v>
      </c>
      <c r="M611" s="22"/>
    </row>
    <row r="612" spans="1:13" ht="23.25" customHeight="1" x14ac:dyDescent="0.35">
      <c r="A612" s="8" t="s">
        <v>293</v>
      </c>
      <c r="B612" s="8"/>
      <c r="C612" s="293">
        <f t="shared" ref="C612:I612" si="167">SUM(C601:C611)</f>
        <v>8787053</v>
      </c>
      <c r="D612" s="290">
        <f t="shared" si="167"/>
        <v>1414995</v>
      </c>
      <c r="E612" s="290">
        <f t="shared" si="167"/>
        <v>-13462633</v>
      </c>
      <c r="F612" s="290">
        <f t="shared" si="167"/>
        <v>-16350510</v>
      </c>
      <c r="G612" s="294">
        <f t="shared" si="167"/>
        <v>-15819981</v>
      </c>
      <c r="H612" s="290">
        <f t="shared" si="167"/>
        <v>-6829916.8611633014</v>
      </c>
      <c r="I612" s="290">
        <f t="shared" si="167"/>
        <v>-6329695.5410538008</v>
      </c>
      <c r="J612" s="290">
        <f t="shared" ref="J612:L612" si="168">SUM(J601:J611)</f>
        <v>-3011809.5487181935</v>
      </c>
      <c r="K612" s="290">
        <f t="shared" si="168"/>
        <v>-3121719.3844922297</v>
      </c>
      <c r="L612" s="290">
        <f t="shared" si="168"/>
        <v>-3675570.3490469558</v>
      </c>
      <c r="M612" s="22"/>
    </row>
    <row r="613" spans="1:13" ht="23.25" customHeight="1" x14ac:dyDescent="0.35">
      <c r="C613" s="301"/>
      <c r="D613" s="301"/>
      <c r="E613" s="301"/>
      <c r="F613" s="301"/>
      <c r="G613" s="301"/>
      <c r="I613" s="13"/>
      <c r="J613" s="20"/>
      <c r="K613" s="22"/>
      <c r="L613" s="154"/>
      <c r="M613" s="22"/>
    </row>
    <row r="614" spans="1:13" ht="23.25" customHeight="1" x14ac:dyDescent="0.35">
      <c r="C614" s="293"/>
      <c r="D614" s="290"/>
      <c r="E614" s="290"/>
      <c r="F614" s="290"/>
      <c r="G614" s="294"/>
      <c r="I614" s="9"/>
    </row>
    <row r="615" spans="1:13" ht="23.25" customHeight="1" x14ac:dyDescent="0.35">
      <c r="A615" s="11" t="s">
        <v>294</v>
      </c>
      <c r="B615" s="11"/>
      <c r="C615" s="293">
        <f t="shared" ref="C615:H615" si="169">C612+C598+C586</f>
        <v>-2405763</v>
      </c>
      <c r="D615" s="290">
        <f t="shared" si="169"/>
        <v>7452155</v>
      </c>
      <c r="E615" s="291">
        <f t="shared" si="169"/>
        <v>-8489250</v>
      </c>
      <c r="F615" s="291">
        <f t="shared" si="169"/>
        <v>-2680488</v>
      </c>
      <c r="G615" s="292">
        <f t="shared" si="169"/>
        <v>-6258949</v>
      </c>
      <c r="H615" s="291">
        <f t="shared" si="169"/>
        <v>-16791043.575391948</v>
      </c>
      <c r="I615" s="291">
        <f t="shared" ref="I615:L615" si="170">I612+I598+I586</f>
        <v>-15608241.098918643</v>
      </c>
      <c r="J615" s="291">
        <f t="shared" si="170"/>
        <v>-13445965.269532127</v>
      </c>
      <c r="K615" s="291">
        <f t="shared" si="170"/>
        <v>-14914059.692633588</v>
      </c>
      <c r="L615" s="291">
        <f t="shared" si="170"/>
        <v>-12344760.503027529</v>
      </c>
    </row>
    <row r="616" spans="1:13" ht="23.25" customHeight="1" x14ac:dyDescent="0.35">
      <c r="A616" s="8" t="s">
        <v>295</v>
      </c>
      <c r="B616" s="8" t="s">
        <v>683</v>
      </c>
      <c r="C616" s="293"/>
      <c r="D616" s="290">
        <v>6834</v>
      </c>
      <c r="E616" s="291">
        <v>39600</v>
      </c>
      <c r="F616" s="291">
        <v>28419</v>
      </c>
      <c r="G616" s="292">
        <v>434307</v>
      </c>
      <c r="H616" s="292">
        <v>753533.73670513718</v>
      </c>
      <c r="I616" s="292">
        <v>896851.63747190917</v>
      </c>
      <c r="J616" s="292">
        <v>1039994.5729465184</v>
      </c>
      <c r="K616" s="292">
        <v>1182977.3834620891</v>
      </c>
      <c r="L616" s="292">
        <v>1325813.0539629974</v>
      </c>
    </row>
    <row r="617" spans="1:13" ht="23.25" customHeight="1" x14ac:dyDescent="0.35">
      <c r="A617" s="8" t="s">
        <v>296</v>
      </c>
      <c r="B617" s="8"/>
      <c r="C617" s="293">
        <v>9062267</v>
      </c>
      <c r="D617" s="290">
        <v>6656504</v>
      </c>
      <c r="E617" s="291">
        <v>14115493</v>
      </c>
      <c r="F617" s="291">
        <v>5665843</v>
      </c>
      <c r="G617" s="292">
        <v>3013774</v>
      </c>
      <c r="H617" s="14">
        <f>G618</f>
        <v>-2810868</v>
      </c>
      <c r="I617" s="14">
        <f t="shared" ref="I617:L617" si="171">H618</f>
        <v>-18848377.838686809</v>
      </c>
      <c r="J617" s="14">
        <f t="shared" si="171"/>
        <v>-33559767.300133541</v>
      </c>
      <c r="K617" s="14">
        <f t="shared" si="171"/>
        <v>-45965737.996719152</v>
      </c>
      <c r="L617" s="14">
        <f t="shared" si="171"/>
        <v>-59696820.30589065</v>
      </c>
    </row>
    <row r="618" spans="1:13" ht="23.25" customHeight="1" x14ac:dyDescent="0.35">
      <c r="A618" s="270" t="s">
        <v>297</v>
      </c>
      <c r="B618" s="11"/>
      <c r="C618" s="293">
        <f t="shared" ref="C618:I618" si="172">SUM(C615:C617)</f>
        <v>6656504</v>
      </c>
      <c r="D618" s="290">
        <f t="shared" si="172"/>
        <v>14115493</v>
      </c>
      <c r="E618" s="291">
        <f t="shared" si="172"/>
        <v>5665843</v>
      </c>
      <c r="F618" s="291">
        <f t="shared" si="172"/>
        <v>3013774</v>
      </c>
      <c r="G618" s="292">
        <f t="shared" si="172"/>
        <v>-2810868</v>
      </c>
      <c r="H618" s="291">
        <f>SUM(H615:H617)</f>
        <v>-18848377.838686809</v>
      </c>
      <c r="I618" s="291">
        <f t="shared" si="172"/>
        <v>-33559767.300133541</v>
      </c>
      <c r="J618" s="291">
        <f t="shared" ref="J618:L618" si="173">SUM(J615:J617)</f>
        <v>-45965737.996719152</v>
      </c>
      <c r="K618" s="291">
        <f t="shared" si="173"/>
        <v>-59696820.30589065</v>
      </c>
      <c r="L618" s="291">
        <f t="shared" si="173"/>
        <v>-70715767.754955173</v>
      </c>
    </row>
    <row r="619" spans="1:13" ht="23.25" customHeight="1" x14ac:dyDescent="0.35"/>
    <row r="620" spans="1:13" ht="23.25" customHeight="1" x14ac:dyDescent="0.35">
      <c r="A620" s="165" t="s">
        <v>684</v>
      </c>
      <c r="C620" s="293">
        <f>C315</f>
        <v>777823</v>
      </c>
      <c r="D620" s="293">
        <f t="shared" ref="D620:G620" si="174">D315</f>
        <v>940920</v>
      </c>
      <c r="E620" s="293">
        <f t="shared" si="174"/>
        <v>1916986</v>
      </c>
      <c r="F620" s="293">
        <f t="shared" si="174"/>
        <v>2852045</v>
      </c>
      <c r="G620" s="293">
        <f t="shared" si="174"/>
        <v>3985495</v>
      </c>
      <c r="H620" s="293">
        <f>SUM(C620:G620)/SUM($C$615:$G$615)*H615</f>
        <v>14202303.866593523</v>
      </c>
      <c r="I620" s="293">
        <f t="shared" ref="I620:L620" si="175">SUM(D620:H620)/SUM($C$615:$G$615)*I615</f>
        <v>30123805.129779462</v>
      </c>
      <c r="J620" s="293">
        <f t="shared" si="175"/>
        <v>57640394.987031296</v>
      </c>
      <c r="K620" s="293">
        <f t="shared" si="175"/>
        <v>131050827.55405374</v>
      </c>
      <c r="L620" s="293">
        <f t="shared" si="175"/>
        <v>236284398.98625386</v>
      </c>
    </row>
    <row r="621" spans="1:13" ht="23.25" customHeight="1" x14ac:dyDescent="0.35">
      <c r="C621" s="293"/>
      <c r="D621" s="290"/>
      <c r="E621" s="291"/>
      <c r="F621" s="291"/>
      <c r="G621" s="292"/>
    </row>
    <row r="622" spans="1:13" ht="23.25" customHeight="1" x14ac:dyDescent="0.35"/>
    <row r="623" spans="1:13" ht="23.25" customHeight="1" x14ac:dyDescent="0.35"/>
    <row r="624" spans="1:13" ht="23.25" customHeight="1" x14ac:dyDescent="0.35"/>
    <row r="625" spans="1:12" ht="23.25" customHeight="1" x14ac:dyDescent="0.35">
      <c r="A625" s="270" t="s">
        <v>316</v>
      </c>
      <c r="F625" s="138"/>
    </row>
    <row r="626" spans="1:12" ht="23.25" customHeight="1" x14ac:dyDescent="0.35">
      <c r="A626" s="11" t="s">
        <v>605</v>
      </c>
      <c r="B626" s="11"/>
      <c r="C626" s="144">
        <v>5042694</v>
      </c>
      <c r="D626" s="17">
        <v>8216133</v>
      </c>
      <c r="E626" s="18">
        <v>20028341</v>
      </c>
      <c r="F626" s="18">
        <v>16713929</v>
      </c>
      <c r="G626" s="147">
        <v>14097374</v>
      </c>
      <c r="H626" s="26">
        <f>H576</f>
        <v>16022274.352439115</v>
      </c>
      <c r="I626" s="26">
        <f t="shared" ref="I626:L626" si="176">I576</f>
        <v>15879918.192436233</v>
      </c>
      <c r="J626" s="26">
        <f t="shared" si="176"/>
        <v>18041558.27988074</v>
      </c>
      <c r="K626" s="26">
        <f t="shared" si="176"/>
        <v>20022230.047450844</v>
      </c>
      <c r="L626" s="26">
        <f t="shared" si="176"/>
        <v>24726484.003552888</v>
      </c>
    </row>
    <row r="627" spans="1:12" ht="23.25" customHeight="1" x14ac:dyDescent="0.35">
      <c r="A627" s="11" t="s">
        <v>299</v>
      </c>
      <c r="B627" s="11"/>
      <c r="E627" s="18"/>
      <c r="F627" s="18"/>
      <c r="G627" s="147"/>
      <c r="H627" s="11"/>
      <c r="I627" s="8"/>
    </row>
    <row r="628" spans="1:12" ht="23.25" customHeight="1" x14ac:dyDescent="0.35">
      <c r="A628" s="8" t="s">
        <v>300</v>
      </c>
      <c r="B628" s="8" t="s">
        <v>604</v>
      </c>
      <c r="C628" s="144">
        <v>51123</v>
      </c>
      <c r="D628" s="18">
        <v>53018</v>
      </c>
      <c r="E628" s="18">
        <v>60985</v>
      </c>
      <c r="F628" s="18">
        <v>68769</v>
      </c>
      <c r="G628" s="147">
        <v>78292</v>
      </c>
      <c r="H628" s="125">
        <v>84266.589410146131</v>
      </c>
      <c r="I628" s="125">
        <v>91388.03306689368</v>
      </c>
      <c r="J628" s="90">
        <v>98509.476723641215</v>
      </c>
      <c r="K628" s="90">
        <v>105630.92038038876</v>
      </c>
      <c r="L628" s="155">
        <v>112752.3640371363</v>
      </c>
    </row>
    <row r="629" spans="1:12" ht="23.25" customHeight="1" x14ac:dyDescent="0.35">
      <c r="A629" s="11" t="s">
        <v>301</v>
      </c>
      <c r="B629" s="11"/>
      <c r="F629" s="18"/>
      <c r="G629" s="147"/>
      <c r="H629" s="8"/>
      <c r="I629" s="9"/>
    </row>
    <row r="630" spans="1:12" ht="23.25" customHeight="1" x14ac:dyDescent="0.35">
      <c r="A630" s="8" t="s">
        <v>302</v>
      </c>
      <c r="B630" s="8"/>
      <c r="C630" s="144">
        <v>1027176</v>
      </c>
      <c r="D630" s="18">
        <v>1291707</v>
      </c>
      <c r="E630" s="18">
        <v>1814440</v>
      </c>
      <c r="F630" s="18">
        <v>2453687</v>
      </c>
      <c r="G630" s="147">
        <v>2955704</v>
      </c>
      <c r="H630" s="90">
        <f>H146</f>
        <v>2914845.776674116</v>
      </c>
      <c r="I630" s="90">
        <f t="shared" ref="I630:L630" si="177">I146</f>
        <v>3235399.6043371572</v>
      </c>
      <c r="J630" s="90">
        <f t="shared" si="177"/>
        <v>3588272.1616548281</v>
      </c>
      <c r="K630" s="90">
        <f t="shared" si="177"/>
        <v>3868406.2433204073</v>
      </c>
      <c r="L630" s="90">
        <f t="shared" si="177"/>
        <v>4209845.7848816235</v>
      </c>
    </row>
    <row r="631" spans="1:12" ht="23.25" customHeight="1" x14ac:dyDescent="0.35">
      <c r="A631" s="8" t="s">
        <v>303</v>
      </c>
      <c r="B631" s="8"/>
      <c r="C631" s="144">
        <v>415961</v>
      </c>
      <c r="D631" s="18">
        <v>448046</v>
      </c>
      <c r="E631" s="18">
        <v>436136</v>
      </c>
      <c r="F631" s="18">
        <v>463500</v>
      </c>
      <c r="G631" s="147">
        <v>460722</v>
      </c>
      <c r="H631" s="125">
        <f>H200</f>
        <v>439042.88378622546</v>
      </c>
      <c r="I631" s="125">
        <f t="shared" ref="I631:L631" si="178">I220</f>
        <v>59554.468750645327</v>
      </c>
      <c r="J631" s="125">
        <f t="shared" si="178"/>
        <v>66235.002459150754</v>
      </c>
      <c r="K631" s="125">
        <f t="shared" si="178"/>
        <v>72839.82423195662</v>
      </c>
      <c r="L631" s="125">
        <f t="shared" si="178"/>
        <v>70242.465318668037</v>
      </c>
    </row>
    <row r="632" spans="1:12" ht="23.25" customHeight="1" x14ac:dyDescent="0.35">
      <c r="A632" s="8" t="s">
        <v>216</v>
      </c>
      <c r="B632" s="8"/>
      <c r="C632" s="144">
        <v>75362</v>
      </c>
      <c r="D632" s="18">
        <v>25193</v>
      </c>
      <c r="E632" s="18">
        <v>33740</v>
      </c>
      <c r="F632" s="18">
        <v>97446</v>
      </c>
      <c r="G632" s="147">
        <v>104545</v>
      </c>
      <c r="H632" s="125">
        <f>-'Depreciation schedule'!H197</f>
        <v>67257.2</v>
      </c>
      <c r="I632" s="125">
        <f>-'Depreciation schedule'!I197</f>
        <v>65636.240000000005</v>
      </c>
      <c r="J632" s="125">
        <f>-'Depreciation schedule'!J197</f>
        <v>73724.888000000006</v>
      </c>
      <c r="K632" s="125">
        <f>-'Depreciation schedule'!K197</f>
        <v>81721.86559999999</v>
      </c>
      <c r="L632" s="125">
        <f>-'Depreciation schedule'!L197</f>
        <v>78577.038719999997</v>
      </c>
    </row>
    <row r="633" spans="1:12" ht="23.25" customHeight="1" x14ac:dyDescent="0.35">
      <c r="A633" s="11" t="s">
        <v>181</v>
      </c>
      <c r="B633" s="11"/>
      <c r="F633" s="18"/>
      <c r="G633" s="147"/>
      <c r="H633" s="8"/>
      <c r="I633" s="9"/>
      <c r="K633" s="2"/>
      <c r="L633" s="148"/>
    </row>
    <row r="634" spans="1:12" ht="23.25" customHeight="1" x14ac:dyDescent="0.35">
      <c r="A634" s="8" t="s">
        <v>347</v>
      </c>
      <c r="B634" s="8"/>
      <c r="D634" s="18">
        <v>6000</v>
      </c>
      <c r="F634" s="18"/>
      <c r="G634" s="147"/>
      <c r="H634" s="125">
        <f>H466</f>
        <v>0</v>
      </c>
      <c r="I634" s="125">
        <f t="shared" ref="I634:L634" si="179">I466</f>
        <v>0</v>
      </c>
      <c r="J634" s="125">
        <f t="shared" si="179"/>
        <v>0</v>
      </c>
      <c r="K634" s="125">
        <f t="shared" si="179"/>
        <v>0</v>
      </c>
      <c r="L634" s="125">
        <f t="shared" si="179"/>
        <v>0</v>
      </c>
    </row>
    <row r="635" spans="1:12" ht="23.25" customHeight="1" x14ac:dyDescent="0.35">
      <c r="A635" s="8" t="s">
        <v>1</v>
      </c>
      <c r="B635" s="8"/>
      <c r="D635" s="18"/>
      <c r="E635" s="18">
        <v>76460</v>
      </c>
      <c r="F635" s="18"/>
      <c r="G635" s="147"/>
      <c r="H635" s="125">
        <f>H465</f>
        <v>16427.057639690534</v>
      </c>
      <c r="I635" s="125">
        <f t="shared" ref="I635:L635" si="180">I465</f>
        <v>167188.32682376605</v>
      </c>
      <c r="J635" s="125">
        <f t="shared" si="180"/>
        <v>21714.032000000003</v>
      </c>
      <c r="K635" s="125">
        <f t="shared" si="180"/>
        <v>25548.927561329394</v>
      </c>
      <c r="L635" s="125">
        <f t="shared" si="180"/>
        <v>344685.64048767654</v>
      </c>
    </row>
    <row r="636" spans="1:12" ht="23.25" customHeight="1" x14ac:dyDescent="0.35">
      <c r="A636" s="8" t="s">
        <v>40</v>
      </c>
      <c r="B636" s="8" t="s">
        <v>606</v>
      </c>
      <c r="D636" s="18" t="s">
        <v>18</v>
      </c>
      <c r="E636" s="18">
        <v>7615</v>
      </c>
      <c r="F636" s="18"/>
      <c r="G636" s="147"/>
      <c r="H636" s="8">
        <v>0</v>
      </c>
      <c r="I636" s="8">
        <v>0</v>
      </c>
      <c r="J636" s="8">
        <v>0</v>
      </c>
      <c r="K636" s="8">
        <v>0</v>
      </c>
      <c r="L636" s="8">
        <v>0</v>
      </c>
    </row>
    <row r="637" spans="1:12" ht="23.25" customHeight="1" x14ac:dyDescent="0.35">
      <c r="A637" s="8" t="s">
        <v>337</v>
      </c>
      <c r="B637" s="8"/>
      <c r="D637" s="18">
        <v>331</v>
      </c>
      <c r="E637" s="18">
        <v>56</v>
      </c>
      <c r="F637" s="18"/>
      <c r="G637" s="147"/>
      <c r="H637" s="8">
        <v>0</v>
      </c>
      <c r="I637" s="8">
        <v>0</v>
      </c>
      <c r="J637" s="8">
        <v>0</v>
      </c>
      <c r="K637" s="8">
        <v>0</v>
      </c>
      <c r="L637" s="8">
        <v>0</v>
      </c>
    </row>
    <row r="638" spans="1:12" ht="23.25" customHeight="1" x14ac:dyDescent="0.35">
      <c r="A638" s="4" t="s">
        <v>359</v>
      </c>
      <c r="B638" t="s">
        <v>606</v>
      </c>
      <c r="C638" s="144">
        <v>-1701</v>
      </c>
      <c r="D638" s="18"/>
      <c r="E638" s="18"/>
      <c r="F638" s="18"/>
      <c r="G638" s="147"/>
      <c r="H638" s="125">
        <f>H496</f>
        <v>129</v>
      </c>
      <c r="I638" s="125">
        <f t="shared" ref="I638:L638" si="181">I496</f>
        <v>172</v>
      </c>
      <c r="J638" s="125">
        <f t="shared" si="181"/>
        <v>119</v>
      </c>
      <c r="K638" s="125">
        <f t="shared" si="181"/>
        <v>140</v>
      </c>
      <c r="L638" s="125">
        <f t="shared" si="181"/>
        <v>140</v>
      </c>
    </row>
    <row r="639" spans="1:12" ht="23.25" customHeight="1" x14ac:dyDescent="0.35">
      <c r="A639" s="8" t="s">
        <v>304</v>
      </c>
      <c r="B639" s="8"/>
      <c r="D639" s="18">
        <v>57302</v>
      </c>
      <c r="E639" s="18">
        <v>20594</v>
      </c>
      <c r="F639" s="18">
        <v>14224</v>
      </c>
      <c r="G639" s="147">
        <v>210</v>
      </c>
      <c r="H639" s="125">
        <f>H478</f>
        <v>23082.5</v>
      </c>
      <c r="I639" s="125">
        <f t="shared" ref="I639:L639" si="182">I478</f>
        <v>23082.5</v>
      </c>
      <c r="J639" s="125">
        <f t="shared" si="182"/>
        <v>16238.6</v>
      </c>
      <c r="K639" s="125">
        <f t="shared" si="182"/>
        <v>15367.52</v>
      </c>
      <c r="L639" s="125">
        <f t="shared" si="182"/>
        <v>15596.223999999998</v>
      </c>
    </row>
    <row r="640" spans="1:12" ht="23.25" customHeight="1" x14ac:dyDescent="0.35">
      <c r="A640" s="8" t="s">
        <v>305</v>
      </c>
      <c r="B640" s="8"/>
      <c r="D640" s="18">
        <v>91763</v>
      </c>
      <c r="E640" s="18">
        <v>1665</v>
      </c>
      <c r="F640" s="18">
        <v>18604</v>
      </c>
      <c r="G640" s="147" t="s">
        <v>18</v>
      </c>
      <c r="H640" s="125">
        <f>H479</f>
        <v>37344</v>
      </c>
      <c r="I640" s="125">
        <f t="shared" ref="I640:L640" si="183">I479</f>
        <v>37344</v>
      </c>
      <c r="J640" s="125">
        <f t="shared" si="183"/>
        <v>23739.25</v>
      </c>
      <c r="K640" s="125">
        <f t="shared" si="183"/>
        <v>29257.8125</v>
      </c>
      <c r="L640" s="125">
        <f t="shared" si="183"/>
        <v>31921.265625</v>
      </c>
    </row>
    <row r="641" spans="1:12" ht="23.25" customHeight="1" x14ac:dyDescent="0.35">
      <c r="A641" s="11" t="s">
        <v>306</v>
      </c>
      <c r="B641" s="11"/>
      <c r="G641" s="147"/>
      <c r="H641" s="8"/>
      <c r="I641" s="8"/>
      <c r="J641" s="8"/>
      <c r="K641" s="8"/>
      <c r="L641" s="8"/>
    </row>
    <row r="642" spans="1:12" ht="23.25" customHeight="1" x14ac:dyDescent="0.35">
      <c r="A642" s="8" t="s">
        <v>307</v>
      </c>
      <c r="B642" s="8"/>
      <c r="C642" s="86">
        <v>39644</v>
      </c>
      <c r="D642" s="18">
        <v>20571</v>
      </c>
      <c r="E642" s="18">
        <v>-21911</v>
      </c>
      <c r="F642" s="18">
        <v>6123</v>
      </c>
      <c r="G642" s="147">
        <v>22040</v>
      </c>
      <c r="H642" s="125">
        <f>H475</f>
        <v>13293.4</v>
      </c>
      <c r="I642" s="125">
        <f t="shared" ref="I642:L642" si="184">I475</f>
        <v>8023.2800000000007</v>
      </c>
      <c r="J642" s="125">
        <f t="shared" si="184"/>
        <v>5513.7359999999999</v>
      </c>
      <c r="K642" s="125">
        <f t="shared" si="184"/>
        <v>10998.683199999999</v>
      </c>
      <c r="L642" s="125">
        <f t="shared" si="184"/>
        <v>11973.81984</v>
      </c>
    </row>
    <row r="643" spans="1:12" ht="23.25" customHeight="1" x14ac:dyDescent="0.35">
      <c r="A643" s="8" t="s">
        <v>308</v>
      </c>
      <c r="B643" s="8"/>
      <c r="F643" s="18">
        <v>99199</v>
      </c>
      <c r="G643" s="147">
        <v>6612</v>
      </c>
      <c r="H643" s="125">
        <f>H476</f>
        <v>52905.5</v>
      </c>
      <c r="I643" s="125">
        <f t="shared" ref="I643:L643" si="185">I476</f>
        <v>52905.5</v>
      </c>
      <c r="J643" s="125">
        <f t="shared" si="185"/>
        <v>52905.5</v>
      </c>
      <c r="K643" s="125">
        <f t="shared" si="185"/>
        <v>52905.5</v>
      </c>
      <c r="L643" s="125">
        <f t="shared" si="185"/>
        <v>43646.8</v>
      </c>
    </row>
    <row r="644" spans="1:12" ht="23.25" customHeight="1" x14ac:dyDescent="0.35">
      <c r="A644" s="8" t="s">
        <v>309</v>
      </c>
      <c r="B644" s="8" t="s">
        <v>607</v>
      </c>
      <c r="C644" s="144">
        <v>634818</v>
      </c>
      <c r="D644" s="18">
        <v>187986</v>
      </c>
      <c r="E644" s="18">
        <v>405183</v>
      </c>
      <c r="F644" s="18">
        <v>1089765</v>
      </c>
      <c r="G644" s="147">
        <v>439463</v>
      </c>
      <c r="H644" s="128">
        <f>SUM($C$644:$G$644)/SUM($C$552:$G$552)*H552</f>
        <v>1102885.9999999995</v>
      </c>
      <c r="I644" s="128">
        <f t="shared" ref="I644:L644" si="186">SUM($C$644:$G$644)/SUM($C$552:$G$552)*I552</f>
        <v>827164.49999999977</v>
      </c>
      <c r="J644" s="128">
        <f t="shared" si="186"/>
        <v>551443</v>
      </c>
      <c r="K644" s="128">
        <f t="shared" si="186"/>
        <v>275721.50000000023</v>
      </c>
      <c r="L644" s="128">
        <f t="shared" si="186"/>
        <v>4.4779864895515077E-10</v>
      </c>
    </row>
    <row r="645" spans="1:12" ht="23.25" customHeight="1" x14ac:dyDescent="0.35">
      <c r="A645" s="4" t="s">
        <v>360</v>
      </c>
      <c r="B645" s="8" t="s">
        <v>607</v>
      </c>
      <c r="C645" s="131">
        <v>154</v>
      </c>
      <c r="D645" s="18"/>
      <c r="E645" s="18"/>
      <c r="F645" s="18"/>
      <c r="G645" s="147"/>
      <c r="H645" s="128">
        <f>SUM($C$645:$G$645)/SUM($C$553:$G$553)*H553</f>
        <v>92.4</v>
      </c>
      <c r="I645" s="128">
        <f t="shared" ref="I645:L645" si="187">SUM($C$645:$G$645)/SUM($C$553:$G$553)*I553</f>
        <v>0</v>
      </c>
      <c r="J645" s="128">
        <f t="shared" si="187"/>
        <v>6.1023956114077617E-15</v>
      </c>
      <c r="K645" s="128">
        <f t="shared" si="187"/>
        <v>18.479999999999997</v>
      </c>
      <c r="L645" s="128">
        <f t="shared" si="187"/>
        <v>33.263999999999996</v>
      </c>
    </row>
    <row r="646" spans="1:12" ht="23.25" customHeight="1" x14ac:dyDescent="0.35">
      <c r="A646" s="8" t="s">
        <v>348</v>
      </c>
      <c r="B646" s="8" t="s">
        <v>607</v>
      </c>
      <c r="D646" s="18">
        <v>-154</v>
      </c>
      <c r="E646" s="18"/>
      <c r="F646" s="18"/>
      <c r="G646" s="147"/>
      <c r="H646" s="128">
        <f>SUM($C$646:$G$646)/SUM($C$553:$G$553)*H553</f>
        <v>-92.4</v>
      </c>
      <c r="I646" s="128">
        <f t="shared" ref="I646:L646" si="188">SUM($C$646:$G$646)/SUM($C$553:$G$553)*I553</f>
        <v>0</v>
      </c>
      <c r="J646" s="128">
        <f t="shared" si="188"/>
        <v>-6.1023956114077617E-15</v>
      </c>
      <c r="K646" s="128">
        <f t="shared" si="188"/>
        <v>-18.479999999999997</v>
      </c>
      <c r="L646" s="128">
        <f t="shared" si="188"/>
        <v>-33.263999999999996</v>
      </c>
    </row>
    <row r="647" spans="1:12" ht="23.25" customHeight="1" x14ac:dyDescent="0.35">
      <c r="A647" s="8" t="s">
        <v>310</v>
      </c>
      <c r="B647" s="8"/>
      <c r="C647" s="86">
        <v>-821317</v>
      </c>
      <c r="D647" s="145">
        <v>-1006403</v>
      </c>
      <c r="E647" s="18">
        <v>-1298914</v>
      </c>
      <c r="F647" s="18">
        <v>-1397595</v>
      </c>
      <c r="G647" s="147">
        <v>-1339574</v>
      </c>
      <c r="H647" s="125">
        <f>-H536</f>
        <v>-1204342.7333333332</v>
      </c>
      <c r="I647" s="125">
        <f t="shared" ref="I647:L647" si="189">-I536</f>
        <v>-1258167.8133333332</v>
      </c>
      <c r="J647" s="125">
        <f t="shared" si="189"/>
        <v>-1308298.9926666669</v>
      </c>
      <c r="K647" s="125">
        <f t="shared" si="189"/>
        <v>-1317466.0620333331</v>
      </c>
      <c r="L647" s="125">
        <f t="shared" si="189"/>
        <v>-1276138.3202733335</v>
      </c>
    </row>
    <row r="648" spans="1:12" ht="23.25" customHeight="1" x14ac:dyDescent="0.35">
      <c r="A648" s="4" t="s">
        <v>361</v>
      </c>
      <c r="C648" s="144">
        <v>333081</v>
      </c>
      <c r="D648" s="145">
        <v>302368</v>
      </c>
      <c r="E648" s="18">
        <v>0</v>
      </c>
      <c r="F648" s="17">
        <v>0</v>
      </c>
      <c r="G648" s="146">
        <v>0</v>
      </c>
      <c r="H648" s="125">
        <f>H547</f>
        <v>1164235.3211974571</v>
      </c>
      <c r="I648" s="125">
        <f t="shared" ref="I648:L648" si="190">I547</f>
        <v>0</v>
      </c>
      <c r="J648" s="125">
        <f t="shared" si="190"/>
        <v>0</v>
      </c>
      <c r="K648" s="125">
        <f t="shared" si="190"/>
        <v>0</v>
      </c>
      <c r="L648" s="125">
        <f t="shared" si="190"/>
        <v>0</v>
      </c>
    </row>
    <row r="649" spans="1:12" ht="23.25" customHeight="1" x14ac:dyDescent="0.35">
      <c r="A649" s="4" t="s">
        <v>362</v>
      </c>
      <c r="C649" s="86">
        <v>22000</v>
      </c>
      <c r="D649" s="18">
        <v>43822</v>
      </c>
      <c r="E649" s="18">
        <v>0</v>
      </c>
      <c r="F649" s="17">
        <v>0</v>
      </c>
      <c r="G649" s="146">
        <v>0</v>
      </c>
      <c r="H649" s="125">
        <f>H555</f>
        <v>54473.8</v>
      </c>
      <c r="I649" s="125">
        <f t="shared" ref="I649:L649" si="191">I555</f>
        <v>60968.56</v>
      </c>
      <c r="J649" s="125">
        <f t="shared" si="191"/>
        <v>64397.871999999996</v>
      </c>
      <c r="K649" s="125">
        <f t="shared" si="191"/>
        <v>68739.246399999989</v>
      </c>
      <c r="L649" s="125">
        <f t="shared" si="191"/>
        <v>63348.095679999991</v>
      </c>
    </row>
    <row r="650" spans="1:12" ht="23.25" customHeight="1" x14ac:dyDescent="0.35">
      <c r="A650" s="8" t="s">
        <v>311</v>
      </c>
      <c r="B650" s="8"/>
      <c r="C650" s="144">
        <v>1299884</v>
      </c>
      <c r="D650" s="145">
        <v>1735300</v>
      </c>
      <c r="E650" s="18">
        <v>1788116</v>
      </c>
      <c r="F650" s="18">
        <v>3082932</v>
      </c>
      <c r="G650" s="147">
        <v>4197208</v>
      </c>
      <c r="H650" s="125">
        <f>H562</f>
        <v>1203698.8250516667</v>
      </c>
      <c r="I650" s="125">
        <f t="shared" ref="I650:L650" si="192">I562</f>
        <v>987200.71301666659</v>
      </c>
      <c r="J650" s="125">
        <f t="shared" si="192"/>
        <v>1213952.1136130954</v>
      </c>
      <c r="K650" s="125">
        <f t="shared" si="192"/>
        <v>1052108.86848125</v>
      </c>
      <c r="L650" s="125">
        <f t="shared" si="192"/>
        <v>1157780.2077254911</v>
      </c>
    </row>
    <row r="651" spans="1:12" ht="23.25" customHeight="1" x14ac:dyDescent="0.35">
      <c r="A651" s="8" t="s">
        <v>312</v>
      </c>
      <c r="B651" s="8"/>
      <c r="C651" s="131">
        <v>798</v>
      </c>
      <c r="D651" s="18">
        <v>5762</v>
      </c>
      <c r="E651" s="18">
        <v>16</v>
      </c>
      <c r="F651" s="18">
        <v>-1093</v>
      </c>
      <c r="G651" s="147">
        <v>-4900</v>
      </c>
      <c r="H651" s="125">
        <f>H539</f>
        <v>0</v>
      </c>
      <c r="I651" s="125">
        <f t="shared" ref="I651:L651" si="193">I539</f>
        <v>0</v>
      </c>
      <c r="J651" s="125">
        <f t="shared" si="193"/>
        <v>0</v>
      </c>
      <c r="K651" s="125">
        <f t="shared" si="193"/>
        <v>0</v>
      </c>
      <c r="L651" s="125">
        <f t="shared" si="193"/>
        <v>0</v>
      </c>
    </row>
    <row r="652" spans="1:12" ht="23.25" customHeight="1" x14ac:dyDescent="0.35">
      <c r="A652" s="8" t="s">
        <v>349</v>
      </c>
      <c r="B652" s="8" t="s">
        <v>462</v>
      </c>
      <c r="C652" s="144">
        <v>1018938</v>
      </c>
      <c r="D652" s="18">
        <v>452838</v>
      </c>
      <c r="E652" s="18">
        <v>0</v>
      </c>
      <c r="F652" s="18">
        <v>0</v>
      </c>
      <c r="G652" s="18">
        <v>0</v>
      </c>
      <c r="H652" s="8">
        <f>TREND(C652:G652)</f>
        <v>792498</v>
      </c>
      <c r="I652" s="8">
        <f t="shared" ref="I652:L652" si="194">TREND(D652:H652)</f>
        <v>113203.20000000001</v>
      </c>
      <c r="J652" s="8">
        <f t="shared" si="194"/>
        <v>-22640.63999999997</v>
      </c>
      <c r="K652" s="8">
        <f t="shared" si="194"/>
        <v>163027.728</v>
      </c>
      <c r="L652" s="8">
        <f t="shared" si="194"/>
        <v>307034.2943999999</v>
      </c>
    </row>
    <row r="653" spans="1:12" ht="23.25" customHeight="1" x14ac:dyDescent="0.35">
      <c r="A653" s="8" t="s">
        <v>313</v>
      </c>
      <c r="B653" s="8" t="s">
        <v>608</v>
      </c>
      <c r="D653" s="18">
        <v>-680996</v>
      </c>
      <c r="E653" s="18">
        <v>277972</v>
      </c>
      <c r="F653" s="18">
        <v>262743</v>
      </c>
      <c r="G653" s="147">
        <v>140281</v>
      </c>
      <c r="H653" s="8">
        <v>0</v>
      </c>
      <c r="I653" s="8">
        <v>0</v>
      </c>
      <c r="J653" s="8">
        <v>0</v>
      </c>
      <c r="K653" s="8">
        <v>0</v>
      </c>
      <c r="L653" s="8">
        <v>0</v>
      </c>
    </row>
    <row r="654" spans="1:12" ht="23.25" customHeight="1" x14ac:dyDescent="0.35">
      <c r="A654" s="8" t="s">
        <v>314</v>
      </c>
      <c r="B654" s="8"/>
      <c r="C654" s="144">
        <v>-98054</v>
      </c>
      <c r="D654" s="18">
        <v>18048</v>
      </c>
      <c r="F654" s="18" t="s">
        <v>18</v>
      </c>
      <c r="G654" s="147">
        <v>264</v>
      </c>
      <c r="H654" s="125">
        <f>H516</f>
        <v>12262.75</v>
      </c>
      <c r="I654" s="125">
        <f t="shared" ref="I654:L654" si="195">I516</f>
        <v>8397.9375</v>
      </c>
      <c r="J654" s="125">
        <f t="shared" si="195"/>
        <v>8488.671875</v>
      </c>
      <c r="K654" s="125">
        <f t="shared" si="195"/>
        <v>7353.33984375</v>
      </c>
      <c r="L654" s="125">
        <f t="shared" si="195"/>
        <v>7353.33984375</v>
      </c>
    </row>
    <row r="655" spans="1:12" ht="23.25" customHeight="1" x14ac:dyDescent="0.35">
      <c r="A655" s="8" t="s">
        <v>315</v>
      </c>
      <c r="B655" s="8"/>
      <c r="D655" s="18">
        <v>1307251</v>
      </c>
      <c r="E655" s="18">
        <v>-6023780</v>
      </c>
      <c r="F655" s="18">
        <v>1682279</v>
      </c>
      <c r="G655" s="147">
        <v>-7875657</v>
      </c>
      <c r="H655" s="8">
        <f>H667</f>
        <v>9280511.175625395</v>
      </c>
      <c r="I655" s="8">
        <f t="shared" ref="I655:L655" si="196">I667</f>
        <v>-200229.28518595477</v>
      </c>
      <c r="J655" s="8">
        <f t="shared" si="196"/>
        <v>-773188.78160463646</v>
      </c>
      <c r="K655" s="8">
        <f t="shared" si="196"/>
        <v>687353.08507616958</v>
      </c>
      <c r="L655" s="8">
        <f t="shared" si="196"/>
        <v>-153486.61797947297</v>
      </c>
    </row>
    <row r="656" spans="1:12" ht="23.25" customHeight="1" x14ac:dyDescent="0.35">
      <c r="C656" s="86">
        <f>SUM(C626:C655)</f>
        <v>9040561</v>
      </c>
      <c r="D656" s="17">
        <f t="shared" ref="D656:G656" si="197">SUM(D626:D655)</f>
        <v>12575886</v>
      </c>
      <c r="E656" s="17">
        <f t="shared" si="197"/>
        <v>17606714</v>
      </c>
      <c r="F656" s="17">
        <f t="shared" si="197"/>
        <v>24654512</v>
      </c>
      <c r="G656" s="146">
        <f t="shared" si="197"/>
        <v>13282584</v>
      </c>
      <c r="H656" s="26">
        <f>SUM(H626:H655)</f>
        <v>32077091.398490474</v>
      </c>
      <c r="I656" s="26">
        <f t="shared" ref="I656:L656" si="198">SUM(I626:I655)</f>
        <v>20159149.957412072</v>
      </c>
      <c r="J656" s="26">
        <f t="shared" si="198"/>
        <v>21722683.169935159</v>
      </c>
      <c r="K656" s="26">
        <f t="shared" si="198"/>
        <v>25221885.050012756</v>
      </c>
      <c r="L656" s="26">
        <f t="shared" si="198"/>
        <v>29751756.405859426</v>
      </c>
    </row>
    <row r="657" spans="1:12" ht="23.25" customHeight="1" x14ac:dyDescent="0.35">
      <c r="K657" s="2"/>
      <c r="L657" s="148"/>
    </row>
    <row r="658" spans="1:12" ht="23.25" customHeight="1" x14ac:dyDescent="0.35">
      <c r="A658" s="11" t="s">
        <v>317</v>
      </c>
      <c r="B658" s="11"/>
      <c r="G658" s="147"/>
      <c r="H658" s="8"/>
      <c r="K658" s="2"/>
    </row>
    <row r="659" spans="1:12" ht="23.25" customHeight="1" x14ac:dyDescent="0.35">
      <c r="A659" s="11" t="s">
        <v>318</v>
      </c>
      <c r="B659" s="11"/>
      <c r="F659" s="147"/>
      <c r="G659" s="128"/>
      <c r="I659" s="9"/>
      <c r="K659" s="2"/>
      <c r="L659" s="148"/>
    </row>
    <row r="660" spans="1:12" ht="23.25" customHeight="1" x14ac:dyDescent="0.35">
      <c r="A660" s="8" t="s">
        <v>319</v>
      </c>
      <c r="B660" s="8"/>
      <c r="C660" s="86">
        <v>-154890</v>
      </c>
      <c r="D660" s="18">
        <v>-175893</v>
      </c>
      <c r="E660" s="18">
        <v>-255788</v>
      </c>
      <c r="F660" s="18">
        <v>-442621</v>
      </c>
      <c r="G660" s="147">
        <v>-869909</v>
      </c>
      <c r="H660" s="128">
        <f>G251-H251</f>
        <v>1067816.8000000003</v>
      </c>
      <c r="I660" s="128">
        <f t="shared" ref="I660:L660" si="199">H251-I251</f>
        <v>-50027.270201734267</v>
      </c>
      <c r="J660" s="128">
        <f t="shared" si="199"/>
        <v>21644.310068750754</v>
      </c>
      <c r="K660" s="128">
        <f t="shared" si="199"/>
        <v>235593.47915587341</v>
      </c>
      <c r="L660" s="128">
        <f t="shared" si="199"/>
        <v>165798.87333407067</v>
      </c>
    </row>
    <row r="661" spans="1:12" ht="23.25" customHeight="1" x14ac:dyDescent="0.35">
      <c r="A661" s="8" t="s">
        <v>320</v>
      </c>
      <c r="B661" s="8"/>
      <c r="C661" s="86">
        <v>-768672</v>
      </c>
      <c r="D661" s="18">
        <v>-1944154</v>
      </c>
      <c r="E661" s="18">
        <v>-6397822</v>
      </c>
      <c r="F661" s="18">
        <v>2056871</v>
      </c>
      <c r="G661" s="147">
        <v>-6211254</v>
      </c>
      <c r="H661" s="128">
        <f>G259-H259</f>
        <v>3954023.337792309</v>
      </c>
      <c r="I661" s="128">
        <f t="shared" ref="I661:L661" si="200">H259-I259</f>
        <v>301138.540768696</v>
      </c>
      <c r="J661" s="128">
        <f t="shared" si="200"/>
        <v>-1689737.6575733498</v>
      </c>
      <c r="K661" s="128">
        <f t="shared" si="200"/>
        <v>-1719040.7035062239</v>
      </c>
      <c r="L661" s="128">
        <f t="shared" si="200"/>
        <v>-1340614.1142644063</v>
      </c>
    </row>
    <row r="662" spans="1:12" ht="23.25" customHeight="1" x14ac:dyDescent="0.35">
      <c r="A662" s="8" t="s">
        <v>321</v>
      </c>
      <c r="B662" s="8"/>
      <c r="C662" s="86">
        <v>-37512</v>
      </c>
      <c r="D662" s="18">
        <v>-116930</v>
      </c>
      <c r="E662" s="18">
        <v>-248199</v>
      </c>
      <c r="F662" s="18">
        <v>-1842109</v>
      </c>
      <c r="G662" s="147">
        <v>1111247</v>
      </c>
      <c r="H662" s="128">
        <f>G271-H271</f>
        <v>84286.484020643169</v>
      </c>
      <c r="I662" s="128">
        <f t="shared" ref="I662:L662" si="201">H271-I271</f>
        <v>41167.66791186831</v>
      </c>
      <c r="J662" s="128">
        <f t="shared" si="201"/>
        <v>-201231.49303286616</v>
      </c>
      <c r="K662" s="128">
        <f t="shared" si="201"/>
        <v>-205948.76894806745</v>
      </c>
      <c r="L662" s="128">
        <f t="shared" si="201"/>
        <v>-208521.78311503306</v>
      </c>
    </row>
    <row r="663" spans="1:12" ht="23.25" customHeight="1" x14ac:dyDescent="0.35">
      <c r="A663" s="8" t="s">
        <v>322</v>
      </c>
      <c r="B663" s="8"/>
      <c r="C663" s="86">
        <v>758276</v>
      </c>
      <c r="D663" s="18">
        <v>625315</v>
      </c>
      <c r="E663" s="18">
        <v>-1196433</v>
      </c>
      <c r="F663" s="18">
        <v>-1472815</v>
      </c>
      <c r="G663" s="147">
        <v>-1380021</v>
      </c>
      <c r="H663" s="26">
        <f>G297-H297</f>
        <v>3002664.3451265073</v>
      </c>
      <c r="I663" s="26">
        <f t="shared" ref="I663:L663" si="202">H297-I297</f>
        <v>-2994.7785788625479</v>
      </c>
      <c r="J663" s="26">
        <f t="shared" si="202"/>
        <v>-463271.8431013925</v>
      </c>
      <c r="K663" s="26">
        <f t="shared" si="202"/>
        <v>-441152.51399169443</v>
      </c>
      <c r="L663" s="26">
        <f t="shared" si="202"/>
        <v>-429984.35362141626</v>
      </c>
    </row>
    <row r="664" spans="1:12" ht="23.25" customHeight="1" x14ac:dyDescent="0.35">
      <c r="A664" s="11" t="s">
        <v>323</v>
      </c>
      <c r="B664" s="11"/>
      <c r="C664" s="86">
        <f>SUM(C660:C663)</f>
        <v>-202798</v>
      </c>
      <c r="D664" s="17">
        <f>SUM(D660:D663)</f>
        <v>-1611662</v>
      </c>
      <c r="E664" s="17">
        <f t="shared" ref="E664:L664" si="203">SUM(E660:E663)</f>
        <v>-8098242</v>
      </c>
      <c r="F664" s="17">
        <f t="shared" si="203"/>
        <v>-1700674</v>
      </c>
      <c r="G664" s="146">
        <f t="shared" si="203"/>
        <v>-7349937</v>
      </c>
      <c r="H664" s="17">
        <f t="shared" si="203"/>
        <v>8108790.9669394605</v>
      </c>
      <c r="I664" s="17">
        <f t="shared" si="203"/>
        <v>289284.15989996749</v>
      </c>
      <c r="J664" s="17">
        <f t="shared" si="203"/>
        <v>-2332596.6836388577</v>
      </c>
      <c r="K664" s="17">
        <f t="shared" si="203"/>
        <v>-2130548.5072901123</v>
      </c>
      <c r="L664" s="17">
        <f t="shared" si="203"/>
        <v>-1813321.3776667849</v>
      </c>
    </row>
    <row r="665" spans="1:12" ht="23.25" customHeight="1" x14ac:dyDescent="0.35">
      <c r="A665" s="11" t="s">
        <v>324</v>
      </c>
      <c r="B665" s="11"/>
      <c r="E665" s="18"/>
      <c r="F665" s="18"/>
      <c r="G665" s="147"/>
      <c r="H665" s="8"/>
      <c r="I665" s="9"/>
    </row>
    <row r="666" spans="1:12" ht="23.25" customHeight="1" x14ac:dyDescent="0.35">
      <c r="A666" s="8" t="s">
        <v>325</v>
      </c>
      <c r="B666" s="8"/>
      <c r="C666" s="86">
        <v>104744</v>
      </c>
      <c r="D666" s="18">
        <v>2918913</v>
      </c>
      <c r="E666" s="18">
        <v>2074462</v>
      </c>
      <c r="F666" s="18">
        <v>3382953</v>
      </c>
      <c r="G666" s="147">
        <v>-525720</v>
      </c>
      <c r="H666" s="26">
        <f>H415-G415</f>
        <v>1171720.2086859345</v>
      </c>
      <c r="I666" s="26">
        <f t="shared" ref="I666:L666" si="204">I415-H415</f>
        <v>-489513.44508592226</v>
      </c>
      <c r="J666" s="26">
        <f t="shared" si="204"/>
        <v>1559407.9020342212</v>
      </c>
      <c r="K666" s="26">
        <f t="shared" si="204"/>
        <v>2817901.5923662819</v>
      </c>
      <c r="L666" s="26">
        <f t="shared" si="204"/>
        <v>1659834.7596873119</v>
      </c>
    </row>
    <row r="667" spans="1:12" ht="23.25" customHeight="1" x14ac:dyDescent="0.35">
      <c r="A667" s="11" t="s">
        <v>326</v>
      </c>
      <c r="B667" s="11"/>
      <c r="C667" s="86">
        <f>SUM(C664:C666)</f>
        <v>-98054</v>
      </c>
      <c r="D667" s="17">
        <f>SUM(D664:D666)</f>
        <v>1307251</v>
      </c>
      <c r="E667" s="17">
        <f>SUM(E664:E666)</f>
        <v>-6023780</v>
      </c>
      <c r="F667" s="17">
        <f t="shared" ref="F667:L667" si="205">SUM(F664:F666)</f>
        <v>1682279</v>
      </c>
      <c r="G667" s="146">
        <f t="shared" si="205"/>
        <v>-7875657</v>
      </c>
      <c r="H667" s="17">
        <f t="shared" si="205"/>
        <v>9280511.175625395</v>
      </c>
      <c r="I667" s="17">
        <f t="shared" si="205"/>
        <v>-200229.28518595477</v>
      </c>
      <c r="J667" s="17">
        <f t="shared" si="205"/>
        <v>-773188.78160463646</v>
      </c>
      <c r="K667" s="17">
        <f t="shared" si="205"/>
        <v>687353.08507616958</v>
      </c>
      <c r="L667" s="17">
        <f t="shared" si="205"/>
        <v>-153486.61797947297</v>
      </c>
    </row>
    <row r="668" spans="1:12" ht="23.25" customHeight="1" x14ac:dyDescent="0.35"/>
    <row r="669" spans="1:12" ht="23.25" customHeight="1" x14ac:dyDescent="0.35">
      <c r="A669" s="165" t="s">
        <v>331</v>
      </c>
    </row>
    <row r="670" spans="1:12" ht="23.25" customHeight="1" x14ac:dyDescent="0.35">
      <c r="A670" s="8" t="s">
        <v>327</v>
      </c>
      <c r="B670" s="8"/>
      <c r="C670" s="86">
        <v>8037517</v>
      </c>
      <c r="D670" s="18">
        <v>13174573</v>
      </c>
      <c r="E670" s="17">
        <v>3748857</v>
      </c>
      <c r="F670" s="18">
        <v>161729</v>
      </c>
      <c r="G670" s="147">
        <v>405363</v>
      </c>
      <c r="H670" s="14">
        <f>H306</f>
        <v>196547</v>
      </c>
      <c r="I670" s="14">
        <f t="shared" ref="I670:L670" si="206">I306</f>
        <v>254546.33333333334</v>
      </c>
      <c r="J670" s="14">
        <f t="shared" si="206"/>
        <v>285485.44444444444</v>
      </c>
      <c r="K670" s="14">
        <f t="shared" si="206"/>
        <v>245526.25925925924</v>
      </c>
      <c r="L670" s="14">
        <f t="shared" si="206"/>
        <v>261852.67901234564</v>
      </c>
    </row>
    <row r="671" spans="1:12" ht="23.25" customHeight="1" x14ac:dyDescent="0.35">
      <c r="A671" s="8" t="s">
        <v>328</v>
      </c>
      <c r="B671" s="8"/>
      <c r="C671" s="86">
        <v>777823</v>
      </c>
      <c r="D671" s="18">
        <v>940920</v>
      </c>
      <c r="E671" s="17">
        <v>1916986</v>
      </c>
      <c r="F671" s="18">
        <v>2852045</v>
      </c>
      <c r="G671" s="147">
        <v>3985495</v>
      </c>
      <c r="H671" s="14">
        <f>H315</f>
        <v>1633898.0000000002</v>
      </c>
      <c r="I671" s="14">
        <f t="shared" ref="I671:L671" si="207">I315</f>
        <v>2025287.22</v>
      </c>
      <c r="J671" s="14">
        <f t="shared" si="207"/>
        <v>2451359.9040000001</v>
      </c>
      <c r="K671" s="14">
        <f t="shared" si="207"/>
        <v>2849443.9447999997</v>
      </c>
      <c r="L671" s="14">
        <f t="shared" si="207"/>
        <v>3061989.6137599996</v>
      </c>
    </row>
    <row r="672" spans="1:12" ht="23.25" customHeight="1" x14ac:dyDescent="0.35">
      <c r="A672" s="8" t="s">
        <v>329</v>
      </c>
      <c r="B672" s="8"/>
      <c r="C672" s="86">
        <v>-2158836</v>
      </c>
      <c r="F672" s="18" t="s">
        <v>18</v>
      </c>
      <c r="G672" s="147">
        <v>-7201726</v>
      </c>
      <c r="H672">
        <f>-(H421+H422)</f>
        <v>0</v>
      </c>
      <c r="I672">
        <f t="shared" ref="I672:L672" si="208">-(I421+I422)</f>
        <v>-118734.40000000049</v>
      </c>
      <c r="J672">
        <f t="shared" si="208"/>
        <v>-1499712.4</v>
      </c>
      <c r="K672">
        <f t="shared" si="208"/>
        <v>-2880690.4</v>
      </c>
      <c r="L672">
        <f t="shared" si="208"/>
        <v>-4261668.3999999994</v>
      </c>
    </row>
    <row r="673" spans="1:12" ht="23.25" customHeight="1" x14ac:dyDescent="0.35">
      <c r="A673" s="11" t="s">
        <v>330</v>
      </c>
      <c r="B673" s="11"/>
      <c r="C673" s="86">
        <f>SUM(C670:C672)</f>
        <v>6656504</v>
      </c>
      <c r="D673" s="18">
        <f>SUM(D670:D672)</f>
        <v>14115493</v>
      </c>
      <c r="E673" s="18">
        <f t="shared" ref="E673:L673" si="209">SUM(E670:E672)</f>
        <v>5665843</v>
      </c>
      <c r="F673" s="18">
        <f t="shared" si="209"/>
        <v>3013774</v>
      </c>
      <c r="G673" s="147">
        <f t="shared" si="209"/>
        <v>-2810868</v>
      </c>
      <c r="H673" s="18">
        <f>SUM(H670:H672)</f>
        <v>1830445.0000000002</v>
      </c>
      <c r="I673" s="18">
        <f t="shared" si="209"/>
        <v>2161099.1533333329</v>
      </c>
      <c r="J673" s="18">
        <f t="shared" si="209"/>
        <v>1237132.9484444447</v>
      </c>
      <c r="K673" s="18">
        <f t="shared" si="209"/>
        <v>214279.80405925913</v>
      </c>
      <c r="L673" s="18">
        <f t="shared" si="209"/>
        <v>-937826.1072276542</v>
      </c>
    </row>
    <row r="676" spans="1:12" x14ac:dyDescent="0.35">
      <c r="A676" s="8"/>
      <c r="B676" s="8"/>
      <c r="C676" s="137"/>
      <c r="D676" s="18"/>
    </row>
    <row r="677" spans="1:12" x14ac:dyDescent="0.35">
      <c r="A677" s="8"/>
      <c r="B677" s="8"/>
      <c r="C677" s="137"/>
    </row>
    <row r="678" spans="1:12" x14ac:dyDescent="0.35">
      <c r="A678" s="8"/>
      <c r="B678" s="8"/>
      <c r="C678" s="137"/>
    </row>
    <row r="679" spans="1:12" x14ac:dyDescent="0.35">
      <c r="A679" s="8"/>
      <c r="B679" s="8"/>
      <c r="C679" s="137"/>
    </row>
    <row r="680" spans="1:12" x14ac:dyDescent="0.35">
      <c r="A680" s="8"/>
      <c r="B680" s="8"/>
      <c r="C680" s="137"/>
    </row>
    <row r="681" spans="1:12" x14ac:dyDescent="0.35">
      <c r="A681" s="11"/>
      <c r="B681" s="11"/>
      <c r="C681" s="137"/>
    </row>
    <row r="682" spans="1:12" x14ac:dyDescent="0.35">
      <c r="A682" s="8" t="s">
        <v>612</v>
      </c>
      <c r="B682" s="8"/>
      <c r="C682" s="146">
        <f t="shared" ref="C682:F682" si="210">C23+C43+C62+C81+C100+C120+C156+C171+C185+C207</f>
        <v>3118234</v>
      </c>
      <c r="D682" s="146">
        <f t="shared" si="210"/>
        <v>2332292</v>
      </c>
      <c r="E682" s="146">
        <f t="shared" si="210"/>
        <v>14815366</v>
      </c>
      <c r="F682" s="146">
        <f t="shared" si="210"/>
        <v>5585186</v>
      </c>
      <c r="G682" s="146">
        <f>G23+G43+G62+G81+G100+G120+G156+G171+G185+G207</f>
        <v>3227277.6174639766</v>
      </c>
      <c r="H682" s="146">
        <f t="shared" ref="H682:L682" si="211">H23+H43+H62+H81+H100+H120+H156+H171+H185+H207</f>
        <v>7105333.5341967931</v>
      </c>
      <c r="I682" s="146">
        <f t="shared" si="211"/>
        <v>6539723.1352075245</v>
      </c>
      <c r="J682" s="146">
        <f t="shared" si="211"/>
        <v>7466175.7103692647</v>
      </c>
      <c r="K682" s="146">
        <f t="shared" si="211"/>
        <v>8612743.5646139812</v>
      </c>
      <c r="L682" s="146">
        <f t="shared" si="211"/>
        <v>6096917.0679810187</v>
      </c>
    </row>
    <row r="683" spans="1:12" x14ac:dyDescent="0.35">
      <c r="A683" s="8" t="s">
        <v>613</v>
      </c>
      <c r="B683" s="11"/>
      <c r="C683" s="137">
        <f>C25+C64+C83+C103+C123+C209</f>
        <v>-6712</v>
      </c>
      <c r="D683" s="137">
        <f t="shared" ref="D683:L683" si="212">D25+D64+D83+D103+D123+D209</f>
        <v>-107427</v>
      </c>
      <c r="E683" s="137">
        <f t="shared" si="212"/>
        <v>-241878</v>
      </c>
      <c r="F683" s="137">
        <f t="shared" si="212"/>
        <v>-248451</v>
      </c>
      <c r="G683" s="137">
        <f t="shared" si="212"/>
        <v>-65076</v>
      </c>
      <c r="H683" s="137">
        <f t="shared" si="212"/>
        <v>-74365.806127430144</v>
      </c>
      <c r="I683" s="137">
        <f t="shared" si="212"/>
        <v>-60076.479999999996</v>
      </c>
      <c r="J683" s="137">
        <f t="shared" si="212"/>
        <v>-50606.376000000004</v>
      </c>
      <c r="K683" s="137">
        <f t="shared" si="212"/>
        <v>-377280.51324664225</v>
      </c>
      <c r="L683" s="137">
        <f t="shared" si="212"/>
        <v>-56216.82144</v>
      </c>
    </row>
    <row r="686" spans="1:12" x14ac:dyDescent="0.35">
      <c r="L686"/>
    </row>
    <row r="687" spans="1:12" x14ac:dyDescent="0.35">
      <c r="A687"/>
      <c r="C687"/>
      <c r="D687"/>
      <c r="E687"/>
      <c r="F687"/>
      <c r="L687"/>
    </row>
    <row r="688" spans="1:12" x14ac:dyDescent="0.35">
      <c r="G688"/>
      <c r="L688"/>
    </row>
    <row r="689" spans="1:12" x14ac:dyDescent="0.35">
      <c r="A689"/>
      <c r="G689"/>
      <c r="L689"/>
    </row>
    <row r="691" spans="1:12" x14ac:dyDescent="0.35">
      <c r="A691" s="4" t="s">
        <v>685</v>
      </c>
      <c r="H691">
        <v>17960876.074915946</v>
      </c>
      <c r="I691">
        <v>25125946.510330439</v>
      </c>
      <c r="J691">
        <v>41482935.793050736</v>
      </c>
      <c r="K691">
        <v>106696399.41549416</v>
      </c>
      <c r="L691">
        <v>200078822.3883945</v>
      </c>
    </row>
  </sheetData>
  <mergeCells count="12">
    <mergeCell ref="B383:B390"/>
    <mergeCell ref="A2:L4"/>
    <mergeCell ref="B316:J316"/>
    <mergeCell ref="B370:B371"/>
    <mergeCell ref="C6:G6"/>
    <mergeCell ref="H6:L6"/>
    <mergeCell ref="B16:B32"/>
    <mergeCell ref="B36:B51"/>
    <mergeCell ref="B55:B70"/>
    <mergeCell ref="B74:B214"/>
    <mergeCell ref="B291:B296"/>
    <mergeCell ref="B341:B35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751E-8FFE-4EA1-8537-ACB97AC82BDA}">
  <dimension ref="B1:M43"/>
  <sheetViews>
    <sheetView showGridLines="0" tabSelected="1" zoomScale="54" zoomScaleNormal="54" workbookViewId="0">
      <selection activeCell="W22" sqref="W22"/>
    </sheetView>
  </sheetViews>
  <sheetFormatPr defaultRowHeight="14.5" x14ac:dyDescent="0.35"/>
  <cols>
    <col min="3" max="3" width="24.54296875" customWidth="1"/>
    <col min="4" max="4" width="25.90625" customWidth="1"/>
    <col min="5" max="5" width="20.08984375" bestFit="1" customWidth="1"/>
    <col min="6" max="6" width="16.36328125" customWidth="1"/>
    <col min="7" max="7" width="20.1796875" customWidth="1"/>
    <col min="8" max="8" width="18.7265625" customWidth="1"/>
    <col min="10" max="10" width="18.36328125" customWidth="1"/>
    <col min="11" max="11" width="16.6328125" customWidth="1"/>
  </cols>
  <sheetData>
    <row r="1" spans="2:13" ht="15" thickBot="1" x14ac:dyDescent="0.4"/>
    <row r="2" spans="2:13" x14ac:dyDescent="0.35">
      <c r="B2" s="447" t="s">
        <v>655</v>
      </c>
      <c r="C2" s="448"/>
      <c r="D2" s="448"/>
      <c r="E2" s="448"/>
      <c r="F2" s="448"/>
      <c r="G2" s="448"/>
      <c r="H2" s="448"/>
      <c r="I2" s="448"/>
      <c r="J2" s="448"/>
      <c r="K2" s="448"/>
      <c r="L2" s="448"/>
      <c r="M2" s="449"/>
    </row>
    <row r="3" spans="2:13" x14ac:dyDescent="0.35">
      <c r="B3" s="450"/>
      <c r="C3" s="451"/>
      <c r="D3" s="451"/>
      <c r="E3" s="451"/>
      <c r="F3" s="451"/>
      <c r="G3" s="451"/>
      <c r="H3" s="451"/>
      <c r="I3" s="451"/>
      <c r="J3" s="451"/>
      <c r="K3" s="451"/>
      <c r="L3" s="451"/>
      <c r="M3" s="452"/>
    </row>
    <row r="4" spans="2:13" ht="15" thickBot="1" x14ac:dyDescent="0.4">
      <c r="B4" s="453"/>
      <c r="C4" s="454"/>
      <c r="D4" s="454"/>
      <c r="E4" s="454"/>
      <c r="F4" s="454"/>
      <c r="G4" s="454"/>
      <c r="H4" s="454"/>
      <c r="I4" s="454"/>
      <c r="J4" s="454"/>
      <c r="K4" s="454"/>
      <c r="L4" s="454"/>
      <c r="M4" s="455"/>
    </row>
    <row r="5" spans="2:13" x14ac:dyDescent="0.35">
      <c r="E5" s="456" t="s">
        <v>659</v>
      </c>
      <c r="F5" s="457"/>
      <c r="G5" s="458"/>
    </row>
    <row r="6" spans="2:13" ht="15" thickBot="1" x14ac:dyDescent="0.4">
      <c r="E6" s="459"/>
      <c r="F6" s="460"/>
      <c r="G6" s="461"/>
    </row>
    <row r="7" spans="2:13" ht="15" thickBot="1" x14ac:dyDescent="0.4"/>
    <row r="8" spans="2:13" ht="37.5" x14ac:dyDescent="0.9">
      <c r="D8" s="336">
        <v>2024</v>
      </c>
      <c r="E8" s="337">
        <v>2025</v>
      </c>
      <c r="F8" s="337">
        <v>2026</v>
      </c>
      <c r="G8" s="337">
        <v>2027</v>
      </c>
      <c r="H8" s="338">
        <v>2028</v>
      </c>
      <c r="L8" s="354"/>
    </row>
    <row r="9" spans="2:13" ht="15" thickBot="1" x14ac:dyDescent="0.4">
      <c r="D9" s="339" t="s">
        <v>644</v>
      </c>
      <c r="E9" s="324" t="s">
        <v>644</v>
      </c>
      <c r="F9" s="324" t="s">
        <v>644</v>
      </c>
      <c r="G9" s="324" t="s">
        <v>644</v>
      </c>
      <c r="H9" s="340" t="s">
        <v>644</v>
      </c>
      <c r="J9" s="355" t="s">
        <v>619</v>
      </c>
      <c r="K9" s="355" t="s">
        <v>627</v>
      </c>
    </row>
    <row r="10" spans="2:13" x14ac:dyDescent="0.35">
      <c r="C10" s="342" t="s">
        <v>402</v>
      </c>
      <c r="D10" s="324">
        <v>1</v>
      </c>
      <c r="E10" s="324">
        <v>2</v>
      </c>
      <c r="F10" s="324">
        <v>3</v>
      </c>
      <c r="G10" s="324">
        <v>4</v>
      </c>
      <c r="H10" s="340">
        <v>5</v>
      </c>
      <c r="J10" s="334" t="s">
        <v>620</v>
      </c>
      <c r="K10" s="406" t="s">
        <v>645</v>
      </c>
      <c r="L10" s="329">
        <v>0.11852</v>
      </c>
    </row>
    <row r="11" spans="2:13" x14ac:dyDescent="0.35">
      <c r="C11" s="339" t="s">
        <v>649</v>
      </c>
      <c r="D11" s="344">
        <f>'Balance Sheet'!G35+'Balance Sheet'!H47</f>
        <v>43664347.495647028</v>
      </c>
      <c r="E11" s="344">
        <f>'Balance Sheet'!H35+'Balance Sheet'!I47</f>
        <v>60106613.177262537</v>
      </c>
      <c r="F11" s="344">
        <f>'Balance Sheet'!I35+'Balance Sheet'!J47</f>
        <v>126457154.32707381</v>
      </c>
      <c r="G11" s="344">
        <f>'Balance Sheet'!J35+'Balance Sheet'!K47</f>
        <v>218038724.4488979</v>
      </c>
      <c r="H11" s="345">
        <f>'Balance Sheet'!K35+'Balance Sheet'!L47</f>
        <v>10950371.485029772</v>
      </c>
      <c r="J11" s="334" t="s">
        <v>621</v>
      </c>
      <c r="K11" s="330" t="s">
        <v>678</v>
      </c>
      <c r="L11" s="330">
        <v>0.77</v>
      </c>
    </row>
    <row r="12" spans="2:13" x14ac:dyDescent="0.35">
      <c r="C12" s="339" t="s">
        <v>628</v>
      </c>
      <c r="D12" s="293">
        <f>'Balance Sheet'!G33</f>
        <v>38109300.864329338</v>
      </c>
      <c r="E12" s="293">
        <f>'Balance Sheet'!H33</f>
        <v>46862221.878656507</v>
      </c>
      <c r="F12" s="293">
        <f>'Balance Sheet'!I33</f>
        <v>56980552.632567063</v>
      </c>
      <c r="G12" s="293">
        <f>'Balance Sheet'!J33</f>
        <v>68640679.120955199</v>
      </c>
      <c r="H12" s="346">
        <f>'Balance Sheet'!K33</f>
        <v>83908292.116979867</v>
      </c>
      <c r="J12" s="334" t="s">
        <v>622</v>
      </c>
      <c r="K12" s="330" t="s">
        <v>650</v>
      </c>
      <c r="L12" s="331">
        <f>'KSE-100 data'!F5</f>
        <v>0.20870359364252988</v>
      </c>
    </row>
    <row r="13" spans="2:13" x14ac:dyDescent="0.35">
      <c r="C13" s="339" t="s">
        <v>629</v>
      </c>
      <c r="D13" s="293">
        <f>D11+D12</f>
        <v>81773648.359976366</v>
      </c>
      <c r="E13" s="293">
        <f t="shared" ref="E13:H13" si="0">E11+E12</f>
        <v>106968835.05591905</v>
      </c>
      <c r="F13" s="293">
        <f t="shared" si="0"/>
        <v>183437706.95964086</v>
      </c>
      <c r="G13" s="293">
        <f t="shared" si="0"/>
        <v>286679403.56985307</v>
      </c>
      <c r="H13" s="346">
        <f t="shared" si="0"/>
        <v>94858663.602009639</v>
      </c>
      <c r="J13" s="334" t="s">
        <v>623</v>
      </c>
      <c r="K13" s="330" t="s">
        <v>651</v>
      </c>
      <c r="L13" s="331">
        <f>L10+(L12*L11)</f>
        <v>0.279221767104748</v>
      </c>
    </row>
    <row r="14" spans="2:13" x14ac:dyDescent="0.35">
      <c r="C14" s="339" t="s">
        <v>630</v>
      </c>
      <c r="D14" s="301">
        <f>D11/D13</f>
        <v>0.53396599480839957</v>
      </c>
      <c r="E14" s="301">
        <f t="shared" ref="E14:H14" si="1">E11/E13</f>
        <v>0.56190771027693431</v>
      </c>
      <c r="F14" s="301">
        <f t="shared" si="1"/>
        <v>0.68937382844027995</v>
      </c>
      <c r="G14" s="301">
        <f t="shared" si="1"/>
        <v>0.76056640879598458</v>
      </c>
      <c r="H14" s="347">
        <f t="shared" si="1"/>
        <v>0.11543881253665249</v>
      </c>
      <c r="J14" s="334" t="s">
        <v>624</v>
      </c>
      <c r="K14" s="330" t="s">
        <v>652</v>
      </c>
      <c r="L14" s="332">
        <f>AVERAGE(AVERAGE('Loan Schedule'!F11:K11)+AVERAGE('Loan Schedule'!F33:K33)+AVERAGE('Loan Schedule'!F55:AS55)+AVERAGE('Loan Schedule'!F79:M79)+AVERAGE('Loan Schedule'!F104:Q104)+AVERAGE('Loan Schedule'!F128:U128)+AVERAGE('Loan Schedule'!F152:L152)+AVERAGE('Loan Schedule'!F182:AK182)+AVERAGE('Loan Schedule'!F208:AJ208))</f>
        <v>0.28886749481566826</v>
      </c>
    </row>
    <row r="15" spans="2:13" x14ac:dyDescent="0.35">
      <c r="C15" s="339" t="s">
        <v>631</v>
      </c>
      <c r="D15" s="301">
        <f>D12/D13</f>
        <v>0.46603400519160049</v>
      </c>
      <c r="E15" s="301">
        <f t="shared" ref="E15:H15" si="2">E12/E13</f>
        <v>0.43809228972306563</v>
      </c>
      <c r="F15" s="301">
        <f t="shared" si="2"/>
        <v>0.31062617155972011</v>
      </c>
      <c r="G15" s="301">
        <f t="shared" si="2"/>
        <v>0.23943359120401556</v>
      </c>
      <c r="H15" s="347">
        <f t="shared" si="2"/>
        <v>0.88456118746334755</v>
      </c>
      <c r="J15" s="334" t="s">
        <v>625</v>
      </c>
      <c r="K15" s="330" t="s">
        <v>653</v>
      </c>
      <c r="L15" s="331">
        <v>0.28999999999999998</v>
      </c>
    </row>
    <row r="16" spans="2:13" ht="15" thickBot="1" x14ac:dyDescent="0.4">
      <c r="C16" s="339" t="s">
        <v>625</v>
      </c>
      <c r="D16" s="301">
        <f>Assumptions!H575</f>
        <v>0.28999999999999998</v>
      </c>
      <c r="E16" s="301">
        <f>Assumptions!I575</f>
        <v>0.28999999999999998</v>
      </c>
      <c r="F16" s="301">
        <f>Assumptions!J575</f>
        <v>0.28999999999999998</v>
      </c>
      <c r="G16" s="301">
        <f>Assumptions!K575</f>
        <v>0.28999999999999998</v>
      </c>
      <c r="H16" s="347">
        <f>Assumptions!L575</f>
        <v>0.28999999999999998</v>
      </c>
      <c r="J16" s="335" t="s">
        <v>626</v>
      </c>
      <c r="K16" s="407" t="s">
        <v>654</v>
      </c>
      <c r="L16" s="333">
        <f>AVERAGE(Regression!E11:E15)</f>
        <v>3.5640000000000005E-2</v>
      </c>
    </row>
    <row r="17" spans="3:8" x14ac:dyDescent="0.35">
      <c r="C17" s="339" t="s">
        <v>675</v>
      </c>
      <c r="D17" s="347">
        <f>D14*$L$14*(1-D16)</f>
        <v>0.10951424765831154</v>
      </c>
      <c r="E17" s="347">
        <f>E14*$L$14*(1-E16)</f>
        <v>0.11524497953556749</v>
      </c>
      <c r="F17" s="347">
        <f>F14*$L$14*(1-F16)</f>
        <v>0.14138776047725127</v>
      </c>
      <c r="G17" s="347">
        <f>G14*$L$14*(1-G16)</f>
        <v>0.15598906833639029</v>
      </c>
      <c r="H17" s="347">
        <f>H14*$L$14*(1-H16)</f>
        <v>2.3676029613190434E-2</v>
      </c>
    </row>
    <row r="18" spans="3:8" x14ac:dyDescent="0.35">
      <c r="C18" s="339" t="s">
        <v>676</v>
      </c>
      <c r="D18" s="301">
        <f>D15*$L$13</f>
        <v>0.13012683846050199</v>
      </c>
      <c r="E18" s="301">
        <f>E15*$L$13</f>
        <v>0.12232490329143962</v>
      </c>
      <c r="F18" s="301">
        <f>F15*$L$13</f>
        <v>8.6733588531887659E-2</v>
      </c>
      <c r="G18" s="301">
        <f>G15*$L$13</f>
        <v>6.685507044022107E-2</v>
      </c>
      <c r="H18" s="347">
        <f>H15*$L$13</f>
        <v>0.24698873787579018</v>
      </c>
    </row>
    <row r="19" spans="3:8" ht="29" x14ac:dyDescent="0.35">
      <c r="C19" s="363" t="s">
        <v>661</v>
      </c>
      <c r="D19" s="301">
        <f>D17+D18</f>
        <v>0.23964108611881352</v>
      </c>
      <c r="E19" s="301">
        <f t="shared" ref="E19:H19" si="3">E17+E18</f>
        <v>0.23756988282700711</v>
      </c>
      <c r="F19" s="301">
        <f t="shared" si="3"/>
        <v>0.22812134900913894</v>
      </c>
      <c r="G19" s="301">
        <f t="shared" si="3"/>
        <v>0.22284413877661136</v>
      </c>
      <c r="H19" s="347">
        <f t="shared" si="3"/>
        <v>0.27066476748898061</v>
      </c>
    </row>
    <row r="20" spans="3:8" x14ac:dyDescent="0.35">
      <c r="C20" s="339"/>
      <c r="D20" s="293"/>
      <c r="E20" s="293"/>
      <c r="F20" s="293"/>
      <c r="G20" s="293"/>
      <c r="H20" s="346"/>
    </row>
    <row r="21" spans="3:8" x14ac:dyDescent="0.35">
      <c r="C21" s="339" t="s">
        <v>632</v>
      </c>
      <c r="D21" s="293">
        <f>CashFlow!G12</f>
        <v>28253790.180904005</v>
      </c>
      <c r="E21" s="293">
        <f>CashFlow!H12</f>
        <v>16349597.112282906</v>
      </c>
      <c r="F21" s="293">
        <f>CashFlow!I12</f>
        <v>17395951.519169901</v>
      </c>
      <c r="G21" s="293">
        <f>CashFlow!J12</f>
        <v>20425307.068855509</v>
      </c>
      <c r="H21" s="346">
        <f>CashFlow!K12</f>
        <v>23847856.976461556</v>
      </c>
    </row>
    <row r="22" spans="3:8" x14ac:dyDescent="0.35">
      <c r="C22" s="339" t="s">
        <v>633</v>
      </c>
      <c r="D22" s="293">
        <f>-'Income Statement'!G15*(1-Valuation!$L$15)</f>
        <v>854626.16578668333</v>
      </c>
      <c r="E22" s="293">
        <f>-'Income Statement'!H15*(1-Valuation!$L$15)</f>
        <v>700912.50624183321</v>
      </c>
      <c r="F22" s="293">
        <f>-'Income Statement'!I15*(1-Valuation!$L$15)</f>
        <v>861906.00066529762</v>
      </c>
      <c r="G22" s="293">
        <f>-'Income Statement'!J15*(1-Valuation!$L$15)</f>
        <v>746997.29662168748</v>
      </c>
      <c r="H22" s="346">
        <f>-'Income Statement'!K15*(1-Valuation!$L$15)</f>
        <v>822023.94748509862</v>
      </c>
    </row>
    <row r="23" spans="3:8" x14ac:dyDescent="0.35">
      <c r="C23" s="339" t="s">
        <v>634</v>
      </c>
      <c r="D23" s="293">
        <f>CashFlow!G15+CashFlow!G17+CashFlow!G18</f>
        <v>-11092190.111437714</v>
      </c>
      <c r="E23" s="293">
        <f>CashFlow!H15+CashFlow!H17+CashFlow!H18</f>
        <v>-10406050.046527859</v>
      </c>
      <c r="F23" s="293">
        <f>CashFlow!I15+CashFlow!I17+CashFlow!I18</f>
        <v>-11529926.536764452</v>
      </c>
      <c r="G23" s="293">
        <f>CashFlow!J15+CashFlow!J17+CashFlow!J18</f>
        <v>-12920824.128712634</v>
      </c>
      <c r="H23" s="346">
        <f>CashFlow!K15+CashFlow!K17+CashFlow!K18</f>
        <v>-9868883.5017609932</v>
      </c>
    </row>
    <row r="24" spans="3:8" x14ac:dyDescent="0.35">
      <c r="C24" s="339" t="s">
        <v>635</v>
      </c>
      <c r="D24" s="293">
        <f>SUM(D21:D23)</f>
        <v>18016226.235252976</v>
      </c>
      <c r="E24" s="293">
        <f t="shared" ref="E24:H24" si="4">SUM(E21:E23)</f>
        <v>6644459.5719968788</v>
      </c>
      <c r="F24" s="293">
        <f t="shared" si="4"/>
        <v>6727930.9830707442</v>
      </c>
      <c r="G24" s="293">
        <f t="shared" si="4"/>
        <v>8251480.2367645632</v>
      </c>
      <c r="H24" s="346">
        <f t="shared" si="4"/>
        <v>14800997.422185663</v>
      </c>
    </row>
    <row r="25" spans="3:8" x14ac:dyDescent="0.35">
      <c r="C25" s="339" t="s">
        <v>636</v>
      </c>
      <c r="D25" s="348">
        <f>D24</f>
        <v>18016226.235252976</v>
      </c>
      <c r="E25" s="348">
        <f>E24/((1+E19)^D10)</f>
        <v>5368957.0699787866</v>
      </c>
      <c r="F25" s="348">
        <f>F24/((1+F19)^E10)</f>
        <v>4460658.3977271961</v>
      </c>
      <c r="G25" s="348">
        <f>G24/((1+G19)^F10)</f>
        <v>4512513.8201843193</v>
      </c>
      <c r="H25" s="349">
        <f>H24/((1+H19)^G10)</f>
        <v>5677629.2606900362</v>
      </c>
    </row>
    <row r="26" spans="3:8" x14ac:dyDescent="0.35">
      <c r="C26" s="343"/>
      <c r="D26" s="290"/>
      <c r="E26" s="290"/>
      <c r="F26" s="290"/>
      <c r="G26" s="290"/>
      <c r="H26" s="290"/>
    </row>
    <row r="27" spans="3:8" x14ac:dyDescent="0.35">
      <c r="C27" s="339" t="s">
        <v>637</v>
      </c>
      <c r="D27" s="402">
        <f>SUM(D25:H25)</f>
        <v>38035984.783833317</v>
      </c>
      <c r="E27" s="290"/>
      <c r="F27" s="290"/>
      <c r="G27" s="290"/>
      <c r="H27" s="290"/>
    </row>
    <row r="28" spans="3:8" ht="15" thickBot="1" x14ac:dyDescent="0.4">
      <c r="C28" s="341" t="s">
        <v>638</v>
      </c>
      <c r="D28" s="403">
        <f>((H24*(1+L16))/(H19-L16))/((1+H19)^(H8-D8))</f>
        <v>25018554.556454219</v>
      </c>
      <c r="E28" s="290"/>
      <c r="F28" s="290"/>
      <c r="G28" s="290"/>
      <c r="H28" s="290"/>
    </row>
    <row r="29" spans="3:8" ht="15" thickBot="1" x14ac:dyDescent="0.4">
      <c r="C29" s="5"/>
      <c r="D29" s="290"/>
      <c r="E29" s="290"/>
      <c r="F29" s="290"/>
      <c r="G29" s="290"/>
      <c r="H29" s="290"/>
    </row>
    <row r="30" spans="3:8" x14ac:dyDescent="0.35">
      <c r="C30" s="394" t="s">
        <v>639</v>
      </c>
      <c r="D30" s="397">
        <f>SUM(D27:D28)</f>
        <v>63054539.340287536</v>
      </c>
      <c r="E30" s="290"/>
      <c r="F30" s="290"/>
      <c r="G30" s="290"/>
      <c r="H30" s="290"/>
    </row>
    <row r="31" spans="3:8" x14ac:dyDescent="0.35">
      <c r="C31" s="395" t="s">
        <v>640</v>
      </c>
      <c r="D31" s="398">
        <f>'IS Assumptions'!$G$156</f>
        <v>908923</v>
      </c>
      <c r="E31" s="290"/>
      <c r="F31" s="290"/>
      <c r="G31" s="290"/>
      <c r="H31" s="290"/>
    </row>
    <row r="32" spans="3:8" ht="15" thickBot="1" x14ac:dyDescent="0.4">
      <c r="C32" s="396" t="s">
        <v>641</v>
      </c>
      <c r="D32" s="399">
        <f>D30/D31</f>
        <v>69.372806431664216</v>
      </c>
      <c r="E32" s="290"/>
      <c r="F32" s="290"/>
      <c r="G32" s="290"/>
      <c r="H32" s="290"/>
    </row>
    <row r="33" spans="3:8" x14ac:dyDescent="0.35">
      <c r="D33" s="290"/>
      <c r="E33" s="290"/>
      <c r="F33" s="290"/>
      <c r="G33" s="290"/>
      <c r="H33" s="290"/>
    </row>
    <row r="34" spans="3:8" ht="15" thickBot="1" x14ac:dyDescent="0.4">
      <c r="D34" s="290"/>
      <c r="E34" s="290"/>
      <c r="F34" s="290"/>
      <c r="G34" s="290"/>
      <c r="H34" s="290"/>
    </row>
    <row r="35" spans="3:8" ht="15" thickBot="1" x14ac:dyDescent="0.4">
      <c r="C35" s="325" t="s">
        <v>642</v>
      </c>
      <c r="D35" s="400">
        <v>38.119999999999997</v>
      </c>
      <c r="E35" s="401" t="s">
        <v>677</v>
      </c>
      <c r="F35" s="290"/>
      <c r="G35" s="290"/>
      <c r="H35" s="290"/>
    </row>
    <row r="36" spans="3:8" ht="15" thickBot="1" x14ac:dyDescent="0.4"/>
    <row r="37" spans="3:8" ht="15" thickBot="1" x14ac:dyDescent="0.4">
      <c r="C37" s="326" t="s">
        <v>643</v>
      </c>
      <c r="D37" s="366" t="str">
        <f>IF(D35&lt;D32,"Buy","Sell")</f>
        <v>Buy</v>
      </c>
    </row>
    <row r="38" spans="3:8" ht="15" thickBot="1" x14ac:dyDescent="0.4"/>
    <row r="39" spans="3:8" ht="14.5" customHeight="1" thickTop="1" x14ac:dyDescent="0.35">
      <c r="C39" s="423" t="s">
        <v>687</v>
      </c>
      <c r="D39" s="424"/>
      <c r="E39" s="425"/>
    </row>
    <row r="40" spans="3:8" x14ac:dyDescent="0.35">
      <c r="C40" s="426"/>
      <c r="D40" s="427"/>
      <c r="E40" s="428"/>
    </row>
    <row r="41" spans="3:8" x14ac:dyDescent="0.35">
      <c r="C41" s="426"/>
      <c r="D41" s="427"/>
      <c r="E41" s="428"/>
    </row>
    <row r="42" spans="3:8" ht="15" thickBot="1" x14ac:dyDescent="0.4">
      <c r="C42" s="429"/>
      <c r="D42" s="430"/>
      <c r="E42" s="431"/>
    </row>
    <row r="43" spans="3:8" ht="15" thickTop="1" x14ac:dyDescent="0.35"/>
  </sheetData>
  <mergeCells count="3">
    <mergeCell ref="B2:M4"/>
    <mergeCell ref="E5:G6"/>
    <mergeCell ref="C39:E4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ADD25-A6DF-4936-8622-237E15B96A4D}">
  <dimension ref="A1:L57"/>
  <sheetViews>
    <sheetView showGridLines="0" zoomScale="80" workbookViewId="0">
      <pane ySplit="5" topLeftCell="A9" activePane="bottomLeft" state="frozen"/>
      <selection pane="bottomLeft" activeCell="C23" sqref="C23"/>
    </sheetView>
  </sheetViews>
  <sheetFormatPr defaultRowHeight="14.5" x14ac:dyDescent="0.35"/>
  <cols>
    <col min="1" max="1" width="31.7265625" customWidth="1"/>
    <col min="2" max="2" width="14.90625" customWidth="1"/>
    <col min="3" max="3" width="13.81640625" customWidth="1"/>
    <col min="4" max="4" width="14" customWidth="1"/>
    <col min="5" max="5" width="12.36328125" customWidth="1"/>
    <col min="6" max="6" width="14" customWidth="1"/>
    <col min="7" max="7" width="12.90625" customWidth="1"/>
    <col min="8" max="8" width="14" customWidth="1"/>
    <col min="9" max="9" width="14.1796875" customWidth="1"/>
    <col min="10" max="10" width="14.90625" customWidth="1"/>
    <col min="11" max="11" width="15" style="120" customWidth="1"/>
  </cols>
  <sheetData>
    <row r="1" spans="1:12" x14ac:dyDescent="0.35">
      <c r="A1" s="408" t="s">
        <v>655</v>
      </c>
      <c r="B1" s="408"/>
      <c r="C1" s="408"/>
      <c r="D1" s="408"/>
      <c r="E1" s="408"/>
      <c r="F1" s="408"/>
      <c r="G1" s="408"/>
      <c r="H1" s="408"/>
      <c r="I1" s="408"/>
      <c r="J1" s="408"/>
      <c r="K1" s="408"/>
      <c r="L1" s="408"/>
    </row>
    <row r="2" spans="1:12" x14ac:dyDescent="0.35">
      <c r="A2" s="408"/>
      <c r="B2" s="408"/>
      <c r="C2" s="408"/>
      <c r="D2" s="408"/>
      <c r="E2" s="408"/>
      <c r="F2" s="408"/>
      <c r="G2" s="408"/>
      <c r="H2" s="408"/>
      <c r="I2" s="408"/>
      <c r="J2" s="408"/>
      <c r="K2" s="408"/>
      <c r="L2" s="408"/>
    </row>
    <row r="3" spans="1:12" x14ac:dyDescent="0.35">
      <c r="A3" s="408"/>
      <c r="B3" s="408"/>
      <c r="C3" s="408"/>
      <c r="D3" s="408"/>
      <c r="E3" s="408"/>
      <c r="F3" s="408"/>
      <c r="G3" s="408"/>
      <c r="H3" s="408"/>
      <c r="I3" s="408"/>
      <c r="J3" s="408"/>
      <c r="K3" s="408"/>
      <c r="L3" s="408"/>
    </row>
    <row r="4" spans="1:12" ht="18" x14ac:dyDescent="0.5">
      <c r="B4" s="413" t="s">
        <v>598</v>
      </c>
      <c r="C4" s="414"/>
      <c r="D4" s="414"/>
      <c r="E4" s="414"/>
      <c r="F4" s="415"/>
      <c r="G4" s="416" t="s">
        <v>599</v>
      </c>
      <c r="H4" s="417"/>
      <c r="I4" s="417"/>
      <c r="J4" s="417"/>
      <c r="K4" s="417"/>
    </row>
    <row r="5" spans="1:12" ht="24" thickBot="1" x14ac:dyDescent="0.6">
      <c r="A5" s="352" t="s">
        <v>556</v>
      </c>
      <c r="B5" s="267">
        <v>2019</v>
      </c>
      <c r="C5" s="268">
        <v>2020</v>
      </c>
      <c r="D5" s="268">
        <v>2021</v>
      </c>
      <c r="E5" s="268">
        <v>2022</v>
      </c>
      <c r="F5" s="269">
        <v>2023</v>
      </c>
      <c r="G5" s="268">
        <v>2024</v>
      </c>
      <c r="H5" s="268">
        <v>2025</v>
      </c>
      <c r="I5" s="268">
        <v>2026</v>
      </c>
      <c r="J5" s="268">
        <v>2027</v>
      </c>
      <c r="K5" s="269">
        <v>2028</v>
      </c>
    </row>
    <row r="6" spans="1:12" ht="15" thickBot="1" x14ac:dyDescent="0.4">
      <c r="A6" s="130" t="s">
        <v>557</v>
      </c>
    </row>
    <row r="7" spans="1:12" ht="15" thickBot="1" x14ac:dyDescent="0.4">
      <c r="A7" s="130" t="s">
        <v>558</v>
      </c>
    </row>
    <row r="8" spans="1:12" x14ac:dyDescent="0.35">
      <c r="A8" t="s">
        <v>559</v>
      </c>
      <c r="B8" s="293">
        <f>Assumptions!C8</f>
        <v>31064266</v>
      </c>
      <c r="C8" s="293">
        <f>Assumptions!D8</f>
        <v>36186640</v>
      </c>
      <c r="D8" s="293">
        <f>Assumptions!E8</f>
        <v>36792644</v>
      </c>
      <c r="E8" s="293">
        <f>Assumptions!F8</f>
        <v>41004218</v>
      </c>
      <c r="F8" s="293">
        <f>Assumptions!G8</f>
        <v>44794643</v>
      </c>
      <c r="G8" s="293">
        <f>Assumptions!H8</f>
        <v>50177016.249039821</v>
      </c>
      <c r="H8" s="293">
        <f>Assumptions!I8</f>
        <v>52227831.421834454</v>
      </c>
      <c r="I8" s="293">
        <f>Assumptions!J8</f>
        <v>54002525.94488053</v>
      </c>
      <c r="J8" s="293">
        <f>Assumptions!K8</f>
        <v>59152245.838149197</v>
      </c>
      <c r="K8" s="346">
        <f>Assumptions!L8</f>
        <v>61423109.694988914</v>
      </c>
    </row>
    <row r="9" spans="1:12" x14ac:dyDescent="0.35">
      <c r="A9" t="s">
        <v>33</v>
      </c>
      <c r="B9" s="293">
        <f>Assumptions!C149</f>
        <v>2747801</v>
      </c>
      <c r="C9" s="293">
        <f>Assumptions!D149</f>
        <v>2305604</v>
      </c>
      <c r="D9" s="293">
        <f>Assumptions!E149</f>
        <v>2036649</v>
      </c>
      <c r="E9" s="293">
        <f>Assumptions!F149</f>
        <v>1617227</v>
      </c>
      <c r="F9" s="293">
        <f>Assumptions!G149</f>
        <v>1156505</v>
      </c>
      <c r="G9" s="293">
        <f>Assumptions!H149</f>
        <v>950402.01111374318</v>
      </c>
      <c r="H9" s="293">
        <f>Assumptions!I149</f>
        <v>676888.88567469979</v>
      </c>
      <c r="I9" s="293">
        <f>Assumptions!J149</f>
        <v>406866.78583941562</v>
      </c>
      <c r="J9" s="293">
        <f>Assumptions!K149</f>
        <v>87732.002571302495</v>
      </c>
      <c r="K9" s="346">
        <f>Assumptions!L149</f>
        <v>144142.87927656545</v>
      </c>
    </row>
    <row r="10" spans="1:12" x14ac:dyDescent="0.35">
      <c r="A10" t="s">
        <v>560</v>
      </c>
      <c r="B10" s="293">
        <f>Assumptions!C214</f>
        <v>78966</v>
      </c>
      <c r="C10" s="293">
        <f>Assumptions!D214</f>
        <v>101971</v>
      </c>
      <c r="D10" s="293">
        <f>Assumptions!E214</f>
        <v>711832</v>
      </c>
      <c r="E10" s="293">
        <f>Assumptions!F214</f>
        <v>686598</v>
      </c>
      <c r="F10" s="293">
        <f>Assumptions!G214</f>
        <v>620205</v>
      </c>
      <c r="G10" s="293">
        <f>Assumptions!H214</f>
        <v>702765.80549898813</v>
      </c>
      <c r="H10" s="293">
        <f>Assumptions!I214</f>
        <v>833378.48549898807</v>
      </c>
      <c r="I10" s="293">
        <f>Assumptions!J214</f>
        <v>985512.70149898808</v>
      </c>
      <c r="J10" s="293">
        <f>Assumptions!K214</f>
        <v>1009158.0944719618</v>
      </c>
      <c r="K10" s="346">
        <f>Assumptions!L214</f>
        <v>1085083.9255119618</v>
      </c>
    </row>
    <row r="11" spans="1:12" x14ac:dyDescent="0.35">
      <c r="A11" t="s">
        <v>561</v>
      </c>
      <c r="B11" s="293">
        <f>Assumptions!C223</f>
        <v>1625000</v>
      </c>
      <c r="C11" s="293">
        <f>Assumptions!D223</f>
        <v>1625000</v>
      </c>
      <c r="D11" s="293">
        <f>Assumptions!E223</f>
        <v>2465000</v>
      </c>
      <c r="E11" s="293">
        <f>Assumptions!F223</f>
        <v>3884000</v>
      </c>
      <c r="F11" s="293">
        <f>Assumptions!G223</f>
        <v>6837000</v>
      </c>
      <c r="G11" s="293">
        <f>Assumptions!H223</f>
        <v>6837000</v>
      </c>
      <c r="H11" s="293">
        <f>Assumptions!I223</f>
        <v>6837000</v>
      </c>
      <c r="I11" s="293">
        <f>Assumptions!J223</f>
        <v>6837000</v>
      </c>
      <c r="J11" s="293">
        <f>Assumptions!K223</f>
        <v>6837000</v>
      </c>
      <c r="K11" s="346">
        <f>Assumptions!L223</f>
        <v>6837000</v>
      </c>
    </row>
    <row r="12" spans="1:12" x14ac:dyDescent="0.35">
      <c r="A12" t="s">
        <v>562</v>
      </c>
      <c r="B12" s="293">
        <f>Assumptions!C237</f>
        <v>5421150</v>
      </c>
      <c r="C12" s="293">
        <f>Assumptions!D237</f>
        <v>4660833</v>
      </c>
      <c r="D12" s="293">
        <f>Assumptions!E237</f>
        <v>3092784</v>
      </c>
      <c r="E12" s="293">
        <f>Assumptions!F237</f>
        <v>1317508</v>
      </c>
      <c r="F12" s="293">
        <f>Assumptions!G237</f>
        <v>0</v>
      </c>
      <c r="G12" s="293">
        <f>Assumptions!H238</f>
        <v>0</v>
      </c>
      <c r="H12" s="293">
        <f>Assumptions!I238</f>
        <v>0</v>
      </c>
      <c r="I12" s="293">
        <f>Assumptions!J238</f>
        <v>0</v>
      </c>
      <c r="J12" s="293">
        <f>Assumptions!K238</f>
        <v>0</v>
      </c>
      <c r="K12" s="346">
        <f>Assumptions!L238</f>
        <v>0</v>
      </c>
    </row>
    <row r="13" spans="1:12" x14ac:dyDescent="0.35">
      <c r="A13" t="s">
        <v>563</v>
      </c>
      <c r="B13" s="293">
        <f>Assumptions!C245</f>
        <v>72078</v>
      </c>
      <c r="C13" s="293">
        <f>Assumptions!D245</f>
        <v>29286</v>
      </c>
      <c r="D13" s="293">
        <f>Assumptions!E245</f>
        <v>674</v>
      </c>
      <c r="E13" s="293">
        <f>Assumptions!F245</f>
        <v>0</v>
      </c>
      <c r="F13" s="293">
        <f>Assumptions!G245</f>
        <v>21837</v>
      </c>
      <c r="G13" s="293">
        <f>Assumptions!H245</f>
        <v>43152.386325160835</v>
      </c>
      <c r="H13" s="293">
        <f>Assumptions!I245</f>
        <v>16852.605449222254</v>
      </c>
      <c r="I13" s="293">
        <f>Assumptions!J245</f>
        <v>12387.008536318193</v>
      </c>
      <c r="J13" s="293">
        <f>Assumptions!K245</f>
        <v>17343.447005118607</v>
      </c>
      <c r="K13" s="346">
        <f>Assumptions!L245</f>
        <v>28608.560880798264</v>
      </c>
    </row>
    <row r="14" spans="1:12" x14ac:dyDescent="0.35">
      <c r="A14" t="s">
        <v>591</v>
      </c>
      <c r="B14" s="293">
        <f>Assumptions!C247</f>
        <v>114510</v>
      </c>
      <c r="C14" s="293">
        <f>Assumptions!D247</f>
        <v>0</v>
      </c>
      <c r="D14" s="293">
        <f>Assumptions!E247</f>
        <v>0</v>
      </c>
      <c r="E14" s="293">
        <f>Assumptions!F247</f>
        <v>0</v>
      </c>
      <c r="F14" s="293">
        <f>Assumptions!G247</f>
        <v>0</v>
      </c>
      <c r="G14" s="293">
        <f>Assumptions!H247</f>
        <v>0</v>
      </c>
      <c r="H14" s="293">
        <f>Assumptions!I247</f>
        <v>0</v>
      </c>
      <c r="I14" s="293">
        <f>Assumptions!J247</f>
        <v>0</v>
      </c>
      <c r="J14" s="293">
        <f>Assumptions!K247</f>
        <v>0</v>
      </c>
      <c r="K14" s="346">
        <f>Assumptions!L247</f>
        <v>0</v>
      </c>
    </row>
    <row r="15" spans="1:12" x14ac:dyDescent="0.35">
      <c r="A15" s="5"/>
      <c r="B15" s="303">
        <f>SUM(B8:B14)</f>
        <v>41123771</v>
      </c>
      <c r="C15" s="303">
        <f>SUM(C8:C13)</f>
        <v>44909334</v>
      </c>
      <c r="D15" s="303">
        <f t="shared" ref="D15:F15" si="0">SUM(D8:D13)</f>
        <v>45099583</v>
      </c>
      <c r="E15" s="303">
        <f t="shared" si="0"/>
        <v>48509551</v>
      </c>
      <c r="F15" s="303">
        <f t="shared" si="0"/>
        <v>53430190</v>
      </c>
      <c r="G15" s="303">
        <f t="shared" ref="G15" si="1">SUM(G8:G13)</f>
        <v>58710336.451977707</v>
      </c>
      <c r="H15" s="303">
        <f t="shared" ref="H15" si="2">SUM(H8:H13)</f>
        <v>60591951.398457363</v>
      </c>
      <c r="I15" s="303">
        <f t="shared" ref="I15" si="3">SUM(I8:I13)</f>
        <v>62244292.440755248</v>
      </c>
      <c r="J15" s="303">
        <f t="shared" ref="J15" si="4">SUM(J8:J13)</f>
        <v>67103479.382197574</v>
      </c>
      <c r="K15" s="367">
        <f t="shared" ref="K15" si="5">SUM(K8:K13)</f>
        <v>69517945.060658231</v>
      </c>
    </row>
    <row r="16" spans="1:12" ht="15" thickBot="1" x14ac:dyDescent="0.4">
      <c r="A16" s="130" t="s">
        <v>564</v>
      </c>
      <c r="B16" s="293"/>
      <c r="C16" s="293"/>
      <c r="D16" s="293"/>
      <c r="E16" s="293"/>
      <c r="F16" s="293"/>
      <c r="G16" s="293"/>
      <c r="H16" s="293"/>
      <c r="I16" s="293"/>
      <c r="J16" s="293"/>
      <c r="K16" s="346"/>
    </row>
    <row r="17" spans="1:11" x14ac:dyDescent="0.35">
      <c r="A17" t="s">
        <v>565</v>
      </c>
      <c r="B17" s="293">
        <f>Assumptions!C253</f>
        <v>1678013</v>
      </c>
      <c r="C17" s="293">
        <f>Assumptions!D253</f>
        <v>1784734</v>
      </c>
      <c r="D17" s="293">
        <f>Assumptions!E253</f>
        <v>2041839</v>
      </c>
      <c r="E17" s="293">
        <f>Assumptions!F253</f>
        <v>2464113</v>
      </c>
      <c r="F17" s="293">
        <f>Assumptions!G253</f>
        <v>3311772</v>
      </c>
      <c r="G17" s="293">
        <f>Assumptions!H253</f>
        <v>2256094.1999999997</v>
      </c>
      <c r="H17" s="293">
        <f>Assumptions!I253</f>
        <v>2306313.0702017341</v>
      </c>
      <c r="I17" s="293">
        <f>Assumptions!J253</f>
        <v>2287272.6801329833</v>
      </c>
      <c r="J17" s="293">
        <f>Assumptions!K253</f>
        <v>2049033.5049771098</v>
      </c>
      <c r="K17" s="346">
        <f>Assumptions!L253</f>
        <v>1881284.3964430392</v>
      </c>
    </row>
    <row r="18" spans="1:11" x14ac:dyDescent="0.35">
      <c r="A18" t="s">
        <v>320</v>
      </c>
      <c r="B18" s="293">
        <f>Assumptions!C259</f>
        <v>4350059</v>
      </c>
      <c r="C18" s="293">
        <f>Assumptions!D259</f>
        <v>6194509</v>
      </c>
      <c r="D18" s="293">
        <f>Assumptions!E259</f>
        <v>12590666</v>
      </c>
      <c r="E18" s="293">
        <f>Assumptions!F259</f>
        <v>10415992</v>
      </c>
      <c r="F18" s="293">
        <f>Assumptions!G259</f>
        <v>16620634</v>
      </c>
      <c r="G18" s="293">
        <f>Assumptions!H259</f>
        <v>12666610.662207691</v>
      </c>
      <c r="H18" s="293">
        <f>Assumptions!I259</f>
        <v>12365472.121438995</v>
      </c>
      <c r="I18" s="293">
        <f>Assumptions!J259</f>
        <v>14055209.779012345</v>
      </c>
      <c r="J18" s="293">
        <f>Assumptions!K259</f>
        <v>15774250.482518569</v>
      </c>
      <c r="K18" s="346">
        <f>Assumptions!L259</f>
        <v>17114864.596782975</v>
      </c>
    </row>
    <row r="19" spans="1:11" x14ac:dyDescent="0.35">
      <c r="A19" t="s">
        <v>321</v>
      </c>
      <c r="B19" s="293">
        <f>Assumptions!C271</f>
        <v>469613</v>
      </c>
      <c r="C19" s="293">
        <f>Assumptions!D271</f>
        <v>586212</v>
      </c>
      <c r="D19" s="293">
        <f>Assumptions!E271</f>
        <v>834355</v>
      </c>
      <c r="E19" s="293">
        <f>Assumptions!F271</f>
        <v>2676464</v>
      </c>
      <c r="F19" s="293">
        <f>Assumptions!G271</f>
        <v>1612111</v>
      </c>
      <c r="G19" s="293">
        <f>Assumptions!H271</f>
        <v>1527824.5159793568</v>
      </c>
      <c r="H19" s="293">
        <f>Assumptions!I271</f>
        <v>1486656.8480674885</v>
      </c>
      <c r="I19" s="293">
        <f>Assumptions!J271</f>
        <v>1687888.3411003547</v>
      </c>
      <c r="J19" s="293">
        <f>Assumptions!K271</f>
        <v>1893837.1100484221</v>
      </c>
      <c r="K19" s="346">
        <f>Assumptions!L271</f>
        <v>2102358.8931634552</v>
      </c>
    </row>
    <row r="20" spans="1:11" x14ac:dyDescent="0.35">
      <c r="A20" t="s">
        <v>590</v>
      </c>
      <c r="B20" s="293">
        <f>Assumptions!C273</f>
        <v>88886</v>
      </c>
      <c r="C20" s="293">
        <f>Assumptions!D273</f>
        <v>159818</v>
      </c>
      <c r="D20" s="293" t="str">
        <f>Assumptions!E273</f>
        <v>-</v>
      </c>
      <c r="E20" s="293">
        <f>Assumptions!F273</f>
        <v>0</v>
      </c>
      <c r="F20" s="293">
        <f>Assumptions!G273</f>
        <v>0</v>
      </c>
      <c r="G20" s="293">
        <f>Assumptions!H273</f>
        <v>0</v>
      </c>
      <c r="H20" s="293">
        <f>Assumptions!I273</f>
        <v>0</v>
      </c>
      <c r="I20" s="293">
        <f>Assumptions!J273</f>
        <v>0</v>
      </c>
      <c r="J20" s="293">
        <f>Assumptions!K273</f>
        <v>0</v>
      </c>
      <c r="K20" s="346">
        <f>Assumptions!L273</f>
        <v>0</v>
      </c>
    </row>
    <row r="21" spans="1:11" x14ac:dyDescent="0.35">
      <c r="A21" t="s">
        <v>566</v>
      </c>
      <c r="B21" s="293">
        <f>Assumptions!C297</f>
        <v>936207</v>
      </c>
      <c r="C21" s="293">
        <f>Assumptions!D297</f>
        <v>310892</v>
      </c>
      <c r="D21" s="293">
        <f>Assumptions!E297</f>
        <v>1507325</v>
      </c>
      <c r="E21" s="293">
        <f>Assumptions!F297</f>
        <v>2980140</v>
      </c>
      <c r="F21" s="293">
        <f>Assumptions!G297</f>
        <v>5817368</v>
      </c>
      <c r="G21" s="293">
        <f>Assumptions!H297</f>
        <v>2814703.6548734927</v>
      </c>
      <c r="H21" s="293">
        <f>Assumptions!I297</f>
        <v>2817698.4334523552</v>
      </c>
      <c r="I21" s="293">
        <f>Assumptions!J297</f>
        <v>3280970.2765537477</v>
      </c>
      <c r="J21" s="293">
        <f>Assumptions!K297</f>
        <v>3722122.7905454421</v>
      </c>
      <c r="K21" s="346">
        <f>Assumptions!L297</f>
        <v>4152107.1441668584</v>
      </c>
    </row>
    <row r="22" spans="1:11" x14ac:dyDescent="0.35">
      <c r="A22" t="s">
        <v>567</v>
      </c>
      <c r="B22" s="293">
        <f>Assumptions!C308</f>
        <v>8042074</v>
      </c>
      <c r="C22" s="293">
        <f>Assumptions!D308</f>
        <v>14144693</v>
      </c>
      <c r="D22" s="293">
        <f>Assumptions!E308</f>
        <v>13830849</v>
      </c>
      <c r="E22" s="293">
        <f>Assumptions!F308</f>
        <v>14059319</v>
      </c>
      <c r="F22" s="293">
        <f>Assumptions!G308</f>
        <v>3345457</v>
      </c>
      <c r="G22" s="293">
        <f>Assumptions!H308</f>
        <v>8244967.666666666</v>
      </c>
      <c r="H22" s="293">
        <f>Assumptions!I308</f>
        <v>7078577.555555555</v>
      </c>
      <c r="I22" s="293">
        <f>Assumptions!J308</f>
        <v>5659224.7407407397</v>
      </c>
      <c r="J22" s="293">
        <f>Assumptions!K308</f>
        <v>6994256.6543209869</v>
      </c>
      <c r="K22" s="346">
        <f>Assumptions!L308</f>
        <v>6577352.9835390942</v>
      </c>
    </row>
    <row r="23" spans="1:11" x14ac:dyDescent="0.35">
      <c r="A23" t="s">
        <v>568</v>
      </c>
      <c r="B23" s="293">
        <f>Assumptions!C315</f>
        <v>777823</v>
      </c>
      <c r="C23" s="293">
        <f>Assumptions!D315</f>
        <v>940920</v>
      </c>
      <c r="D23" s="293">
        <f>Assumptions!E315</f>
        <v>1916986</v>
      </c>
      <c r="E23" s="293">
        <f>Assumptions!F315</f>
        <v>2852045</v>
      </c>
      <c r="F23" s="293">
        <f>Assumptions!G315</f>
        <v>3985495</v>
      </c>
      <c r="G23" s="293">
        <f>Assumptions!H620</f>
        <v>14202303.866593523</v>
      </c>
      <c r="H23" s="293">
        <f>Assumptions!I620</f>
        <v>30123805.129779462</v>
      </c>
      <c r="I23" s="293">
        <f>Assumptions!J620</f>
        <v>57640394.987031296</v>
      </c>
      <c r="J23" s="293">
        <f>Assumptions!K620</f>
        <v>131050827.55405374</v>
      </c>
      <c r="K23" s="293">
        <f>Assumptions!L620</f>
        <v>236284398.98625386</v>
      </c>
    </row>
    <row r="24" spans="1:11" x14ac:dyDescent="0.35">
      <c r="A24" s="5"/>
      <c r="B24" s="303">
        <f>SUM(B17:B23)</f>
        <v>16342675</v>
      </c>
      <c r="C24" s="303">
        <f>SUM(C17:C23)</f>
        <v>24121778</v>
      </c>
      <c r="D24" s="303">
        <f t="shared" ref="D24:F24" si="6">SUM(D17:D23)</f>
        <v>32722020</v>
      </c>
      <c r="E24" s="303">
        <f t="shared" si="6"/>
        <v>35448073</v>
      </c>
      <c r="F24" s="303">
        <f t="shared" si="6"/>
        <v>34692837</v>
      </c>
      <c r="G24" s="303">
        <f t="shared" ref="G24:K24" si="7">SUM(G17:G23)</f>
        <v>41712504.566320732</v>
      </c>
      <c r="H24" s="303">
        <f t="shared" si="7"/>
        <v>56178523.15849559</v>
      </c>
      <c r="I24" s="303">
        <f t="shared" si="7"/>
        <v>84610960.804571465</v>
      </c>
      <c r="J24" s="303">
        <f t="shared" si="7"/>
        <v>161484328.09646428</v>
      </c>
      <c r="K24" s="367">
        <f t="shared" si="7"/>
        <v>268112367.00034928</v>
      </c>
    </row>
    <row r="25" spans="1:11" ht="15" thickBot="1" x14ac:dyDescent="0.4">
      <c r="A25" s="130" t="s">
        <v>569</v>
      </c>
      <c r="B25" s="308">
        <f>B15+B24</f>
        <v>57466446</v>
      </c>
      <c r="C25" s="308">
        <f>C15+C24</f>
        <v>69031112</v>
      </c>
      <c r="D25" s="308">
        <f t="shared" ref="D25:F25" si="8">D15+D24</f>
        <v>77821603</v>
      </c>
      <c r="E25" s="308">
        <f t="shared" si="8"/>
        <v>83957624</v>
      </c>
      <c r="F25" s="308">
        <f t="shared" si="8"/>
        <v>88123027</v>
      </c>
      <c r="G25" s="308">
        <f t="shared" ref="G25" si="9">G15+G24</f>
        <v>100422841.01829845</v>
      </c>
      <c r="H25" s="308">
        <f t="shared" ref="H25" si="10">H15+H24</f>
        <v>116770474.55695295</v>
      </c>
      <c r="I25" s="308">
        <f t="shared" ref="I25" si="11">I15+I24</f>
        <v>146855253.2453267</v>
      </c>
      <c r="J25" s="308">
        <f t="shared" ref="J25" si="12">J15+J24</f>
        <v>228587807.47866184</v>
      </c>
      <c r="K25" s="368">
        <f t="shared" ref="K25" si="13">K15+K24</f>
        <v>337630312.0610075</v>
      </c>
    </row>
    <row r="26" spans="1:11" x14ac:dyDescent="0.35">
      <c r="B26" s="293"/>
      <c r="C26" s="293"/>
      <c r="D26" s="293"/>
      <c r="E26" s="293"/>
      <c r="F26" s="293"/>
      <c r="G26" s="293"/>
      <c r="H26" s="293"/>
      <c r="I26" s="293"/>
      <c r="J26" s="293"/>
      <c r="K26" s="346"/>
    </row>
    <row r="27" spans="1:11" ht="15" thickBot="1" x14ac:dyDescent="0.4">
      <c r="A27" s="130" t="s">
        <v>570</v>
      </c>
      <c r="B27" s="293"/>
      <c r="C27" s="293"/>
      <c r="D27" s="293"/>
      <c r="E27" s="293"/>
      <c r="F27" s="293"/>
      <c r="G27" s="293"/>
      <c r="H27" s="293"/>
      <c r="I27" s="293"/>
      <c r="J27" s="293"/>
      <c r="K27" s="346"/>
    </row>
    <row r="28" spans="1:11" ht="15" thickBot="1" x14ac:dyDescent="0.4">
      <c r="A28" s="130" t="s">
        <v>571</v>
      </c>
      <c r="B28" s="293"/>
      <c r="C28" s="293"/>
      <c r="D28" s="293"/>
      <c r="E28" s="293"/>
      <c r="F28" s="293"/>
      <c r="G28" s="293"/>
      <c r="H28" s="293"/>
      <c r="I28" s="293"/>
      <c r="J28" s="293"/>
      <c r="K28" s="346"/>
    </row>
    <row r="29" spans="1:11" x14ac:dyDescent="0.35">
      <c r="A29" t="s">
        <v>572</v>
      </c>
      <c r="B29" s="293">
        <f>Assumptions!C325</f>
        <v>9089233</v>
      </c>
      <c r="C29" s="293">
        <f>Assumptions!D325</f>
        <v>9089233</v>
      </c>
      <c r="D29" s="293">
        <f>Assumptions!E325</f>
        <v>9089233</v>
      </c>
      <c r="E29" s="293">
        <f>Assumptions!F325</f>
        <v>9089233</v>
      </c>
      <c r="F29" s="293">
        <f>Assumptions!G325</f>
        <v>9089233</v>
      </c>
      <c r="G29" s="293">
        <f>Assumptions!H325</f>
        <v>9089233</v>
      </c>
      <c r="H29" s="293">
        <f>Assumptions!I325</f>
        <v>9089233</v>
      </c>
      <c r="I29" s="293">
        <f>Assumptions!J325</f>
        <v>9089233</v>
      </c>
      <c r="J29" s="293">
        <f>Assumptions!K325</f>
        <v>9089233</v>
      </c>
      <c r="K29" s="346">
        <f>Assumptions!L325</f>
        <v>9089233</v>
      </c>
    </row>
    <row r="30" spans="1:11" x14ac:dyDescent="0.35">
      <c r="A30" t="s">
        <v>573</v>
      </c>
      <c r="B30" s="293">
        <f>Assumptions!C332</f>
        <v>0</v>
      </c>
      <c r="C30" s="293">
        <f>Assumptions!D332</f>
        <v>3000000</v>
      </c>
      <c r="D30" s="293">
        <f>Assumptions!E332</f>
        <v>3000000</v>
      </c>
      <c r="E30" s="293">
        <f>Assumptions!F332</f>
        <v>3000000</v>
      </c>
      <c r="F30" s="293">
        <f>Assumptions!G332</f>
        <v>3000000</v>
      </c>
      <c r="G30" s="293">
        <f>Assumptions!H332</f>
        <v>3000000</v>
      </c>
      <c r="H30" s="293">
        <f>Assumptions!I332</f>
        <v>3000000</v>
      </c>
      <c r="I30" s="293">
        <f>Assumptions!J332</f>
        <v>3000000</v>
      </c>
      <c r="J30" s="293">
        <f>Assumptions!K332</f>
        <v>3000000</v>
      </c>
      <c r="K30" s="346">
        <f>Assumptions!L332</f>
        <v>3000000</v>
      </c>
    </row>
    <row r="31" spans="1:11" x14ac:dyDescent="0.35">
      <c r="A31" t="s">
        <v>574</v>
      </c>
      <c r="B31" s="293">
        <f>Assumptions!C334</f>
        <v>3874953</v>
      </c>
      <c r="C31" s="293">
        <f>Assumptions!D334</f>
        <v>3874953</v>
      </c>
      <c r="D31" s="293">
        <f>Assumptions!E334</f>
        <v>3874953</v>
      </c>
      <c r="E31" s="293">
        <f>Assumptions!F334</f>
        <v>3874953</v>
      </c>
      <c r="F31" s="293">
        <f>Assumptions!G334</f>
        <v>3874953</v>
      </c>
      <c r="G31" s="293">
        <f>Assumptions!H334</f>
        <v>3874953</v>
      </c>
      <c r="H31" s="293">
        <f>Assumptions!I334</f>
        <v>3874953</v>
      </c>
      <c r="I31" s="293">
        <f>Assumptions!J334</f>
        <v>3874953</v>
      </c>
      <c r="J31" s="293">
        <f>Assumptions!K334</f>
        <v>3874953</v>
      </c>
      <c r="K31" s="346">
        <f>Assumptions!L334</f>
        <v>3874953</v>
      </c>
    </row>
    <row r="32" spans="1:11" x14ac:dyDescent="0.35">
      <c r="A32" t="s">
        <v>575</v>
      </c>
      <c r="B32" s="293">
        <f>Assumptions!C336</f>
        <v>4766837</v>
      </c>
      <c r="C32" s="293">
        <f>Assumptions!D336</f>
        <v>10106711</v>
      </c>
      <c r="D32" s="293">
        <f>Assumptions!E336</f>
        <v>13994903</v>
      </c>
      <c r="E32" s="293">
        <f>Assumptions!F336</f>
        <v>11169486</v>
      </c>
      <c r="F32" s="293">
        <f>Assumptions!G336</f>
        <v>12938222</v>
      </c>
      <c r="G32" s="293">
        <f>F32+'Income Statement'!G21</f>
        <v>22145114.864329334</v>
      </c>
      <c r="H32" s="293">
        <f>G32+'Income Statement'!H21</f>
        <v>30898035.87865651</v>
      </c>
      <c r="I32" s="293">
        <f>H32+'Income Statement'!I21</f>
        <v>41016366.632567063</v>
      </c>
      <c r="J32" s="293">
        <f>I32+'Income Statement'!J21</f>
        <v>52676493.120955199</v>
      </c>
      <c r="K32" s="293">
        <f>J32+'Income Statement'!K21</f>
        <v>67944106.116979867</v>
      </c>
    </row>
    <row r="33" spans="1:11" x14ac:dyDescent="0.35">
      <c r="B33" s="303">
        <f t="shared" ref="B33:E33" si="14">SUM(B29:B32)</f>
        <v>17731023</v>
      </c>
      <c r="C33" s="303">
        <f t="shared" si="14"/>
        <v>26070897</v>
      </c>
      <c r="D33" s="303">
        <f t="shared" si="14"/>
        <v>29959089</v>
      </c>
      <c r="E33" s="303">
        <f t="shared" si="14"/>
        <v>27133672</v>
      </c>
      <c r="F33" s="303">
        <f>SUM(F29:F32)</f>
        <v>28902408</v>
      </c>
      <c r="G33" s="303">
        <f t="shared" ref="G33:K33" si="15">SUM(G29:G32)</f>
        <v>38109300.864329338</v>
      </c>
      <c r="H33" s="303">
        <f t="shared" si="15"/>
        <v>46862221.878656507</v>
      </c>
      <c r="I33" s="303">
        <f t="shared" si="15"/>
        <v>56980552.632567063</v>
      </c>
      <c r="J33" s="303">
        <f t="shared" si="15"/>
        <v>68640679.120955199</v>
      </c>
      <c r="K33" s="367">
        <f t="shared" si="15"/>
        <v>83908292.116979867</v>
      </c>
    </row>
    <row r="34" spans="1:11" ht="15" thickBot="1" x14ac:dyDescent="0.4">
      <c r="A34" s="130" t="s">
        <v>576</v>
      </c>
      <c r="B34" s="293"/>
      <c r="C34" s="293"/>
      <c r="D34" s="293"/>
      <c r="E34" s="293"/>
      <c r="F34" s="293"/>
      <c r="G34" s="293"/>
      <c r="H34" s="293"/>
      <c r="I34" s="293"/>
      <c r="J34" s="293"/>
      <c r="K34" s="346"/>
    </row>
    <row r="35" spans="1:11" x14ac:dyDescent="0.35">
      <c r="A35" t="s">
        <v>151</v>
      </c>
      <c r="B35" s="293">
        <f>Assumptions!C359</f>
        <v>19388880</v>
      </c>
      <c r="C35" s="293">
        <f>Assumptions!D359</f>
        <v>19790152</v>
      </c>
      <c r="D35" s="293">
        <f>Assumptions!E359</f>
        <v>17081828</v>
      </c>
      <c r="E35" s="293">
        <f>Assumptions!F359</f>
        <v>19329365</v>
      </c>
      <c r="F35" s="293">
        <f>Assumptions!G359</f>
        <v>20927785</v>
      </c>
      <c r="G35" s="293">
        <f>SUM('Loan Schedule'!J224:M224)</f>
        <v>18197358.585316591</v>
      </c>
      <c r="H35" s="293">
        <f>SUM('Loan Schedule'!K224:N224)</f>
        <v>16829348.984211802</v>
      </c>
      <c r="I35" s="293">
        <f>SUM('Loan Schedule'!L224:O224)</f>
        <v>16513140.511579655</v>
      </c>
      <c r="J35" s="293">
        <f>SUM('Loan Schedule'!M224:P224)</f>
        <v>13259001.660503391</v>
      </c>
      <c r="K35" s="346">
        <f>SUM('Loan Schedule'!N224:Q224)</f>
        <v>10950371.485029772</v>
      </c>
    </row>
    <row r="36" spans="1:11" x14ac:dyDescent="0.35">
      <c r="A36" t="s">
        <v>577</v>
      </c>
      <c r="B36" s="293">
        <f>Assumptions!C367</f>
        <v>0</v>
      </c>
      <c r="C36" s="293">
        <f>Assumptions!D367</f>
        <v>0</v>
      </c>
      <c r="D36" s="293">
        <f>Assumptions!E367</f>
        <v>146227</v>
      </c>
      <c r="E36" s="293">
        <f>Assumptions!F367</f>
        <v>184609</v>
      </c>
      <c r="F36" s="293">
        <f>Assumptions!G367</f>
        <v>195232</v>
      </c>
      <c r="G36" s="293">
        <f>Assumptions!H367</f>
        <v>349431.83333333337</v>
      </c>
      <c r="H36" s="293">
        <f>Assumptions!I367</f>
        <v>386883.36111111112</v>
      </c>
      <c r="I36" s="293">
        <f>Assumptions!J367</f>
        <v>454145.88425925921</v>
      </c>
      <c r="J36" s="293">
        <f>Assumptions!K367</f>
        <v>570667.16743827157</v>
      </c>
      <c r="K36" s="346">
        <f>Assumptions!L367</f>
        <v>618129.40110596712</v>
      </c>
    </row>
    <row r="37" spans="1:11" x14ac:dyDescent="0.35">
      <c r="A37" t="s">
        <v>578</v>
      </c>
      <c r="B37" s="293">
        <f>Assumptions!C372</f>
        <v>4543830</v>
      </c>
      <c r="C37" s="293">
        <f>Assumptions!D372</f>
        <v>3614312</v>
      </c>
      <c r="D37" s="293">
        <f>Assumptions!E372</f>
        <v>2713427</v>
      </c>
      <c r="E37" s="293">
        <f>Assumptions!F372</f>
        <v>1842558</v>
      </c>
      <c r="F37" s="293">
        <f>Assumptions!G372</f>
        <v>1331168</v>
      </c>
      <c r="G37" s="293">
        <f>Assumptions!H372</f>
        <v>0</v>
      </c>
      <c r="H37" s="293">
        <f>Assumptions!I372</f>
        <v>0</v>
      </c>
      <c r="I37" s="293">
        <f>Assumptions!J372</f>
        <v>0</v>
      </c>
      <c r="J37" s="293">
        <f>Assumptions!K372</f>
        <v>0</v>
      </c>
      <c r="K37" s="346">
        <f>Assumptions!L372</f>
        <v>0</v>
      </c>
    </row>
    <row r="38" spans="1:11" x14ac:dyDescent="0.35">
      <c r="A38" t="s">
        <v>123</v>
      </c>
      <c r="B38" s="293">
        <f>Assumptions!C379</f>
        <v>0</v>
      </c>
      <c r="C38" s="293">
        <f>Assumptions!D379</f>
        <v>2991392</v>
      </c>
      <c r="D38" s="293">
        <f>Assumptions!E379</f>
        <v>1808405</v>
      </c>
      <c r="E38" s="293">
        <f>Assumptions!F379</f>
        <v>637807</v>
      </c>
      <c r="F38" s="293">
        <f>Assumptions!G379</f>
        <v>0</v>
      </c>
      <c r="G38" s="293">
        <f>Assumptions!H379</f>
        <v>1087520.7999999998</v>
      </c>
      <c r="H38" s="293">
        <f>Assumptions!I379</f>
        <v>1305024.9600000009</v>
      </c>
      <c r="I38" s="293">
        <f>Assumptions!J379</f>
        <v>967751.55199999921</v>
      </c>
      <c r="J38" s="293">
        <f>Assumptions!K379</f>
        <v>799620.86239999998</v>
      </c>
      <c r="K38" s="346">
        <f>Assumptions!L379</f>
        <v>831983.63487999979</v>
      </c>
    </row>
    <row r="39" spans="1:11" x14ac:dyDescent="0.35">
      <c r="A39" t="s">
        <v>579</v>
      </c>
      <c r="B39" s="293">
        <f>Assumptions!C381</f>
        <v>0</v>
      </c>
      <c r="C39" s="293">
        <f>Assumptions!D381</f>
        <v>1199672</v>
      </c>
      <c r="D39" s="293">
        <f>Assumptions!E381</f>
        <v>2048549</v>
      </c>
      <c r="E39" s="293">
        <f>Assumptions!F381</f>
        <v>2155320</v>
      </c>
      <c r="F39" s="293">
        <f>Assumptions!G381</f>
        <v>3048430</v>
      </c>
      <c r="G39" s="293">
        <f>Assumptions!H381</f>
        <v>211186.59999999963</v>
      </c>
      <c r="H39" s="293">
        <f>Assumptions!I381</f>
        <v>939339.39999999944</v>
      </c>
      <c r="I39" s="293">
        <f>Assumptions!J381</f>
        <v>1667492.2000000002</v>
      </c>
      <c r="J39" s="293">
        <f>Assumptions!K381</f>
        <v>2395645.0000000005</v>
      </c>
      <c r="K39" s="346">
        <f>Assumptions!L381</f>
        <v>3123797.8</v>
      </c>
    </row>
    <row r="40" spans="1:11" x14ac:dyDescent="0.35">
      <c r="B40" s="303">
        <f t="shared" ref="B40:E40" si="16">SUM(B35:B39)</f>
        <v>23932710</v>
      </c>
      <c r="C40" s="303">
        <f t="shared" si="16"/>
        <v>27595528</v>
      </c>
      <c r="D40" s="303">
        <f t="shared" si="16"/>
        <v>23798436</v>
      </c>
      <c r="E40" s="303">
        <f t="shared" si="16"/>
        <v>24149659</v>
      </c>
      <c r="F40" s="303">
        <f>SUM(F35:F39)</f>
        <v>25502615</v>
      </c>
      <c r="G40" s="303">
        <f t="shared" ref="G40:K40" si="17">SUM(G35:G39)</f>
        <v>19845497.818649925</v>
      </c>
      <c r="H40" s="303">
        <f t="shared" si="17"/>
        <v>19460596.705322914</v>
      </c>
      <c r="I40" s="303">
        <f t="shared" si="17"/>
        <v>19602530.147838909</v>
      </c>
      <c r="J40" s="303">
        <f t="shared" si="17"/>
        <v>17024934.690341663</v>
      </c>
      <c r="K40" s="367">
        <f t="shared" si="17"/>
        <v>15524282.321015738</v>
      </c>
    </row>
    <row r="41" spans="1:11" ht="15" thickBot="1" x14ac:dyDescent="0.4">
      <c r="A41" s="130" t="s">
        <v>580</v>
      </c>
      <c r="B41" s="293"/>
      <c r="C41" s="293"/>
      <c r="D41" s="293"/>
      <c r="E41" s="293"/>
      <c r="F41" s="293"/>
      <c r="G41" s="293"/>
      <c r="H41" s="293"/>
      <c r="I41" s="293"/>
      <c r="J41" s="293"/>
      <c r="K41" s="346"/>
    </row>
    <row r="42" spans="1:11" x14ac:dyDescent="0.35">
      <c r="A42" t="s">
        <v>325</v>
      </c>
      <c r="B42" s="293">
        <f>Assumptions!C415</f>
        <v>6539817</v>
      </c>
      <c r="C42" s="293">
        <f>Assumptions!D415</f>
        <v>9458730</v>
      </c>
      <c r="D42" s="293">
        <f>Assumptions!E415</f>
        <v>11533192</v>
      </c>
      <c r="E42" s="293">
        <f>Assumptions!F415</f>
        <v>14916145</v>
      </c>
      <c r="F42" s="293">
        <f>Assumptions!G415</f>
        <v>14390425</v>
      </c>
      <c r="G42" s="293">
        <f>Assumptions!H415</f>
        <v>15562145.208685935</v>
      </c>
      <c r="H42" s="293">
        <f>Assumptions!I415</f>
        <v>15072631.763600012</v>
      </c>
      <c r="I42" s="293">
        <f>Assumptions!J415</f>
        <v>16632039.665634234</v>
      </c>
      <c r="J42" s="293">
        <f>Assumptions!K415</f>
        <v>19449941.258000515</v>
      </c>
      <c r="K42" s="346">
        <f>Assumptions!L415</f>
        <v>21109776.017687827</v>
      </c>
    </row>
    <row r="43" spans="1:11" x14ac:dyDescent="0.35">
      <c r="A43" t="s">
        <v>581</v>
      </c>
      <c r="B43" s="293">
        <f>Assumptions!C418</f>
        <v>61049</v>
      </c>
      <c r="C43" s="293">
        <f>Assumptions!D418</f>
        <v>79539</v>
      </c>
      <c r="D43" s="293">
        <f>Assumptions!E418</f>
        <v>98298</v>
      </c>
      <c r="E43" s="293">
        <f>Assumptions!F418</f>
        <v>74278</v>
      </c>
      <c r="F43" s="293">
        <f>Assumptions!G418</f>
        <v>85166</v>
      </c>
      <c r="G43" s="293">
        <f>Assumptions!H418</f>
        <v>79666</v>
      </c>
      <c r="H43" s="293">
        <f>Assumptions!I418</f>
        <v>83389.399999999994</v>
      </c>
      <c r="I43" s="293">
        <f>Assumptions!J418</f>
        <v>84159.48000000001</v>
      </c>
      <c r="J43" s="293">
        <f>Assumptions!K418</f>
        <v>81331.775999999998</v>
      </c>
      <c r="K43" s="346">
        <f>Assumptions!L418</f>
        <v>82742.531199999998</v>
      </c>
    </row>
    <row r="44" spans="1:11" x14ac:dyDescent="0.35">
      <c r="A44" t="s">
        <v>582</v>
      </c>
      <c r="B44" s="293">
        <f>-Assumptions!C357</f>
        <v>0</v>
      </c>
      <c r="C44" s="293">
        <f>-Assumptions!D357</f>
        <v>1836333</v>
      </c>
      <c r="D44" s="293">
        <f>-Assumptions!E357</f>
        <v>3929960</v>
      </c>
      <c r="E44" s="293">
        <f>-Assumptions!F357</f>
        <v>4818569</v>
      </c>
      <c r="F44" s="293">
        <f>-Assumptions!G357</f>
        <v>3002001</v>
      </c>
      <c r="G44" s="293">
        <f>'Loan Schedule'!I224</f>
        <v>1135244.6139632394</v>
      </c>
      <c r="H44" s="293">
        <f>'Loan Schedule'!J224</f>
        <v>3459750.7415672434</v>
      </c>
      <c r="I44" s="293">
        <f>'Loan Schedule'!K224</f>
        <v>3359750.7415672434</v>
      </c>
      <c r="J44" s="293">
        <f>'Loan Schedule'!L224</f>
        <v>6276417.4082339089</v>
      </c>
      <c r="K44" s="346">
        <f>'Loan Schedule'!M224</f>
        <v>5101439.6939481944</v>
      </c>
    </row>
    <row r="45" spans="1:11" x14ac:dyDescent="0.35">
      <c r="A45" t="s">
        <v>583</v>
      </c>
      <c r="B45" s="293">
        <f>-Assumptions!C366</f>
        <v>0</v>
      </c>
      <c r="C45" s="293">
        <f>-Assumptions!D366</f>
        <v>0</v>
      </c>
      <c r="D45" s="293">
        <f>-Assumptions!E366</f>
        <v>0</v>
      </c>
      <c r="E45" s="293">
        <f>-Assumptions!F366</f>
        <v>39114</v>
      </c>
      <c r="F45" s="293">
        <f>-Assumptions!G366</f>
        <v>49053</v>
      </c>
      <c r="G45" s="293">
        <f>-Assumptions!H366</f>
        <v>39114</v>
      </c>
      <c r="H45" s="293">
        <f>-Assumptions!I366</f>
        <v>49053</v>
      </c>
      <c r="I45" s="293">
        <f>-Assumptions!J366</f>
        <v>39114</v>
      </c>
      <c r="J45" s="293">
        <f>-Assumptions!K366</f>
        <v>49053</v>
      </c>
      <c r="K45" s="346">
        <f>-Assumptions!L366</f>
        <v>39114</v>
      </c>
    </row>
    <row r="46" spans="1:11" x14ac:dyDescent="0.35">
      <c r="A46" t="s">
        <v>584</v>
      </c>
      <c r="B46" s="293">
        <f>-Assumptions!C371</f>
        <v>987487</v>
      </c>
      <c r="C46" s="293">
        <f>-Assumptions!D371</f>
        <v>1080561</v>
      </c>
      <c r="D46" s="293">
        <f>-Assumptions!E371</f>
        <v>1481141</v>
      </c>
      <c r="E46" s="293">
        <f>-Assumptions!F371</f>
        <v>1898636</v>
      </c>
      <c r="F46" s="293">
        <f>-Assumptions!G371</f>
        <v>1155904</v>
      </c>
      <c r="G46" s="293">
        <f>-Assumptions!H371</f>
        <v>1164235.3211974571</v>
      </c>
      <c r="H46" s="293">
        <f>-Assumptions!I371</f>
        <v>0</v>
      </c>
      <c r="I46" s="293">
        <f>-Assumptions!J371</f>
        <v>0</v>
      </c>
      <c r="J46" s="293">
        <f>-Assumptions!K371</f>
        <v>0</v>
      </c>
      <c r="K46" s="346">
        <f>-Assumptions!L371</f>
        <v>0</v>
      </c>
    </row>
    <row r="47" spans="1:11" x14ac:dyDescent="0.35">
      <c r="A47" t="s">
        <v>585</v>
      </c>
      <c r="B47" s="293">
        <f>Assumptions!C425</f>
        <v>2158836</v>
      </c>
      <c r="C47" s="293">
        <f>Assumptions!D425</f>
        <v>0</v>
      </c>
      <c r="D47" s="293">
        <f>Assumptions!E425</f>
        <v>474360</v>
      </c>
      <c r="E47" s="293">
        <f>Assumptions!F425</f>
        <v>474360</v>
      </c>
      <c r="F47" s="293">
        <f>Assumptions!G425</f>
        <v>7526086</v>
      </c>
      <c r="G47" s="293">
        <f>Assumptions!H425</f>
        <v>18110876.074915946</v>
      </c>
      <c r="H47" s="293">
        <f>Assumptions!I425</f>
        <v>25466988.910330441</v>
      </c>
      <c r="I47" s="293">
        <f>Assumptions!J425</f>
        <v>43277264.193050735</v>
      </c>
      <c r="J47" s="293">
        <f>Assumptions!K425</f>
        <v>109944013.81549416</v>
      </c>
      <c r="K47" s="346">
        <f>Assumptions!L425</f>
        <v>204779722.78839451</v>
      </c>
    </row>
    <row r="48" spans="1:11" x14ac:dyDescent="0.35">
      <c r="A48" t="s">
        <v>586</v>
      </c>
      <c r="B48" s="293">
        <f>Assumptions!C431</f>
        <v>366272</v>
      </c>
      <c r="C48" s="293">
        <f>Assumptions!D431</f>
        <v>425112</v>
      </c>
      <c r="D48" s="293">
        <f>Assumptions!E431</f>
        <v>429944</v>
      </c>
      <c r="E48" s="293">
        <f>Assumptions!F431</f>
        <v>366576</v>
      </c>
      <c r="F48" s="293">
        <f>Assumptions!G431</f>
        <v>456994</v>
      </c>
      <c r="G48" s="293">
        <f>Assumptions!H431</f>
        <v>408979.6</v>
      </c>
      <c r="H48" s="293">
        <f>Assumptions!I431</f>
        <v>417521.12</v>
      </c>
      <c r="I48" s="293">
        <f>Assumptions!J431</f>
        <v>416002.94400000002</v>
      </c>
      <c r="J48" s="293">
        <f>Assumptions!K431</f>
        <v>413214.73280000006</v>
      </c>
      <c r="K48" s="346">
        <f>Assumptions!L431</f>
        <v>422542.47936000006</v>
      </c>
    </row>
    <row r="49" spans="1:11" x14ac:dyDescent="0.35">
      <c r="A49" t="s">
        <v>587</v>
      </c>
      <c r="B49" s="293">
        <f>Assumptions!C433</f>
        <v>31333</v>
      </c>
      <c r="C49" s="293">
        <f>Assumptions!D433</f>
        <v>28149</v>
      </c>
      <c r="D49" s="293">
        <f>Assumptions!E433</f>
        <v>1029514</v>
      </c>
      <c r="E49" s="293">
        <f>Assumptions!F433</f>
        <v>1174365</v>
      </c>
      <c r="F49" s="293">
        <f>Assumptions!G433</f>
        <v>705550</v>
      </c>
      <c r="G49" s="293">
        <f>Assumptions!H433</f>
        <v>271505.5398407809</v>
      </c>
      <c r="H49" s="293">
        <f>Assumptions!I433</f>
        <v>258118.19255395734</v>
      </c>
      <c r="I49" s="293">
        <f>Assumptions!J433</f>
        <v>298383.27589013125</v>
      </c>
      <c r="J49" s="293">
        <f>Assumptions!K433</f>
        <v>343849.87242622994</v>
      </c>
      <c r="K49" s="346">
        <f>Assumptions!L433</f>
        <v>450232.40409648826</v>
      </c>
    </row>
    <row r="50" spans="1:11" x14ac:dyDescent="0.35">
      <c r="A50" t="s">
        <v>169</v>
      </c>
      <c r="B50" s="293">
        <f>Assumptions!C435</f>
        <v>0</v>
      </c>
      <c r="C50" s="293">
        <f>Assumptions!D435</f>
        <v>0</v>
      </c>
      <c r="D50" s="293">
        <f>Assumptions!E435</f>
        <v>1013864</v>
      </c>
      <c r="E50" s="293">
        <f>Assumptions!F435</f>
        <v>2901371</v>
      </c>
      <c r="F50" s="293">
        <f>Assumptions!G435</f>
        <v>236222</v>
      </c>
      <c r="G50" s="293">
        <f>Assumptions!H435</f>
        <v>834412.9767158333</v>
      </c>
      <c r="H50" s="293">
        <f>Assumptions!I435</f>
        <v>937520.24492188252</v>
      </c>
      <c r="I50" s="293">
        <f>Assumptions!J435</f>
        <v>1013489.6447783908</v>
      </c>
      <c r="J50" s="293">
        <f>Assumptions!K435</f>
        <v>996772.98041016038</v>
      </c>
      <c r="K50" s="346">
        <f>Assumptions!L435</f>
        <v>973224.91952487896</v>
      </c>
    </row>
    <row r="51" spans="1:11" x14ac:dyDescent="0.35">
      <c r="A51" t="s">
        <v>592</v>
      </c>
      <c r="B51" s="293">
        <f>Assumptions!C437</f>
        <v>154</v>
      </c>
      <c r="C51" s="293"/>
      <c r="D51" s="293"/>
      <c r="E51" s="293"/>
      <c r="F51" s="293"/>
      <c r="G51" s="293"/>
      <c r="H51" s="293"/>
      <c r="I51" s="293"/>
      <c r="J51" s="293"/>
      <c r="K51" s="346"/>
    </row>
    <row r="52" spans="1:11" x14ac:dyDescent="0.35">
      <c r="A52" t="s">
        <v>123</v>
      </c>
      <c r="B52" s="293">
        <f>-Assumptions!C378</f>
        <v>5657765</v>
      </c>
      <c r="C52" s="293">
        <f>-Assumptions!D378</f>
        <v>2456263</v>
      </c>
      <c r="D52" s="293">
        <f>-Assumptions!E378</f>
        <v>4073805</v>
      </c>
      <c r="E52" s="293">
        <f>-Assumptions!F378</f>
        <v>6010879</v>
      </c>
      <c r="F52" s="293">
        <f>-Assumptions!G378</f>
        <v>6110603</v>
      </c>
      <c r="G52" s="293">
        <f>-Assumptions!H378</f>
        <v>4861863</v>
      </c>
      <c r="H52" s="293">
        <f>-Assumptions!I378</f>
        <v>4702682.5999999996</v>
      </c>
      <c r="I52" s="293">
        <f>-Assumptions!J378</f>
        <v>5151966.5200000005</v>
      </c>
      <c r="J52" s="293">
        <f>-Assumptions!K378</f>
        <v>5367598.824</v>
      </c>
      <c r="K52" s="346">
        <f>-Assumptions!L378</f>
        <v>5238942.7888000002</v>
      </c>
    </row>
    <row r="53" spans="1:11" x14ac:dyDescent="0.35">
      <c r="B53" s="303">
        <f t="shared" ref="B53:E53" si="18">SUM(B42:B52)</f>
        <v>15802713</v>
      </c>
      <c r="C53" s="303">
        <f t="shared" si="18"/>
        <v>15364687</v>
      </c>
      <c r="D53" s="303">
        <f t="shared" si="18"/>
        <v>24064078</v>
      </c>
      <c r="E53" s="303">
        <f t="shared" si="18"/>
        <v>32674293</v>
      </c>
      <c r="F53" s="303">
        <f>SUM(F42:F52)</f>
        <v>33718004</v>
      </c>
      <c r="G53" s="303">
        <f t="shared" ref="G53:K53" si="19">SUM(G42:G52)</f>
        <v>42468042.335319191</v>
      </c>
      <c r="H53" s="303">
        <f t="shared" si="19"/>
        <v>50447655.97297354</v>
      </c>
      <c r="I53" s="303">
        <f t="shared" si="19"/>
        <v>70272170.464920744</v>
      </c>
      <c r="J53" s="303">
        <f t="shared" si="19"/>
        <v>142922193.66736498</v>
      </c>
      <c r="K53" s="367">
        <f t="shared" si="19"/>
        <v>238197737.62301192</v>
      </c>
    </row>
    <row r="54" spans="1:11" ht="15" thickBot="1" x14ac:dyDescent="0.4">
      <c r="A54" s="130" t="s">
        <v>588</v>
      </c>
      <c r="B54" s="308">
        <f t="shared" ref="B54:E54" si="20">SUM(B33,B40,B53)</f>
        <v>57466446</v>
      </c>
      <c r="C54" s="308">
        <f t="shared" si="20"/>
        <v>69031112</v>
      </c>
      <c r="D54" s="308">
        <f t="shared" si="20"/>
        <v>77821603</v>
      </c>
      <c r="E54" s="308">
        <f t="shared" si="20"/>
        <v>83957624</v>
      </c>
      <c r="F54" s="308">
        <f>SUM(F33,F40,F53)</f>
        <v>88123027</v>
      </c>
      <c r="G54" s="308">
        <f t="shared" ref="G54:K54" si="21">SUM(G33,G40,G53)</f>
        <v>100422841.01829845</v>
      </c>
      <c r="H54" s="308">
        <f t="shared" si="21"/>
        <v>116770474.55695295</v>
      </c>
      <c r="I54" s="308">
        <f t="shared" si="21"/>
        <v>146855253.2453267</v>
      </c>
      <c r="J54" s="308">
        <f t="shared" si="21"/>
        <v>228587807.47866184</v>
      </c>
      <c r="K54" s="368">
        <f t="shared" si="21"/>
        <v>337630312.0610075</v>
      </c>
    </row>
    <row r="55" spans="1:11" x14ac:dyDescent="0.35">
      <c r="B55" s="293"/>
      <c r="C55" s="293"/>
      <c r="D55" s="293"/>
      <c r="E55" s="293"/>
      <c r="F55" s="293"/>
      <c r="G55" s="293"/>
      <c r="H55" s="293"/>
      <c r="I55" s="293"/>
      <c r="J55" s="293"/>
      <c r="K55" s="346"/>
    </row>
    <row r="56" spans="1:11" x14ac:dyDescent="0.35">
      <c r="A56" s="5" t="s">
        <v>596</v>
      </c>
      <c r="B56" s="328">
        <f>B25-B54</f>
        <v>0</v>
      </c>
      <c r="C56" s="328">
        <f t="shared" ref="C56:K56" si="22">C25-C54</f>
        <v>0</v>
      </c>
      <c r="D56" s="328">
        <f t="shared" si="22"/>
        <v>0</v>
      </c>
      <c r="E56" s="328">
        <f t="shared" si="22"/>
        <v>0</v>
      </c>
      <c r="F56" s="328">
        <f t="shared" si="22"/>
        <v>0</v>
      </c>
      <c r="G56" s="328">
        <f t="shared" si="22"/>
        <v>0</v>
      </c>
      <c r="H56" s="328">
        <f t="shared" si="22"/>
        <v>0</v>
      </c>
      <c r="I56" s="328">
        <f t="shared" si="22"/>
        <v>0</v>
      </c>
      <c r="J56" s="328">
        <f t="shared" si="22"/>
        <v>0</v>
      </c>
      <c r="K56" s="328">
        <f t="shared" si="22"/>
        <v>0</v>
      </c>
    </row>
    <row r="57" spans="1:11" x14ac:dyDescent="0.35">
      <c r="A57" s="5" t="s">
        <v>597</v>
      </c>
      <c r="B57" s="327" t="str">
        <f t="shared" ref="B57:E57" si="23">IF(B54=B25,"Yes","No")</f>
        <v>Yes</v>
      </c>
      <c r="C57" s="327" t="str">
        <f t="shared" si="23"/>
        <v>Yes</v>
      </c>
      <c r="D57" s="327" t="str">
        <f t="shared" si="23"/>
        <v>Yes</v>
      </c>
      <c r="E57" s="327" t="str">
        <f t="shared" si="23"/>
        <v>Yes</v>
      </c>
      <c r="F57" s="327" t="str">
        <f>IF(F54=F25,"Yes","No")</f>
        <v>Yes</v>
      </c>
      <c r="G57" s="327" t="str">
        <f t="shared" ref="G57:K57" si="24">IF(G54=G25,"Yes","No")</f>
        <v>Yes</v>
      </c>
      <c r="H57" s="327" t="str">
        <f t="shared" si="24"/>
        <v>Yes</v>
      </c>
      <c r="I57" s="327" t="str">
        <f t="shared" si="24"/>
        <v>Yes</v>
      </c>
      <c r="J57" s="327" t="str">
        <f t="shared" si="24"/>
        <v>Yes</v>
      </c>
      <c r="K57" s="369" t="str">
        <f t="shared" si="24"/>
        <v>Yes</v>
      </c>
    </row>
  </sheetData>
  <mergeCells count="3">
    <mergeCell ref="A1:L3"/>
    <mergeCell ref="B4:F4"/>
    <mergeCell ref="G4:K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AD41-E595-489A-B693-EB7B8F250F65}">
  <dimension ref="A1:L27"/>
  <sheetViews>
    <sheetView showGridLines="0" topLeftCell="A3" workbookViewId="0">
      <pane ySplit="3" topLeftCell="A13" activePane="bottomLeft" state="frozen"/>
      <selection activeCell="A3" sqref="A3"/>
      <selection pane="bottomLeft" activeCell="I31" sqref="I31"/>
    </sheetView>
  </sheetViews>
  <sheetFormatPr defaultRowHeight="14.5" x14ac:dyDescent="0.35"/>
  <cols>
    <col min="1" max="1" width="33.08984375" customWidth="1"/>
    <col min="2" max="2" width="16.453125" customWidth="1"/>
    <col min="3" max="3" width="14.6328125" customWidth="1"/>
    <col min="4" max="4" width="12.453125" customWidth="1"/>
    <col min="5" max="5" width="13.54296875" customWidth="1"/>
    <col min="6" max="6" width="16" customWidth="1"/>
    <col min="7" max="8" width="12.1796875" customWidth="1"/>
    <col min="9" max="9" width="11" customWidth="1"/>
    <col min="10" max="10" width="11.54296875" customWidth="1"/>
    <col min="11" max="11" width="12.54296875" customWidth="1"/>
  </cols>
  <sheetData>
    <row r="1" spans="1:12" x14ac:dyDescent="0.35">
      <c r="A1" s="408" t="s">
        <v>655</v>
      </c>
      <c r="B1" s="408"/>
      <c r="C1" s="408"/>
      <c r="D1" s="408"/>
      <c r="E1" s="408"/>
      <c r="F1" s="408"/>
      <c r="G1" s="408"/>
      <c r="H1" s="408"/>
      <c r="I1" s="408"/>
      <c r="J1" s="408"/>
      <c r="K1" s="408"/>
      <c r="L1" s="408"/>
    </row>
    <row r="2" spans="1:12" x14ac:dyDescent="0.35">
      <c r="A2" s="408"/>
      <c r="B2" s="408"/>
      <c r="C2" s="408"/>
      <c r="D2" s="408"/>
      <c r="E2" s="408"/>
      <c r="F2" s="408"/>
      <c r="G2" s="408"/>
      <c r="H2" s="408"/>
      <c r="I2" s="408"/>
      <c r="J2" s="408"/>
      <c r="K2" s="408"/>
      <c r="L2" s="408"/>
    </row>
    <row r="3" spans="1:12" x14ac:dyDescent="0.35">
      <c r="A3" s="408"/>
      <c r="B3" s="408"/>
      <c r="C3" s="408"/>
      <c r="D3" s="408"/>
      <c r="E3" s="408"/>
      <c r="F3" s="408"/>
      <c r="G3" s="408"/>
      <c r="H3" s="408"/>
      <c r="I3" s="408"/>
      <c r="J3" s="408"/>
      <c r="K3" s="408"/>
      <c r="L3" s="408"/>
    </row>
    <row r="4" spans="1:12" ht="18" x14ac:dyDescent="0.5">
      <c r="B4" s="413" t="s">
        <v>598</v>
      </c>
      <c r="C4" s="414"/>
      <c r="D4" s="414"/>
      <c r="E4" s="414"/>
      <c r="F4" s="415"/>
      <c r="G4" s="416" t="s">
        <v>599</v>
      </c>
      <c r="H4" s="417"/>
      <c r="I4" s="417"/>
      <c r="J4" s="417"/>
      <c r="K4" s="417"/>
    </row>
    <row r="5" spans="1:12" ht="24" thickBot="1" x14ac:dyDescent="0.6">
      <c r="A5" s="352" t="s">
        <v>657</v>
      </c>
      <c r="B5" s="267">
        <v>2019</v>
      </c>
      <c r="C5" s="268">
        <v>2020</v>
      </c>
      <c r="D5" s="268">
        <v>2021</v>
      </c>
      <c r="E5" s="268">
        <v>2022</v>
      </c>
      <c r="F5" s="269">
        <v>2023</v>
      </c>
      <c r="G5" s="268">
        <v>2024</v>
      </c>
      <c r="H5" s="268">
        <v>2025</v>
      </c>
      <c r="I5" s="268">
        <v>2026</v>
      </c>
      <c r="J5" s="268">
        <v>2027</v>
      </c>
      <c r="K5" s="269">
        <v>2028</v>
      </c>
    </row>
    <row r="7" spans="1:12" ht="18" customHeight="1" x14ac:dyDescent="0.35">
      <c r="A7" s="257" t="s">
        <v>491</v>
      </c>
      <c r="B7" s="373">
        <f>Assumptions!C455</f>
        <v>37836632</v>
      </c>
      <c r="C7" s="373">
        <f>Assumptions!D455</f>
        <v>35331398</v>
      </c>
      <c r="D7" s="373">
        <f>Assumptions!E455</f>
        <v>70019594</v>
      </c>
      <c r="E7" s="373">
        <f>Assumptions!F455</f>
        <v>82059583</v>
      </c>
      <c r="F7" s="373">
        <f>Assumptions!G455</f>
        <v>81224448</v>
      </c>
      <c r="G7" s="373">
        <f>Assumptions!H455</f>
        <v>75781432.984762698</v>
      </c>
      <c r="H7" s="373">
        <f>Assumptions!I455</f>
        <v>73739480.630697727</v>
      </c>
      <c r="I7" s="373">
        <f>Assumptions!J455</f>
        <v>83720738.781879231</v>
      </c>
      <c r="J7" s="373">
        <f>Assumptions!K455</f>
        <v>93935977.946521103</v>
      </c>
      <c r="K7" s="373">
        <f>Assumptions!L455</f>
        <v>104278840.86547732</v>
      </c>
    </row>
    <row r="8" spans="1:12" x14ac:dyDescent="0.35">
      <c r="A8" s="364" t="s">
        <v>472</v>
      </c>
      <c r="B8" s="374">
        <f>-'IS Assumptions'!B45</f>
        <v>-29730593</v>
      </c>
      <c r="C8" s="374">
        <f>-'IS Assumptions'!C45</f>
        <v>-24382129</v>
      </c>
      <c r="D8" s="374">
        <f>-'IS Assumptions'!D45</f>
        <v>-45984328</v>
      </c>
      <c r="E8" s="374">
        <f>-'IS Assumptions'!E45</f>
        <v>-58297565</v>
      </c>
      <c r="F8" s="374">
        <f>-'IS Assumptions'!F45</f>
        <v>-60494597</v>
      </c>
      <c r="G8" s="374">
        <f>-'IS Assumptions'!G45</f>
        <v>-55793551.145646639</v>
      </c>
      <c r="H8" s="374">
        <f>-'IS Assumptions'!H45</f>
        <v>-54348192.97952348</v>
      </c>
      <c r="I8" s="374">
        <f>-'IS Assumptions'!I45</f>
        <v>-61733036.280713797</v>
      </c>
      <c r="J8" s="374">
        <f>-'IS Assumptions'!J45</f>
        <v>-69220130.277203247</v>
      </c>
      <c r="K8" s="374">
        <f>-'IS Assumptions'!K45</f>
        <v>-74454001.281528294</v>
      </c>
    </row>
    <row r="9" spans="1:12" x14ac:dyDescent="0.35">
      <c r="A9" s="364" t="s">
        <v>492</v>
      </c>
      <c r="B9" s="373">
        <f>SUM(B7:B8)</f>
        <v>8106039</v>
      </c>
      <c r="C9" s="373">
        <f t="shared" ref="C9:K9" si="0">SUM(C7:C8)</f>
        <v>10949269</v>
      </c>
      <c r="D9" s="373">
        <f t="shared" si="0"/>
        <v>24035266</v>
      </c>
      <c r="E9" s="373">
        <f t="shared" si="0"/>
        <v>23762018</v>
      </c>
      <c r="F9" s="373">
        <f t="shared" si="0"/>
        <v>20729851</v>
      </c>
      <c r="G9" s="373">
        <f t="shared" si="0"/>
        <v>19987881.839116059</v>
      </c>
      <c r="H9" s="373">
        <f t="shared" si="0"/>
        <v>19391287.651174247</v>
      </c>
      <c r="I9" s="373">
        <f t="shared" si="0"/>
        <v>21987702.501165435</v>
      </c>
      <c r="J9" s="373">
        <f t="shared" si="0"/>
        <v>24715847.669317856</v>
      </c>
      <c r="K9" s="373">
        <f t="shared" si="0"/>
        <v>29824839.583949029</v>
      </c>
    </row>
    <row r="10" spans="1:12" x14ac:dyDescent="0.35">
      <c r="A10" s="364" t="s">
        <v>493</v>
      </c>
      <c r="B10" s="373">
        <f>-'IS Assumptions'!B69</f>
        <v>-391624</v>
      </c>
      <c r="C10" s="373">
        <f>-'IS Assumptions'!C69</f>
        <v>-243269</v>
      </c>
      <c r="D10" s="373">
        <f>-'IS Assumptions'!D69</f>
        <v>-376338</v>
      </c>
      <c r="E10" s="373">
        <f>-'IS Assumptions'!E69</f>
        <v>-568871</v>
      </c>
      <c r="F10" s="373">
        <f>-'IS Assumptions'!F69</f>
        <v>-811359</v>
      </c>
      <c r="G10" s="373">
        <f>-'IS Assumptions'!G69</f>
        <v>-863988.04848410946</v>
      </c>
      <c r="H10" s="373">
        <f>-'IS Assumptions'!H69</f>
        <v>-463247.01209086465</v>
      </c>
      <c r="I10" s="373">
        <f>-'IS Assumptions'!I69</f>
        <v>-465741.37878686847</v>
      </c>
      <c r="J10" s="373">
        <f>-'IS Assumptions'!J69</f>
        <v>-691325.86357882875</v>
      </c>
      <c r="K10" s="373">
        <f>-'IS Assumptions'!K69</f>
        <v>-1035891.80955122</v>
      </c>
    </row>
    <row r="11" spans="1:12" x14ac:dyDescent="0.35">
      <c r="A11" s="364" t="s">
        <v>494</v>
      </c>
      <c r="B11" s="373">
        <f>-'IS Assumptions'!B90</f>
        <v>-565842</v>
      </c>
      <c r="C11" s="373">
        <f>-'IS Assumptions'!C90</f>
        <v>-549854</v>
      </c>
      <c r="D11" s="373">
        <f>-'IS Assumptions'!D90</f>
        <v>-682921</v>
      </c>
      <c r="E11" s="373">
        <f>-'IS Assumptions'!E90</f>
        <v>-1329287</v>
      </c>
      <c r="F11" s="373">
        <f>-'IS Assumptions'!F90</f>
        <v>-1617264</v>
      </c>
      <c r="G11" s="373">
        <f>-'IS Assumptions'!G90</f>
        <v>-1026983.8712646923</v>
      </c>
      <c r="H11" s="373">
        <f>-'IS Assumptions'!H90</f>
        <v>-1112756.5348301299</v>
      </c>
      <c r="I11" s="373">
        <f>-'IS Assumptions'!I90</f>
        <v>-1136135.2208070171</v>
      </c>
      <c r="J11" s="373">
        <f>-'IS Assumptions'!J90</f>
        <v>-1616142.0110915788</v>
      </c>
      <c r="K11" s="373">
        <f>-'IS Assumptions'!K90</f>
        <v>-1634267.9323413351</v>
      </c>
    </row>
    <row r="12" spans="1:12" x14ac:dyDescent="0.35">
      <c r="A12" s="364" t="s">
        <v>217</v>
      </c>
      <c r="B12" s="373">
        <f>-'IS Assumptions'!B100</f>
        <v>-1214558</v>
      </c>
      <c r="C12" s="373">
        <f>-'IS Assumptions'!C100</f>
        <v>-835788</v>
      </c>
      <c r="D12" s="373">
        <f>-'IS Assumptions'!D100</f>
        <v>-2354195</v>
      </c>
      <c r="E12" s="373">
        <f>-'IS Assumptions'!E100</f>
        <v>-3452360</v>
      </c>
      <c r="F12" s="373">
        <f>-'IS Assumptions'!F100</f>
        <v>-1713102</v>
      </c>
      <c r="G12" s="373">
        <f>-'IS Assumptions'!G100</f>
        <v>-2166320.2281237794</v>
      </c>
      <c r="H12" s="373">
        <f>-'IS Assumptions'!H100</f>
        <v>-2303034.2485283925</v>
      </c>
      <c r="I12" s="373">
        <f>-'IS Assumptions'!I100</f>
        <v>-2531886.7201925744</v>
      </c>
      <c r="J12" s="373">
        <f>-'IS Assumptions'!J100</f>
        <v>-2745581.8352950788</v>
      </c>
      <c r="K12" s="373">
        <f>-'IS Assumptions'!K100</f>
        <v>-2657319.9216675488</v>
      </c>
    </row>
    <row r="13" spans="1:12" x14ac:dyDescent="0.35">
      <c r="A13" s="364" t="s">
        <v>495</v>
      </c>
      <c r="B13" s="374">
        <f>'IS Assumptions'!B123</f>
        <v>894262</v>
      </c>
      <c r="C13" s="374">
        <f>'IS Assumptions'!C123</f>
        <v>1086872</v>
      </c>
      <c r="D13" s="374">
        <f>'IS Assumptions'!D123</f>
        <v>1308468</v>
      </c>
      <c r="E13" s="374">
        <f>'IS Assumptions'!E123</f>
        <v>1442462</v>
      </c>
      <c r="F13" s="374">
        <f>'IS Assumptions'!F123</f>
        <v>1706456</v>
      </c>
      <c r="G13" s="374">
        <f>'IS Assumptions'!G123</f>
        <v>1295383.4862473062</v>
      </c>
      <c r="H13" s="374">
        <f>'IS Assumptions'!H123</f>
        <v>1354869.049728041</v>
      </c>
      <c r="I13" s="374">
        <f>'IS Assumptions'!I123</f>
        <v>1401571.2121148594</v>
      </c>
      <c r="J13" s="374">
        <f>'IS Assumptions'!J123</f>
        <v>1411540.9565797225</v>
      </c>
      <c r="K13" s="374">
        <f>'IS Assumptions'!K123</f>
        <v>1386904.2908894515</v>
      </c>
    </row>
    <row r="14" spans="1:12" x14ac:dyDescent="0.35">
      <c r="A14" s="364" t="s">
        <v>496</v>
      </c>
      <c r="B14" s="375">
        <f>SUM(B9:B13)</f>
        <v>6828277</v>
      </c>
      <c r="C14" s="375">
        <f t="shared" ref="C14:K14" si="1">SUM(C9:C13)</f>
        <v>10407230</v>
      </c>
      <c r="D14" s="375">
        <f t="shared" si="1"/>
        <v>21930280</v>
      </c>
      <c r="E14" s="375">
        <f t="shared" si="1"/>
        <v>19853962</v>
      </c>
      <c r="F14" s="375">
        <f t="shared" si="1"/>
        <v>18294582</v>
      </c>
      <c r="G14" s="375">
        <f t="shared" si="1"/>
        <v>17225973.177490782</v>
      </c>
      <c r="H14" s="375">
        <f t="shared" si="1"/>
        <v>16867118.9054529</v>
      </c>
      <c r="I14" s="375">
        <f t="shared" si="1"/>
        <v>19255510.393493835</v>
      </c>
      <c r="J14" s="375">
        <f t="shared" si="1"/>
        <v>21074338.915932093</v>
      </c>
      <c r="K14" s="375">
        <f t="shared" si="1"/>
        <v>25884264.211278379</v>
      </c>
    </row>
    <row r="15" spans="1:12" x14ac:dyDescent="0.35">
      <c r="A15" s="364" t="s">
        <v>497</v>
      </c>
      <c r="B15" s="374">
        <f>-'IS Assumptions'!B143</f>
        <v>-1785583</v>
      </c>
      <c r="C15" s="374">
        <f>-'IS Assumptions'!C143</f>
        <v>-2191097</v>
      </c>
      <c r="D15" s="374">
        <f>-'IS Assumptions'!D143</f>
        <v>-1901939</v>
      </c>
      <c r="E15" s="374">
        <f>-'IS Assumptions'!E143</f>
        <v>-3082932</v>
      </c>
      <c r="F15" s="374">
        <f>-'IS Assumptions'!F143</f>
        <v>-4197208</v>
      </c>
      <c r="G15" s="374">
        <f>-'IS Assumptions'!G143</f>
        <v>-1203698.8250516667</v>
      </c>
      <c r="H15" s="374">
        <f>-'IS Assumptions'!H143</f>
        <v>-987200.71301666659</v>
      </c>
      <c r="I15" s="374">
        <f>-'IS Assumptions'!I143</f>
        <v>-1213952.1136130954</v>
      </c>
      <c r="J15" s="374">
        <f>-'IS Assumptions'!J143</f>
        <v>-1052108.86848125</v>
      </c>
      <c r="K15" s="374">
        <f>-'IS Assumptions'!K143</f>
        <v>-1157780.2077254911</v>
      </c>
    </row>
    <row r="16" spans="1:12" x14ac:dyDescent="0.35">
      <c r="A16" s="364" t="s">
        <v>298</v>
      </c>
      <c r="B16" s="373">
        <f>SUM(B14:B15)</f>
        <v>5042694</v>
      </c>
      <c r="C16" s="373">
        <f t="shared" ref="C16:K16" si="2">SUM(C14:C15)</f>
        <v>8216133</v>
      </c>
      <c r="D16" s="373">
        <f t="shared" si="2"/>
        <v>20028341</v>
      </c>
      <c r="E16" s="373">
        <f t="shared" si="2"/>
        <v>16771030</v>
      </c>
      <c r="F16" s="373">
        <f t="shared" si="2"/>
        <v>14097374</v>
      </c>
      <c r="G16" s="373">
        <f t="shared" si="2"/>
        <v>16022274.352439115</v>
      </c>
      <c r="H16" s="373">
        <f t="shared" si="2"/>
        <v>15879918.192436233</v>
      </c>
      <c r="I16" s="373">
        <f t="shared" si="2"/>
        <v>18041558.27988074</v>
      </c>
      <c r="J16" s="373">
        <f t="shared" si="2"/>
        <v>20022230.047450844</v>
      </c>
      <c r="K16" s="373">
        <f t="shared" si="2"/>
        <v>24726484.003552888</v>
      </c>
    </row>
    <row r="17" spans="1:11" x14ac:dyDescent="0.35">
      <c r="A17" s="364" t="s">
        <v>498</v>
      </c>
      <c r="B17" s="374">
        <f>-'IS Assumptions'!B154</f>
        <v>-1339192</v>
      </c>
      <c r="C17" s="374">
        <f>-'IS Assumptions'!C154</f>
        <v>-2503888</v>
      </c>
      <c r="D17" s="374">
        <f>-'IS Assumptions'!D154</f>
        <v>-4925730</v>
      </c>
      <c r="E17" s="374">
        <f>-'IS Assumptions'!E154</f>
        <v>-5004035</v>
      </c>
      <c r="F17" s="374">
        <f>-'IS Assumptions'!F154</f>
        <v>-4866714</v>
      </c>
      <c r="G17" s="374">
        <f>-'IS Assumptions'!G154</f>
        <v>-3746417.2</v>
      </c>
      <c r="H17" s="374">
        <f>-'IS Assumptions'!H154</f>
        <v>-4209356.84</v>
      </c>
      <c r="I17" s="374">
        <f>-'IS Assumptions'!I154</f>
        <v>-4550450.608</v>
      </c>
      <c r="J17" s="374">
        <f>-'IS Assumptions'!J154</f>
        <v>-4475394.7296000002</v>
      </c>
      <c r="K17" s="374">
        <f>-'IS Assumptions'!K154</f>
        <v>-4369666.67552</v>
      </c>
    </row>
    <row r="18" spans="1:11" ht="15" thickBot="1" x14ac:dyDescent="0.4">
      <c r="A18" s="364" t="s">
        <v>499</v>
      </c>
      <c r="B18" s="377">
        <f>SUM(B16:B17)</f>
        <v>3703502</v>
      </c>
      <c r="C18" s="377">
        <f t="shared" ref="C18:K18" si="3">SUM(C16:C17)</f>
        <v>5712245</v>
      </c>
      <c r="D18" s="377">
        <f t="shared" si="3"/>
        <v>15102611</v>
      </c>
      <c r="E18" s="377">
        <f t="shared" si="3"/>
        <v>11766995</v>
      </c>
      <c r="F18" s="377">
        <f t="shared" si="3"/>
        <v>9230660</v>
      </c>
      <c r="G18" s="377">
        <f t="shared" si="3"/>
        <v>12275857.152439114</v>
      </c>
      <c r="H18" s="377">
        <f t="shared" si="3"/>
        <v>11670561.352436233</v>
      </c>
      <c r="I18" s="377">
        <f t="shared" si="3"/>
        <v>13491107.671880741</v>
      </c>
      <c r="J18" s="377">
        <f t="shared" si="3"/>
        <v>15546835.317850843</v>
      </c>
      <c r="K18" s="377">
        <f t="shared" si="3"/>
        <v>20356817.328032888</v>
      </c>
    </row>
    <row r="19" spans="1:11" ht="15" thickTop="1" x14ac:dyDescent="0.35">
      <c r="A19" s="364"/>
      <c r="B19" s="370"/>
      <c r="C19" s="370"/>
      <c r="D19" s="370"/>
      <c r="E19" s="370"/>
      <c r="F19" s="370"/>
      <c r="G19" s="370"/>
      <c r="H19" s="370"/>
      <c r="I19" s="370"/>
      <c r="J19" s="370"/>
      <c r="K19" s="370"/>
    </row>
    <row r="20" spans="1:11" x14ac:dyDescent="0.35">
      <c r="A20" s="364" t="s">
        <v>679</v>
      </c>
      <c r="B20" s="374">
        <f>Assumptions!C611</f>
        <v>-839879</v>
      </c>
      <c r="C20" s="374">
        <f>Assumptions!D611</f>
        <v>-184969</v>
      </c>
      <c r="D20" s="374">
        <f>Assumptions!E611</f>
        <v>-10213054</v>
      </c>
      <c r="E20" s="374">
        <f>Assumptions!F611</f>
        <v>-14390460</v>
      </c>
      <c r="F20" s="374">
        <f>Assumptions!G611</f>
        <v>-7930739</v>
      </c>
      <c r="G20" s="374">
        <f>Assumptions!H611</f>
        <v>-3068964.2881097784</v>
      </c>
      <c r="H20" s="374">
        <f>Assumptions!I611</f>
        <v>-2917640.3381090583</v>
      </c>
      <c r="I20" s="374">
        <f>Assumptions!J611</f>
        <v>-3372776.9179701852</v>
      </c>
      <c r="J20" s="374">
        <f>Assumptions!K611</f>
        <v>-3886708.8294627108</v>
      </c>
      <c r="K20" s="374">
        <f>Assumptions!L611</f>
        <v>-5089204.3320082221</v>
      </c>
    </row>
    <row r="21" spans="1:11" x14ac:dyDescent="0.35">
      <c r="A21" s="364" t="s">
        <v>680</v>
      </c>
      <c r="B21" s="374">
        <f>B18+B20</f>
        <v>2863623</v>
      </c>
      <c r="C21" s="374">
        <f t="shared" ref="C21:K21" si="4">C18+C20</f>
        <v>5527276</v>
      </c>
      <c r="D21" s="374">
        <f t="shared" si="4"/>
        <v>4889557</v>
      </c>
      <c r="E21" s="374">
        <f t="shared" si="4"/>
        <v>-2623465</v>
      </c>
      <c r="F21" s="374">
        <f t="shared" si="4"/>
        <v>1299921</v>
      </c>
      <c r="G21" s="374">
        <f t="shared" si="4"/>
        <v>9206892.8643293343</v>
      </c>
      <c r="H21" s="374">
        <f t="shared" si="4"/>
        <v>8752921.0143271759</v>
      </c>
      <c r="I21" s="374">
        <f t="shared" si="4"/>
        <v>10118330.753910556</v>
      </c>
      <c r="J21" s="374">
        <f t="shared" si="4"/>
        <v>11660126.488388132</v>
      </c>
      <c r="K21" s="374">
        <f t="shared" si="4"/>
        <v>15267612.996024666</v>
      </c>
    </row>
    <row r="22" spans="1:11" x14ac:dyDescent="0.35">
      <c r="A22" s="165"/>
    </row>
    <row r="23" spans="1:11" x14ac:dyDescent="0.35">
      <c r="A23" s="364" t="s">
        <v>265</v>
      </c>
      <c r="B23" s="371">
        <f>B18/'IS Assumptions'!B156</f>
        <v>4.0746047795027742</v>
      </c>
      <c r="C23" s="371">
        <f>C18/'IS Assumptions'!C156</f>
        <v>6.2846302712110926</v>
      </c>
      <c r="D23" s="371">
        <f>D18/'IS Assumptions'!D156</f>
        <v>16.61594106431458</v>
      </c>
      <c r="E23" s="371">
        <f>E18/'IS Assumptions'!E156</f>
        <v>12.946085642018081</v>
      </c>
      <c r="F23" s="371">
        <f>F18/'IS Assumptions'!F156</f>
        <v>10.155601739641313</v>
      </c>
      <c r="G23" s="371">
        <f>G18/'IS Assumptions'!G156</f>
        <v>13.505937414323451</v>
      </c>
      <c r="H23" s="371">
        <f>H18/'IS Assumptions'!H156</f>
        <v>12.839989033654373</v>
      </c>
      <c r="I23" s="371">
        <f>I18/'IS Assumptions'!I156</f>
        <v>14.842959933768581</v>
      </c>
      <c r="J23" s="371">
        <f>J18/'IS Assumptions'!J156</f>
        <v>17.104678083677982</v>
      </c>
      <c r="K23" s="371">
        <f>K18/'IS Assumptions'!K156</f>
        <v>22.39663571945356</v>
      </c>
    </row>
    <row r="24" spans="1:11" x14ac:dyDescent="0.35">
      <c r="A24" s="364" t="s">
        <v>502</v>
      </c>
      <c r="B24" s="371">
        <f>B18/'IS Assumptions'!B157</f>
        <v>4.0746047795027742</v>
      </c>
      <c r="C24" s="371">
        <f>C18/'IS Assumptions'!C157</f>
        <v>6.2118045322914073</v>
      </c>
      <c r="D24" s="371">
        <f>D18/'IS Assumptions'!D157</f>
        <v>12.492616155040478</v>
      </c>
      <c r="E24" s="371">
        <f>E18/'IS Assumptions'!E157</f>
        <v>9.7334528336378749</v>
      </c>
      <c r="F24" s="371">
        <f>F18/'IS Assumptions'!F157</f>
        <v>7.6354408014406214</v>
      </c>
      <c r="G24" s="371">
        <f>G18/'IS Assumptions'!G157</f>
        <v>10.154374722326496</v>
      </c>
      <c r="H24" s="371">
        <f>H18/'IS Assumptions'!H157</f>
        <v>9.6536846039294755</v>
      </c>
      <c r="I24" s="371">
        <f>I18/'IS Assumptions'!I157</f>
        <v>11.159608735941612</v>
      </c>
      <c r="J24" s="371">
        <f>J18/'IS Assumptions'!J157</f>
        <v>12.860070755416881</v>
      </c>
      <c r="K24" s="371">
        <f>K18/'IS Assumptions'!K157</f>
        <v>16.8388039006892</v>
      </c>
    </row>
    <row r="25" spans="1:11" x14ac:dyDescent="0.35">
      <c r="A25" s="4"/>
    </row>
    <row r="26" spans="1:11" ht="29" x14ac:dyDescent="0.35">
      <c r="A26" s="364" t="str">
        <f>A18</f>
        <v>Profit for the year</v>
      </c>
      <c r="B26" s="364">
        <f t="shared" ref="B26:K26" si="5">B18</f>
        <v>3703502</v>
      </c>
      <c r="C26" s="364">
        <f t="shared" si="5"/>
        <v>5712245</v>
      </c>
      <c r="D26" s="364">
        <f t="shared" si="5"/>
        <v>15102611</v>
      </c>
      <c r="E26" s="364">
        <f t="shared" si="5"/>
        <v>11766995</v>
      </c>
      <c r="F26" s="364">
        <f t="shared" si="5"/>
        <v>9230660</v>
      </c>
      <c r="G26" s="364">
        <f t="shared" si="5"/>
        <v>12275857.152439114</v>
      </c>
      <c r="H26" s="364">
        <f t="shared" si="5"/>
        <v>11670561.352436233</v>
      </c>
      <c r="I26" s="364">
        <f t="shared" si="5"/>
        <v>13491107.671880741</v>
      </c>
      <c r="J26" s="364">
        <f t="shared" si="5"/>
        <v>15546835.317850843</v>
      </c>
      <c r="K26" s="364">
        <f t="shared" si="5"/>
        <v>20356817.328032888</v>
      </c>
    </row>
    <row r="27" spans="1:11" x14ac:dyDescent="0.35">
      <c r="A27" t="str">
        <f>A21</f>
        <v>Profit Retained</v>
      </c>
      <c r="B27">
        <f t="shared" ref="B27:K27" si="6">B21</f>
        <v>2863623</v>
      </c>
      <c r="C27">
        <f t="shared" si="6"/>
        <v>5527276</v>
      </c>
      <c r="D27">
        <f t="shared" si="6"/>
        <v>4889557</v>
      </c>
      <c r="E27">
        <f t="shared" si="6"/>
        <v>-2623465</v>
      </c>
      <c r="F27">
        <f t="shared" si="6"/>
        <v>1299921</v>
      </c>
      <c r="G27">
        <f t="shared" si="6"/>
        <v>9206892.8643293343</v>
      </c>
      <c r="H27">
        <f t="shared" si="6"/>
        <v>8752921.0143271759</v>
      </c>
      <c r="I27">
        <f t="shared" si="6"/>
        <v>10118330.753910556</v>
      </c>
      <c r="J27">
        <f t="shared" si="6"/>
        <v>11660126.488388132</v>
      </c>
      <c r="K27">
        <f t="shared" si="6"/>
        <v>15267612.996024666</v>
      </c>
    </row>
  </sheetData>
  <mergeCells count="3">
    <mergeCell ref="A1:L3"/>
    <mergeCell ref="B4:F4"/>
    <mergeCell ref="G4: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51E7-5C88-4DFE-86F6-D02D2655CE28}">
  <dimension ref="A1:K45"/>
  <sheetViews>
    <sheetView showGridLines="0" zoomScale="70" zoomScaleNormal="70" workbookViewId="0">
      <pane ySplit="5" topLeftCell="A6" activePane="bottomLeft" state="frozen"/>
      <selection pane="bottomLeft" sqref="A1:K5"/>
    </sheetView>
  </sheetViews>
  <sheetFormatPr defaultRowHeight="14.5" x14ac:dyDescent="0.35"/>
  <cols>
    <col min="1" max="1" width="38.90625" customWidth="1"/>
    <col min="2" max="2" width="14.26953125" customWidth="1"/>
    <col min="3" max="3" width="12.453125" customWidth="1"/>
    <col min="4" max="4" width="13.54296875" customWidth="1"/>
    <col min="5" max="5" width="14.54296875" customWidth="1"/>
    <col min="6" max="6" width="13.90625" customWidth="1"/>
    <col min="7" max="7" width="18.90625" customWidth="1"/>
    <col min="8" max="8" width="13.26953125" customWidth="1"/>
    <col min="9" max="9" width="14.453125" customWidth="1"/>
    <col min="10" max="10" width="13.453125" customWidth="1"/>
    <col min="11" max="11" width="17.08984375" customWidth="1"/>
  </cols>
  <sheetData>
    <row r="1" spans="1:11" x14ac:dyDescent="0.35">
      <c r="A1" s="408" t="s">
        <v>655</v>
      </c>
      <c r="B1" s="408"/>
      <c r="C1" s="408"/>
      <c r="D1" s="408"/>
      <c r="E1" s="408"/>
      <c r="F1" s="408"/>
      <c r="G1" s="408"/>
      <c r="H1" s="408"/>
      <c r="I1" s="408"/>
      <c r="J1" s="408"/>
      <c r="K1" s="408"/>
    </row>
    <row r="2" spans="1:11" ht="14.5" customHeight="1" x14ac:dyDescent="0.35">
      <c r="A2" s="408"/>
      <c r="B2" s="408"/>
      <c r="C2" s="408"/>
      <c r="D2" s="408"/>
      <c r="E2" s="408"/>
      <c r="F2" s="408"/>
      <c r="G2" s="408"/>
      <c r="H2" s="408"/>
      <c r="I2" s="408"/>
      <c r="J2" s="408"/>
      <c r="K2" s="408"/>
    </row>
    <row r="3" spans="1:11" ht="14.5" customHeight="1" x14ac:dyDescent="0.35">
      <c r="A3" s="408"/>
      <c r="B3" s="408"/>
      <c r="C3" s="408"/>
      <c r="D3" s="408"/>
      <c r="E3" s="408"/>
      <c r="F3" s="408"/>
      <c r="G3" s="408"/>
      <c r="H3" s="408"/>
      <c r="I3" s="408"/>
      <c r="J3" s="408"/>
      <c r="K3" s="408"/>
    </row>
    <row r="4" spans="1:11" ht="14.5" customHeight="1" x14ac:dyDescent="0.5">
      <c r="B4" s="413" t="s">
        <v>598</v>
      </c>
      <c r="C4" s="414"/>
      <c r="D4" s="414"/>
      <c r="E4" s="414"/>
      <c r="F4" s="415"/>
      <c r="G4" s="416" t="s">
        <v>599</v>
      </c>
      <c r="H4" s="417"/>
      <c r="I4" s="417"/>
      <c r="J4" s="417"/>
      <c r="K4" s="417"/>
    </row>
    <row r="5" spans="1:11" ht="24" thickBot="1" x14ac:dyDescent="0.6">
      <c r="A5" s="352" t="s">
        <v>656</v>
      </c>
      <c r="B5" s="267">
        <v>2019</v>
      </c>
      <c r="C5" s="268">
        <v>2020</v>
      </c>
      <c r="D5" s="268">
        <v>2021</v>
      </c>
      <c r="E5" s="268">
        <v>2022</v>
      </c>
      <c r="F5" s="269">
        <v>2023</v>
      </c>
      <c r="G5" s="268">
        <v>2024</v>
      </c>
      <c r="H5" s="268">
        <v>2025</v>
      </c>
      <c r="I5" s="268">
        <v>2026</v>
      </c>
      <c r="J5" s="268">
        <v>2027</v>
      </c>
      <c r="K5" s="269">
        <v>2028</v>
      </c>
    </row>
    <row r="7" spans="1:11" x14ac:dyDescent="0.35">
      <c r="A7" s="270" t="s">
        <v>266</v>
      </c>
      <c r="B7" s="86"/>
      <c r="C7" s="17"/>
      <c r="D7" s="17"/>
      <c r="E7" s="17"/>
      <c r="F7" s="146"/>
      <c r="G7" s="11"/>
    </row>
    <row r="8" spans="1:11" x14ac:dyDescent="0.35">
      <c r="A8" s="8" t="s">
        <v>267</v>
      </c>
      <c r="B8" s="295">
        <v>9040561</v>
      </c>
      <c r="C8" s="290">
        <v>12575886</v>
      </c>
      <c r="D8" s="291">
        <v>17606714</v>
      </c>
      <c r="E8" s="291">
        <v>24654512</v>
      </c>
      <c r="F8" s="292">
        <v>13282584</v>
      </c>
      <c r="G8" s="8">
        <f>Assumptions!H656</f>
        <v>32077091.398490474</v>
      </c>
      <c r="H8" s="8">
        <f>Assumptions!I656</f>
        <v>20159149.957412072</v>
      </c>
      <c r="I8" s="8">
        <f>Assumptions!J656</f>
        <v>21722683.169935159</v>
      </c>
      <c r="J8" s="8">
        <f>Assumptions!K656</f>
        <v>25221885.050012756</v>
      </c>
      <c r="K8" s="156">
        <f>Assumptions!L656</f>
        <v>29751756.405859426</v>
      </c>
    </row>
    <row r="9" spans="1:11" x14ac:dyDescent="0.35">
      <c r="A9" s="8" t="s">
        <v>268</v>
      </c>
      <c r="B9" s="295">
        <v>12387</v>
      </c>
      <c r="C9" s="290">
        <v>42792</v>
      </c>
      <c r="D9" s="291">
        <v>28612</v>
      </c>
      <c r="E9" s="291">
        <v>674</v>
      </c>
      <c r="F9" s="292">
        <v>-21837</v>
      </c>
      <c r="G9" s="298">
        <f>Assumptions!H583</f>
        <v>21816.731792308157</v>
      </c>
      <c r="H9" s="298">
        <f>Assumptions!I583</f>
        <v>8520.2419703240466</v>
      </c>
      <c r="I9" s="298">
        <f>Assumptions!J583</f>
        <v>6262.5515286582104</v>
      </c>
      <c r="J9" s="298">
        <f>Assumptions!K583</f>
        <v>8768.3987813244657</v>
      </c>
      <c r="K9" s="378">
        <f>Assumptions!L583</f>
        <v>14463.749350899163</v>
      </c>
    </row>
    <row r="10" spans="1:11" x14ac:dyDescent="0.35">
      <c r="A10" s="8" t="s">
        <v>269</v>
      </c>
      <c r="B10" s="295">
        <v>-45428</v>
      </c>
      <c r="C10" s="290">
        <v>-34528</v>
      </c>
      <c r="D10" s="291">
        <v>-42226</v>
      </c>
      <c r="E10" s="291">
        <v>-92789</v>
      </c>
      <c r="F10" s="292">
        <v>-67404</v>
      </c>
      <c r="G10" s="298">
        <f>Assumptions!H584</f>
        <v>-76219.631774193083</v>
      </c>
      <c r="H10" s="298">
        <f>Assumptions!I584</f>
        <v>-82661.019956833901</v>
      </c>
      <c r="I10" s="298">
        <f>Assumptions!J584</f>
        <v>-89102.408139474705</v>
      </c>
      <c r="J10" s="298">
        <f>Assumptions!K584</f>
        <v>-95543.796322115522</v>
      </c>
      <c r="K10" s="378">
        <f>Assumptions!L584</f>
        <v>-101985.18450475633</v>
      </c>
    </row>
    <row r="11" spans="1:11" x14ac:dyDescent="0.35">
      <c r="A11" s="8" t="s">
        <v>270</v>
      </c>
      <c r="B11" s="380">
        <v>-1278914</v>
      </c>
      <c r="C11" s="381">
        <v>-1260635</v>
      </c>
      <c r="D11" s="372">
        <v>-2903171</v>
      </c>
      <c r="E11" s="372">
        <v>-3009757</v>
      </c>
      <c r="F11" s="376">
        <v>-6638753</v>
      </c>
      <c r="G11" s="382">
        <f>Assumptions!H585</f>
        <v>-3768898.3176045837</v>
      </c>
      <c r="H11" s="382">
        <f>Assumptions!I585</f>
        <v>-3735412.0671426551</v>
      </c>
      <c r="I11" s="382">
        <f>Assumptions!J585</f>
        <v>-4243891.7941544438</v>
      </c>
      <c r="J11" s="382">
        <f>Assumptions!K585</f>
        <v>-4709802.5836164569</v>
      </c>
      <c r="K11" s="383">
        <f>Assumptions!L585</f>
        <v>-5816377.9942440139</v>
      </c>
    </row>
    <row r="12" spans="1:11" x14ac:dyDescent="0.35">
      <c r="A12" s="11" t="s">
        <v>271</v>
      </c>
      <c r="B12" s="384">
        <f t="shared" ref="B12:H12" si="0">SUM(B8:B11)</f>
        <v>7728606</v>
      </c>
      <c r="C12" s="385">
        <f t="shared" si="0"/>
        <v>11323515</v>
      </c>
      <c r="D12" s="385">
        <f t="shared" si="0"/>
        <v>14689929</v>
      </c>
      <c r="E12" s="385">
        <f t="shared" si="0"/>
        <v>21552640</v>
      </c>
      <c r="F12" s="386">
        <f t="shared" si="0"/>
        <v>6554590</v>
      </c>
      <c r="G12" s="385">
        <f t="shared" si="0"/>
        <v>28253790.180904005</v>
      </c>
      <c r="H12" s="385">
        <f t="shared" si="0"/>
        <v>16349597.112282906</v>
      </c>
      <c r="I12" s="385">
        <f t="shared" ref="I12:K12" si="1">SUM(I8:I11)</f>
        <v>17395951.519169901</v>
      </c>
      <c r="J12" s="385">
        <f t="shared" si="1"/>
        <v>20425307.068855509</v>
      </c>
      <c r="K12" s="386">
        <f t="shared" si="1"/>
        <v>23847856.976461556</v>
      </c>
    </row>
    <row r="13" spans="1:11" x14ac:dyDescent="0.35">
      <c r="A13" s="4"/>
      <c r="B13" s="293"/>
      <c r="C13" s="290"/>
      <c r="D13" s="290"/>
      <c r="E13" s="290"/>
      <c r="F13" s="294"/>
      <c r="G13" s="8"/>
      <c r="K13" s="120"/>
    </row>
    <row r="14" spans="1:11" x14ac:dyDescent="0.35">
      <c r="A14" s="270" t="s">
        <v>272</v>
      </c>
      <c r="B14" s="293"/>
      <c r="C14" s="290"/>
      <c r="D14" s="291"/>
      <c r="E14" s="290"/>
      <c r="F14" s="294"/>
      <c r="G14" s="11"/>
      <c r="K14" s="120"/>
    </row>
    <row r="15" spans="1:11" ht="29" x14ac:dyDescent="0.35">
      <c r="A15" s="8" t="s">
        <v>273</v>
      </c>
      <c r="B15" s="293">
        <v>-12744841</v>
      </c>
      <c r="C15" s="290">
        <v>-6091440</v>
      </c>
      <c r="D15" s="291">
        <v>-2869090</v>
      </c>
      <c r="E15" s="291">
        <v>-6765766</v>
      </c>
      <c r="F15" s="292">
        <v>-6803718</v>
      </c>
      <c r="G15" s="298">
        <f>Assumptions!H589</f>
        <v>-8619456.1151490789</v>
      </c>
      <c r="H15" s="298">
        <f>Assumptions!I589</f>
        <v>-7933316.0502392231</v>
      </c>
      <c r="I15" s="298">
        <f>Assumptions!J589</f>
        <v>-9057192.5404758174</v>
      </c>
      <c r="J15" s="298">
        <f>Assumptions!K589</f>
        <v>-10448090.132423999</v>
      </c>
      <c r="K15" s="378">
        <f>Assumptions!L589</f>
        <v>-7396149.5054723592</v>
      </c>
    </row>
    <row r="16" spans="1:11" ht="29" x14ac:dyDescent="0.35">
      <c r="A16" s="8" t="s">
        <v>274</v>
      </c>
      <c r="B16" s="293">
        <v>2809</v>
      </c>
      <c r="C16" s="290">
        <v>-167922</v>
      </c>
      <c r="D16" s="291">
        <v>-248406</v>
      </c>
      <c r="E16" s="291">
        <v>29385</v>
      </c>
      <c r="F16" s="292">
        <v>44320</v>
      </c>
      <c r="G16" s="298">
        <f>Assumptions!H590</f>
        <v>-37742.914645469966</v>
      </c>
      <c r="H16" s="298">
        <f>Assumptions!I590</f>
        <v>-30490.645834657615</v>
      </c>
      <c r="I16" s="298">
        <f>Assumptions!J590</f>
        <v>-25684.279231930985</v>
      </c>
      <c r="J16" s="298">
        <f>Assumptions!K590</f>
        <v>-191481.36691299523</v>
      </c>
      <c r="K16" s="378">
        <f>Assumptions!L590</f>
        <v>-28531.751402166487</v>
      </c>
    </row>
    <row r="17" spans="1:11" x14ac:dyDescent="0.35">
      <c r="A17" s="167" t="s">
        <v>358</v>
      </c>
      <c r="B17" s="293">
        <v>-1575000</v>
      </c>
      <c r="C17" s="290" t="s">
        <v>18</v>
      </c>
      <c r="D17" s="291">
        <v>2601</v>
      </c>
      <c r="E17" s="291">
        <v>-1419000</v>
      </c>
      <c r="F17" s="292">
        <v>-2953000</v>
      </c>
      <c r="G17" s="298">
        <f>Assumptions!H591</f>
        <v>-2472733.9962886348</v>
      </c>
      <c r="H17" s="298">
        <f>Assumptions!I591</f>
        <v>-2472733.9962886348</v>
      </c>
      <c r="I17" s="298">
        <f>Assumptions!J591</f>
        <v>-2472733.9962886348</v>
      </c>
      <c r="J17" s="298">
        <f>Assumptions!K591</f>
        <v>-2472733.9962886348</v>
      </c>
      <c r="K17" s="378">
        <f>Assumptions!L591</f>
        <v>-2472733.9962886348</v>
      </c>
    </row>
    <row r="18" spans="1:11" x14ac:dyDescent="0.35">
      <c r="A18" s="8" t="s">
        <v>346</v>
      </c>
      <c r="B18" s="293">
        <v>-5421150</v>
      </c>
      <c r="C18" s="290">
        <v>-6000</v>
      </c>
      <c r="D18" s="291"/>
      <c r="E18" s="291"/>
      <c r="F18" s="292"/>
      <c r="G18" s="298">
        <f>Assumptions!H592</f>
        <v>0</v>
      </c>
      <c r="H18" s="298">
        <f>Assumptions!I592</f>
        <v>0</v>
      </c>
      <c r="I18" s="298">
        <f>Assumptions!J592</f>
        <v>0</v>
      </c>
      <c r="J18" s="298">
        <f>Assumptions!K592</f>
        <v>0</v>
      </c>
      <c r="K18" s="378">
        <f>Assumptions!L592</f>
        <v>0</v>
      </c>
    </row>
    <row r="19" spans="1:11" ht="29" x14ac:dyDescent="0.35">
      <c r="A19" s="8" t="s">
        <v>275</v>
      </c>
      <c r="B19" s="293"/>
      <c r="C19" s="290" t="s">
        <v>18</v>
      </c>
      <c r="D19" s="291">
        <v>-840000</v>
      </c>
      <c r="E19" s="291" t="s">
        <v>18</v>
      </c>
      <c r="F19" s="292">
        <v>-5050800</v>
      </c>
      <c r="G19" s="298">
        <f>Assumptions!H593</f>
        <v>-1178160.0000000002</v>
      </c>
      <c r="H19" s="298">
        <f>Assumptions!I593</f>
        <v>-1413792</v>
      </c>
      <c r="I19" s="298">
        <f>Assumptions!J593</f>
        <v>-1696550.4000000001</v>
      </c>
      <c r="J19" s="298">
        <f>Assumptions!K593</f>
        <v>-2035860.4800000002</v>
      </c>
      <c r="K19" s="378">
        <f>Assumptions!L593</f>
        <v>-2443032.5760000004</v>
      </c>
    </row>
    <row r="20" spans="1:11" ht="29" x14ac:dyDescent="0.35">
      <c r="A20" s="8" t="s">
        <v>276</v>
      </c>
      <c r="B20" s="293"/>
      <c r="C20" s="290"/>
      <c r="D20" s="291" t="s">
        <v>18</v>
      </c>
      <c r="E20" s="291" t="s">
        <v>18</v>
      </c>
      <c r="F20" s="292">
        <v>3630300</v>
      </c>
      <c r="G20" s="298">
        <f>Assumptions!H594</f>
        <v>726060</v>
      </c>
      <c r="H20" s="298">
        <f>Assumptions!I594</f>
        <v>871271.99999999988</v>
      </c>
      <c r="I20" s="298">
        <f>Assumptions!J594</f>
        <v>1045526.4</v>
      </c>
      <c r="J20" s="298">
        <f>Assumptions!K594</f>
        <v>1254631.68</v>
      </c>
      <c r="K20" s="378">
        <f>Assumptions!L594</f>
        <v>1505558.0160000001</v>
      </c>
    </row>
    <row r="21" spans="1:11" x14ac:dyDescent="0.35">
      <c r="A21" s="8" t="s">
        <v>277</v>
      </c>
      <c r="B21" s="293"/>
      <c r="C21" s="290"/>
      <c r="D21" s="291">
        <v>-10972500</v>
      </c>
      <c r="E21" s="291">
        <v>-340467497</v>
      </c>
      <c r="F21" s="292">
        <v>-40642094</v>
      </c>
      <c r="G21" s="298">
        <f>Assumptions!H595</f>
        <v>-60512156.830679864</v>
      </c>
      <c r="H21" s="298">
        <f>Assumptions!I595</f>
        <v>-51951688.896444224</v>
      </c>
      <c r="I21" s="298">
        <f>Assumptions!J595</f>
        <v>-41534655.913358621</v>
      </c>
      <c r="J21" s="298">
        <f>Assumptions!K595</f>
        <v>-51332833.880160905</v>
      </c>
      <c r="K21" s="378">
        <f>Assumptions!L595</f>
        <v>-48273059.563321248</v>
      </c>
    </row>
    <row r="22" spans="1:11" ht="29" x14ac:dyDescent="0.35">
      <c r="A22" s="8" t="s">
        <v>278</v>
      </c>
      <c r="B22" s="293"/>
      <c r="C22" s="290" t="s">
        <v>18</v>
      </c>
      <c r="D22" s="291">
        <v>3934667</v>
      </c>
      <c r="E22" s="291">
        <v>339467894</v>
      </c>
      <c r="F22" s="292">
        <v>53928691</v>
      </c>
      <c r="G22" s="298">
        <f>Assumptions!H596</f>
        <v>61322288.333629563</v>
      </c>
      <c r="H22" s="298">
        <f>Assumptions!I596</f>
        <v>52647213.597773537</v>
      </c>
      <c r="I22" s="298">
        <f>Assumptions!J596</f>
        <v>42090718.281350888</v>
      </c>
      <c r="J22" s="298">
        <f>Assumptions!K596</f>
        <v>52020073.40425133</v>
      </c>
      <c r="K22" s="378">
        <f>Assumptions!L596</f>
        <v>48919335.094458587</v>
      </c>
    </row>
    <row r="23" spans="1:11" ht="43.5" x14ac:dyDescent="0.35">
      <c r="A23" s="8" t="s">
        <v>279</v>
      </c>
      <c r="B23" s="293">
        <v>816760</v>
      </c>
      <c r="C23" s="290">
        <v>979007</v>
      </c>
      <c r="D23" s="291">
        <v>1276182</v>
      </c>
      <c r="E23" s="291">
        <v>1272366</v>
      </c>
      <c r="F23" s="292">
        <v>852743</v>
      </c>
      <c r="G23" s="298">
        <f>Assumptions!H597</f>
        <v>810774.80890484166</v>
      </c>
      <c r="H23" s="298">
        <f>Assumptions!I597</f>
        <v>1004990.4331683604</v>
      </c>
      <c r="I23" s="298">
        <f>Assumptions!J597</f>
        <v>1216416.727190186</v>
      </c>
      <c r="J23" s="298">
        <f>Assumptions!K597</f>
        <v>1413954.4633938456</v>
      </c>
      <c r="K23" s="378">
        <f>Assumptions!L597</f>
        <v>1519424.1280452472</v>
      </c>
    </row>
    <row r="24" spans="1:11" ht="29" x14ac:dyDescent="0.35">
      <c r="A24" s="11" t="s">
        <v>280</v>
      </c>
      <c r="B24" s="387">
        <f>SUM(B15:B23)</f>
        <v>-18921422</v>
      </c>
      <c r="C24" s="388">
        <f>SUM(C15:C23)</f>
        <v>-5286355</v>
      </c>
      <c r="D24" s="388">
        <f>SUM(D15:D23)</f>
        <v>-9716546</v>
      </c>
      <c r="E24" s="388">
        <f>SUM(E15:E23)</f>
        <v>-7882618</v>
      </c>
      <c r="F24" s="389">
        <f>SUM(F15:F23)</f>
        <v>3006442</v>
      </c>
      <c r="G24" s="390">
        <f>Assumptions!H598</f>
        <v>-9961126.714228645</v>
      </c>
      <c r="H24" s="390">
        <f>Assumptions!I598</f>
        <v>-9278545.5578648429</v>
      </c>
      <c r="I24" s="390">
        <f>Assumptions!J598</f>
        <v>-10434155.720813934</v>
      </c>
      <c r="J24" s="390">
        <f>Assumptions!K598</f>
        <v>-11792340.308141358</v>
      </c>
      <c r="K24" s="391">
        <f>Assumptions!L598</f>
        <v>-8669190.1539805736</v>
      </c>
    </row>
    <row r="25" spans="1:11" x14ac:dyDescent="0.35">
      <c r="A25" s="4"/>
      <c r="B25" s="293"/>
      <c r="C25" s="290"/>
      <c r="D25" s="291"/>
      <c r="E25" s="290"/>
      <c r="F25" s="294"/>
      <c r="G25" s="298">
        <f>Assumptions!H599</f>
        <v>0</v>
      </c>
      <c r="H25" s="298">
        <f>Assumptions!I599</f>
        <v>0</v>
      </c>
      <c r="I25" s="298">
        <f>Assumptions!J599</f>
        <v>0</v>
      </c>
      <c r="J25" s="298">
        <f>Assumptions!K599</f>
        <v>0</v>
      </c>
      <c r="K25" s="378">
        <f>Assumptions!L599</f>
        <v>0</v>
      </c>
    </row>
    <row r="26" spans="1:11" x14ac:dyDescent="0.35">
      <c r="A26" s="270" t="s">
        <v>281</v>
      </c>
      <c r="B26" s="293"/>
      <c r="C26" s="290"/>
      <c r="D26" s="291"/>
      <c r="E26" s="290"/>
      <c r="F26" s="294"/>
      <c r="G26" s="298">
        <f>Assumptions!H600</f>
        <v>0</v>
      </c>
      <c r="H26" s="298">
        <f>Assumptions!I600</f>
        <v>0</v>
      </c>
      <c r="I26" s="298">
        <f>Assumptions!J600</f>
        <v>0</v>
      </c>
      <c r="J26" s="298">
        <f>Assumptions!K600</f>
        <v>0</v>
      </c>
      <c r="K26" s="378">
        <f>Assumptions!L600</f>
        <v>0</v>
      </c>
    </row>
    <row r="27" spans="1:11" ht="29" x14ac:dyDescent="0.35">
      <c r="A27" s="8" t="s">
        <v>282</v>
      </c>
      <c r="B27" s="293">
        <v>19366880</v>
      </c>
      <c r="C27" s="290">
        <v>2019133</v>
      </c>
      <c r="D27" s="291">
        <v>928549</v>
      </c>
      <c r="E27" s="291">
        <v>14948531</v>
      </c>
      <c r="F27" s="292">
        <v>4293727</v>
      </c>
      <c r="G27" s="298">
        <f>Assumptions!H601</f>
        <v>2299068.0871737618</v>
      </c>
      <c r="H27" s="298">
        <f>Assumptions!I601</f>
        <v>1545165.2343736941</v>
      </c>
      <c r="I27" s="298">
        <f>Assumptions!J601</f>
        <v>2489500.7854257743</v>
      </c>
      <c r="J27" s="298">
        <f>Assumptions!K601</f>
        <v>1748552.2293424269</v>
      </c>
      <c r="K27" s="378">
        <f>Assumptions!L601</f>
        <v>2448175.9020406166</v>
      </c>
    </row>
    <row r="28" spans="1:11" x14ac:dyDescent="0.35">
      <c r="A28" s="8" t="s">
        <v>283</v>
      </c>
      <c r="B28" s="293">
        <v>-7500000</v>
      </c>
      <c r="C28" s="290"/>
      <c r="D28" s="291">
        <v>-1926515</v>
      </c>
      <c r="E28" s="291">
        <v>-12876271</v>
      </c>
      <c r="F28" s="292">
        <v>-5128274</v>
      </c>
      <c r="G28" s="298">
        <f>Assumptions!H602</f>
        <v>-1517581.8227513239</v>
      </c>
      <c r="H28" s="298">
        <f>Assumptions!I602</f>
        <v>-1019941.3779499697</v>
      </c>
      <c r="I28" s="298">
        <f>Assumptions!J602</f>
        <v>-1643283.711676243</v>
      </c>
      <c r="J28" s="298">
        <f>Assumptions!K602</f>
        <v>-1154194.2120745974</v>
      </c>
      <c r="K28" s="378">
        <f>Assumptions!L602</f>
        <v>-1616005.749704387</v>
      </c>
    </row>
    <row r="29" spans="1:11" x14ac:dyDescent="0.35">
      <c r="A29" s="8" t="s">
        <v>284</v>
      </c>
      <c r="B29" s="293"/>
      <c r="C29" s="290">
        <v>-190586</v>
      </c>
      <c r="D29" s="291">
        <v>474360</v>
      </c>
      <c r="E29" s="291" t="s">
        <v>18</v>
      </c>
      <c r="F29" s="292">
        <v>324360</v>
      </c>
      <c r="G29" s="298">
        <f>Assumptions!H603</f>
        <v>10167.603656053156</v>
      </c>
      <c r="H29" s="298">
        <f>Assumptions!I603</f>
        <v>23117.226354060975</v>
      </c>
      <c r="I29" s="298">
        <f>Assumptions!J603</f>
        <v>121626.8</v>
      </c>
      <c r="J29" s="298">
        <f>Assumptions!K603</f>
        <v>220136.37364593908</v>
      </c>
      <c r="K29" s="378">
        <f>Assumptions!L603</f>
        <v>318645.94729187811</v>
      </c>
    </row>
    <row r="30" spans="1:11" x14ac:dyDescent="0.35">
      <c r="A30" s="8" t="s">
        <v>285</v>
      </c>
      <c r="B30" s="293"/>
      <c r="C30" s="290">
        <v>3000000</v>
      </c>
      <c r="D30" s="290"/>
      <c r="E30" s="291" t="s">
        <v>18</v>
      </c>
      <c r="F30" s="292">
        <v>-474360</v>
      </c>
      <c r="G30" s="298">
        <f>Assumptions!H604</f>
        <v>42227.052751324693</v>
      </c>
      <c r="H30" s="298">
        <f>Assumptions!I604</f>
        <v>96008.102768255936</v>
      </c>
      <c r="I30" s="298">
        <f>Assumptions!J604</f>
        <v>505128</v>
      </c>
      <c r="J30" s="298">
        <f>Assumptions!K604</f>
        <v>914247.89723174425</v>
      </c>
      <c r="K30" s="378">
        <f>Assumptions!L604</f>
        <v>1323367.7944634883</v>
      </c>
    </row>
    <row r="31" spans="1:11" ht="29" x14ac:dyDescent="0.35">
      <c r="A31" s="8" t="s">
        <v>286</v>
      </c>
      <c r="B31" s="293"/>
      <c r="C31" s="290" t="s">
        <v>18</v>
      </c>
      <c r="D31" s="290"/>
      <c r="E31" s="291" t="s">
        <v>18</v>
      </c>
      <c r="F31" s="292">
        <v>1700000</v>
      </c>
      <c r="G31" s="298">
        <f>Assumptions!H605</f>
        <v>340000</v>
      </c>
      <c r="H31" s="298">
        <f>Assumptions!I605</f>
        <v>340000</v>
      </c>
      <c r="I31" s="298">
        <f>Assumptions!J605</f>
        <v>340000</v>
      </c>
      <c r="J31" s="298">
        <f>Assumptions!K605</f>
        <v>340000</v>
      </c>
      <c r="K31" s="378">
        <f>Assumptions!L605</f>
        <v>340000</v>
      </c>
    </row>
    <row r="32" spans="1:11" ht="29" x14ac:dyDescent="0.35">
      <c r="A32" s="8" t="s">
        <v>287</v>
      </c>
      <c r="B32" s="293"/>
      <c r="C32" s="290"/>
      <c r="D32" s="290"/>
      <c r="E32" s="291" t="s">
        <v>18</v>
      </c>
      <c r="F32" s="292">
        <v>-1700000</v>
      </c>
      <c r="G32" s="298">
        <f>Assumptions!H606</f>
        <v>-340000</v>
      </c>
      <c r="H32" s="298">
        <f>Assumptions!I606</f>
        <v>-340000</v>
      </c>
      <c r="I32" s="298">
        <f>Assumptions!J606</f>
        <v>-340000</v>
      </c>
      <c r="J32" s="298">
        <f>Assumptions!K606</f>
        <v>-340000</v>
      </c>
      <c r="K32" s="378">
        <f>Assumptions!L606</f>
        <v>-340000</v>
      </c>
    </row>
    <row r="33" spans="1:11" ht="29" x14ac:dyDescent="0.35">
      <c r="A33" s="8" t="s">
        <v>288</v>
      </c>
      <c r="B33" s="293"/>
      <c r="C33" s="290"/>
      <c r="D33" s="290"/>
      <c r="E33" s="291" t="s">
        <v>18</v>
      </c>
      <c r="F33" s="292">
        <v>400000</v>
      </c>
      <c r="G33" s="298">
        <f>Assumptions!H607</f>
        <v>166390.84935507423</v>
      </c>
      <c r="H33" s="298">
        <f>Assumptions!I607</f>
        <v>166390.84935507423</v>
      </c>
      <c r="I33" s="298">
        <f>Assumptions!J607</f>
        <v>166390.84935507423</v>
      </c>
      <c r="J33" s="298">
        <f>Assumptions!K607</f>
        <v>166390.84935507423</v>
      </c>
      <c r="K33" s="378">
        <f>Assumptions!L607</f>
        <v>166390.84935507423</v>
      </c>
    </row>
    <row r="34" spans="1:11" ht="29" x14ac:dyDescent="0.35">
      <c r="A34" s="8" t="s">
        <v>289</v>
      </c>
      <c r="B34" s="293"/>
      <c r="C34" s="290"/>
      <c r="D34" s="290"/>
      <c r="E34" s="291" t="s">
        <v>18</v>
      </c>
      <c r="F34" s="292">
        <v>-400000</v>
      </c>
      <c r="G34" s="298">
        <f>Assumptions!H608</f>
        <v>-166390.84935507423</v>
      </c>
      <c r="H34" s="298">
        <f>Assumptions!I608</f>
        <v>-166390.84935507423</v>
      </c>
      <c r="I34" s="298">
        <f>Assumptions!J608</f>
        <v>-166390.84935507423</v>
      </c>
      <c r="J34" s="298">
        <f>Assumptions!K608</f>
        <v>-166390.84935507423</v>
      </c>
      <c r="K34" s="378">
        <f>Assumptions!L608</f>
        <v>-166390.84935507423</v>
      </c>
    </row>
    <row r="35" spans="1:11" x14ac:dyDescent="0.35">
      <c r="A35" s="8" t="s">
        <v>290</v>
      </c>
      <c r="B35" s="293">
        <v>-998523</v>
      </c>
      <c r="C35" s="290">
        <v>-1891139</v>
      </c>
      <c r="D35" s="291">
        <v>-1353532</v>
      </c>
      <c r="E35" s="291">
        <v>-2311808</v>
      </c>
      <c r="F35" s="292">
        <v>-4531992</v>
      </c>
      <c r="G35" s="298">
        <f>Assumptions!H609</f>
        <v>-1102612.2863545304</v>
      </c>
      <c r="H35" s="298">
        <f>Assumptions!I609</f>
        <v>-904295.66982704948</v>
      </c>
      <c r="I35" s="298">
        <f>Assumptions!J609</f>
        <v>-1112004.50449754</v>
      </c>
      <c r="J35" s="298">
        <f>Assumptions!K609</f>
        <v>-963752.84317503183</v>
      </c>
      <c r="K35" s="378">
        <f>Assumptions!L609</f>
        <v>-1060549.9111303294</v>
      </c>
    </row>
    <row r="36" spans="1:11" x14ac:dyDescent="0.35">
      <c r="A36" s="8" t="s">
        <v>291</v>
      </c>
      <c r="B36" s="293">
        <v>-1241425</v>
      </c>
      <c r="C36" s="290">
        <v>-1337444</v>
      </c>
      <c r="D36" s="291">
        <v>-1372441</v>
      </c>
      <c r="E36" s="291">
        <v>-1720502</v>
      </c>
      <c r="F36" s="292">
        <v>-2372703</v>
      </c>
      <c r="G36" s="298">
        <f>Assumptions!H610</f>
        <v>-3492221.2075288082</v>
      </c>
      <c r="H36" s="298">
        <f>Assumptions!I610</f>
        <v>-3152108.7186637344</v>
      </c>
      <c r="I36" s="298">
        <f>Assumptions!J610</f>
        <v>0</v>
      </c>
      <c r="J36" s="298">
        <f>Assumptions!K610</f>
        <v>0</v>
      </c>
      <c r="K36" s="378">
        <f>Assumptions!L610</f>
        <v>0</v>
      </c>
    </row>
    <row r="37" spans="1:11" x14ac:dyDescent="0.35">
      <c r="A37" s="8" t="s">
        <v>292</v>
      </c>
      <c r="B37" s="293">
        <v>-839879</v>
      </c>
      <c r="C37" s="290">
        <v>-184969</v>
      </c>
      <c r="D37" s="291">
        <v>-10213054</v>
      </c>
      <c r="E37" s="291">
        <v>-14390460</v>
      </c>
      <c r="F37" s="292">
        <v>-7930739</v>
      </c>
      <c r="G37" s="298">
        <f>Assumptions!H611</f>
        <v>-3068964.2881097784</v>
      </c>
      <c r="H37" s="298">
        <f>Assumptions!I611</f>
        <v>-2917640.3381090583</v>
      </c>
      <c r="I37" s="298">
        <f>Assumptions!J611</f>
        <v>-3372776.9179701852</v>
      </c>
      <c r="J37" s="298">
        <f>Assumptions!K611</f>
        <v>-3886708.8294627108</v>
      </c>
      <c r="K37" s="378">
        <f>Assumptions!L611</f>
        <v>-5089204.3320082221</v>
      </c>
    </row>
    <row r="38" spans="1:11" x14ac:dyDescent="0.35">
      <c r="A38" s="11" t="s">
        <v>293</v>
      </c>
      <c r="B38" s="387">
        <f>SUM(B27:B37)</f>
        <v>8787053</v>
      </c>
      <c r="C38" s="392">
        <f>SUM(C27:C37)</f>
        <v>1414995</v>
      </c>
      <c r="D38" s="392">
        <f>SUM(D27:D37)</f>
        <v>-13462633</v>
      </c>
      <c r="E38" s="392">
        <f>SUM(E27:E37)</f>
        <v>-16350510</v>
      </c>
      <c r="F38" s="393">
        <f>SUM(F27:F37)</f>
        <v>-15819981</v>
      </c>
      <c r="G38" s="390">
        <f>Assumptions!H612</f>
        <v>-6829916.8611633014</v>
      </c>
      <c r="H38" s="390">
        <f>Assumptions!I612</f>
        <v>-6329695.5410538008</v>
      </c>
      <c r="I38" s="390">
        <f>Assumptions!J612</f>
        <v>-3011809.5487181935</v>
      </c>
      <c r="J38" s="390">
        <f>Assumptions!K612</f>
        <v>-3121719.3844922297</v>
      </c>
      <c r="K38" s="391">
        <f>Assumptions!L612</f>
        <v>-3675570.3490469558</v>
      </c>
    </row>
    <row r="39" spans="1:11" x14ac:dyDescent="0.35">
      <c r="A39" s="4"/>
      <c r="B39" s="293"/>
      <c r="C39" s="290"/>
      <c r="D39" s="290"/>
      <c r="E39" s="290"/>
      <c r="F39" s="294"/>
      <c r="G39" s="298">
        <f>Assumptions!H613</f>
        <v>0</v>
      </c>
      <c r="H39" s="298">
        <f>Assumptions!I613</f>
        <v>0</v>
      </c>
      <c r="I39" s="298">
        <f>Assumptions!J613</f>
        <v>0</v>
      </c>
      <c r="J39" s="298">
        <f>Assumptions!K613</f>
        <v>0</v>
      </c>
      <c r="K39" s="378">
        <f>Assumptions!L613</f>
        <v>0</v>
      </c>
    </row>
    <row r="40" spans="1:11" x14ac:dyDescent="0.35">
      <c r="A40" s="4"/>
      <c r="B40" s="293"/>
      <c r="C40" s="290"/>
      <c r="D40" s="290"/>
      <c r="E40" s="290"/>
      <c r="F40" s="294"/>
      <c r="G40" s="298">
        <f>Assumptions!H614</f>
        <v>0</v>
      </c>
      <c r="H40" s="298">
        <f>Assumptions!I614</f>
        <v>0</v>
      </c>
      <c r="I40" s="298">
        <f>Assumptions!J614</f>
        <v>0</v>
      </c>
      <c r="J40" s="298">
        <f>Assumptions!K614</f>
        <v>0</v>
      </c>
      <c r="K40" s="378">
        <f>Assumptions!L614</f>
        <v>0</v>
      </c>
    </row>
    <row r="41" spans="1:11" x14ac:dyDescent="0.35">
      <c r="A41" s="302" t="s">
        <v>294</v>
      </c>
      <c r="B41" s="303">
        <f>B38+B24+B12</f>
        <v>-2405763</v>
      </c>
      <c r="C41" s="304">
        <f>C38+C24+C12</f>
        <v>7452155</v>
      </c>
      <c r="D41" s="305">
        <f>D38+D24+D12</f>
        <v>-8489250</v>
      </c>
      <c r="E41" s="305">
        <f>E38+E24+E12</f>
        <v>-2680488</v>
      </c>
      <c r="F41" s="306">
        <f>F38+F24+F12</f>
        <v>-6258949</v>
      </c>
      <c r="G41" s="307">
        <f>Assumptions!H615</f>
        <v>-16791043.575391948</v>
      </c>
      <c r="H41" s="307">
        <f>Assumptions!I615</f>
        <v>-15608241.098918643</v>
      </c>
      <c r="I41" s="307">
        <f>Assumptions!J615</f>
        <v>-13445965.269532127</v>
      </c>
      <c r="J41" s="307">
        <f>Assumptions!K615</f>
        <v>-14914059.692633588</v>
      </c>
      <c r="K41" s="379">
        <f>Assumptions!L615</f>
        <v>-12344760.503027529</v>
      </c>
    </row>
    <row r="42" spans="1:11" x14ac:dyDescent="0.35">
      <c r="A42" s="8" t="s">
        <v>295</v>
      </c>
      <c r="B42" s="293"/>
      <c r="C42" s="290">
        <v>6834</v>
      </c>
      <c r="D42" s="291">
        <v>39600</v>
      </c>
      <c r="E42" s="291">
        <v>28419</v>
      </c>
      <c r="F42" s="292">
        <v>434307</v>
      </c>
      <c r="G42" s="298">
        <f>Assumptions!H616</f>
        <v>753533.73670513718</v>
      </c>
      <c r="H42" s="298">
        <f>Assumptions!I616</f>
        <v>896851.63747190917</v>
      </c>
      <c r="I42" s="298">
        <f>Assumptions!J616</f>
        <v>1039994.5729465184</v>
      </c>
      <c r="J42" s="298">
        <f>Assumptions!K616</f>
        <v>1182977.3834620891</v>
      </c>
      <c r="K42" s="405">
        <f>Assumptions!L616</f>
        <v>1325813.0539629974</v>
      </c>
    </row>
    <row r="43" spans="1:11" ht="29" x14ac:dyDescent="0.35">
      <c r="A43" s="8" t="s">
        <v>296</v>
      </c>
      <c r="B43" s="293">
        <v>9062267</v>
      </c>
      <c r="C43" s="290">
        <v>6656504</v>
      </c>
      <c r="D43" s="291">
        <v>14115493</v>
      </c>
      <c r="E43" s="291">
        <v>5665843</v>
      </c>
      <c r="F43" s="292">
        <v>3013774</v>
      </c>
      <c r="G43" s="298">
        <f>Assumptions!H617</f>
        <v>-2810868</v>
      </c>
      <c r="H43" s="298">
        <f>Assumptions!I617</f>
        <v>-18848377.838686809</v>
      </c>
      <c r="I43" s="298">
        <f>Assumptions!J617</f>
        <v>-33559767.300133541</v>
      </c>
      <c r="J43" s="298">
        <f>Assumptions!K617</f>
        <v>-45965737.996719152</v>
      </c>
      <c r="K43" s="378">
        <f>Assumptions!L617</f>
        <v>-59696820.30589065</v>
      </c>
    </row>
    <row r="44" spans="1:11" ht="15" thickBot="1" x14ac:dyDescent="0.4">
      <c r="A44" s="302" t="s">
        <v>297</v>
      </c>
      <c r="B44" s="308">
        <f>SUM(B41:B43)</f>
        <v>6656504</v>
      </c>
      <c r="C44" s="309">
        <f>SUM(C41:C43)</f>
        <v>14115493</v>
      </c>
      <c r="D44" s="310">
        <f>SUM(D41:D43)</f>
        <v>5665843</v>
      </c>
      <c r="E44" s="310">
        <f>SUM(E41:E43)</f>
        <v>3013774</v>
      </c>
      <c r="F44" s="311">
        <f>SUM(F41:F43)</f>
        <v>-2810868</v>
      </c>
      <c r="G44" s="404">
        <f t="shared" ref="G44:K44" si="2">SUM(G41:G43)</f>
        <v>-18848377.838686809</v>
      </c>
      <c r="H44" s="310">
        <f t="shared" si="2"/>
        <v>-33559767.300133541</v>
      </c>
      <c r="I44" s="310">
        <f t="shared" si="2"/>
        <v>-45965737.996719152</v>
      </c>
      <c r="J44" s="310">
        <f t="shared" si="2"/>
        <v>-59696820.30589065</v>
      </c>
      <c r="K44" s="311">
        <f t="shared" si="2"/>
        <v>-70715767.754955173</v>
      </c>
    </row>
    <row r="45" spans="1:11" ht="15" thickTop="1" x14ac:dyDescent="0.35">
      <c r="A45" s="4"/>
      <c r="B45" s="86"/>
      <c r="C45" s="17"/>
      <c r="D45" s="17"/>
      <c r="E45" s="17"/>
      <c r="F45" s="146"/>
    </row>
  </sheetData>
  <mergeCells count="3">
    <mergeCell ref="B4:F4"/>
    <mergeCell ref="G4:K4"/>
    <mergeCell ref="A1:K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6C20-7B5E-4FCF-85C4-5428E77D8194}">
  <dimension ref="B3:AB158"/>
  <sheetViews>
    <sheetView workbookViewId="0">
      <selection activeCell="D135" sqref="D135"/>
    </sheetView>
  </sheetViews>
  <sheetFormatPr defaultRowHeight="14.5" x14ac:dyDescent="0.35"/>
  <cols>
    <col min="3" max="3" width="13" customWidth="1"/>
    <col min="4" max="4" width="11.453125" customWidth="1"/>
    <col min="5" max="5" width="11.54296875" customWidth="1"/>
    <col min="6" max="6" width="14.26953125" customWidth="1"/>
  </cols>
  <sheetData>
    <row r="3" spans="2:15" ht="15" thickBot="1" x14ac:dyDescent="0.4"/>
    <row r="4" spans="2:15" ht="16" thickBot="1" x14ac:dyDescent="0.4">
      <c r="B4" s="433" t="s">
        <v>393</v>
      </c>
      <c r="C4" s="434"/>
      <c r="D4" s="434"/>
      <c r="E4" s="434"/>
      <c r="F4" s="435"/>
    </row>
    <row r="5" spans="2:15" ht="29" x14ac:dyDescent="0.35">
      <c r="B5" s="37" t="s">
        <v>364</v>
      </c>
      <c r="C5" s="37" t="s">
        <v>363</v>
      </c>
      <c r="D5" s="248" t="s">
        <v>528</v>
      </c>
      <c r="E5" s="249" t="s">
        <v>529</v>
      </c>
      <c r="F5" s="249" t="s">
        <v>530</v>
      </c>
      <c r="J5" t="s">
        <v>368</v>
      </c>
    </row>
    <row r="6" spans="2:15" ht="15" thickBot="1" x14ac:dyDescent="0.4">
      <c r="B6" s="250">
        <v>2019</v>
      </c>
      <c r="C6" s="251">
        <v>44223191</v>
      </c>
      <c r="D6" s="4">
        <v>9.4E-2</v>
      </c>
      <c r="E6" s="4">
        <v>3.1E-2</v>
      </c>
      <c r="F6" s="4">
        <v>0.03</v>
      </c>
    </row>
    <row r="7" spans="2:15" x14ac:dyDescent="0.35">
      <c r="B7" s="250">
        <v>2020</v>
      </c>
      <c r="C7" s="251">
        <v>42002709</v>
      </c>
      <c r="D7" s="4">
        <v>9.5000000000000001E-2</v>
      </c>
      <c r="E7" s="4">
        <v>-8.9999999999999993E-3</v>
      </c>
      <c r="F7" s="4">
        <v>2.9000000000000001E-2</v>
      </c>
      <c r="J7" s="35" t="s">
        <v>369</v>
      </c>
      <c r="K7" s="35"/>
    </row>
    <row r="8" spans="2:15" x14ac:dyDescent="0.35">
      <c r="B8" s="250">
        <v>2021</v>
      </c>
      <c r="C8" s="251">
        <v>77442765</v>
      </c>
      <c r="D8" s="4">
        <v>9.5000000000000001E-2</v>
      </c>
      <c r="E8" s="4">
        <v>5.8000000000000003E-2</v>
      </c>
      <c r="F8" s="4">
        <v>2.7900000000000001E-2</v>
      </c>
      <c r="J8" t="s">
        <v>370</v>
      </c>
      <c r="K8">
        <v>0.99999167973771441</v>
      </c>
    </row>
    <row r="9" spans="2:15" x14ac:dyDescent="0.35">
      <c r="B9" s="250">
        <v>2022</v>
      </c>
      <c r="C9" s="251">
        <v>92990439</v>
      </c>
      <c r="D9" s="4">
        <v>0.19900000000000001</v>
      </c>
      <c r="E9" s="4">
        <v>6.2E-2</v>
      </c>
      <c r="F9" s="4">
        <v>2.8000000000000001E-2</v>
      </c>
      <c r="J9" t="s">
        <v>371</v>
      </c>
      <c r="K9">
        <v>0.99998335954465556</v>
      </c>
    </row>
    <row r="10" spans="2:15" x14ac:dyDescent="0.35">
      <c r="B10" s="250">
        <v>2023</v>
      </c>
      <c r="C10" s="251">
        <v>89862918</v>
      </c>
      <c r="D10" s="4">
        <v>0.308</v>
      </c>
      <c r="E10" s="4">
        <v>-2E-3</v>
      </c>
      <c r="F10" s="4">
        <v>2.7699999999999999E-2</v>
      </c>
      <c r="J10" t="s">
        <v>372</v>
      </c>
      <c r="K10">
        <v>0.99993343817862224</v>
      </c>
    </row>
    <row r="11" spans="2:15" x14ac:dyDescent="0.35">
      <c r="B11" s="250">
        <v>2024</v>
      </c>
      <c r="C11" s="252">
        <f>$K$21+$K$22*D11+E11*$K$23+F11*$K$24</f>
        <v>82029147.660311937</v>
      </c>
      <c r="D11" s="4">
        <v>0.17299999999999999</v>
      </c>
      <c r="E11" s="4">
        <v>2.52E-2</v>
      </c>
      <c r="F11" s="4">
        <v>2.75E-2</v>
      </c>
      <c r="J11" t="s">
        <v>373</v>
      </c>
      <c r="K11">
        <v>200854.45479955338</v>
      </c>
    </row>
    <row r="12" spans="2:15" ht="15" thickBot="1" x14ac:dyDescent="0.4">
      <c r="B12" s="250">
        <v>2025</v>
      </c>
      <c r="C12" s="252">
        <f t="shared" ref="C12:C15" si="0">$K$21+$K$22*D12+E12*$K$23+F12*$K$24</f>
        <v>79460814.317109287</v>
      </c>
      <c r="D12" s="4">
        <v>0.1</v>
      </c>
      <c r="E12" s="4">
        <v>3.2000000000000001E-2</v>
      </c>
      <c r="F12" s="4">
        <v>2.7E-2</v>
      </c>
      <c r="J12" s="19" t="s">
        <v>374</v>
      </c>
      <c r="K12" s="19">
        <v>5</v>
      </c>
    </row>
    <row r="13" spans="2:15" x14ac:dyDescent="0.35">
      <c r="B13" s="250">
        <v>2026</v>
      </c>
      <c r="C13" s="252">
        <f t="shared" si="0"/>
        <v>90649901.734410644</v>
      </c>
      <c r="D13" s="4">
        <v>0.08</v>
      </c>
      <c r="E13" s="253">
        <v>0.04</v>
      </c>
      <c r="F13" s="4">
        <v>2.5999999999999999E-2</v>
      </c>
    </row>
    <row r="14" spans="2:15" ht="15" thickBot="1" x14ac:dyDescent="0.4">
      <c r="B14" s="250">
        <v>2027</v>
      </c>
      <c r="C14" s="252">
        <f t="shared" si="0"/>
        <v>100521982.15100497</v>
      </c>
      <c r="D14" s="4">
        <v>7.0000000000000007E-2</v>
      </c>
      <c r="E14" s="41">
        <v>0.04</v>
      </c>
      <c r="F14" s="4">
        <v>2.5000000000000001E-2</v>
      </c>
      <c r="J14" t="s">
        <v>375</v>
      </c>
    </row>
    <row r="15" spans="2:15" x14ac:dyDescent="0.35">
      <c r="B15" s="250">
        <v>2028</v>
      </c>
      <c r="C15" s="252">
        <f t="shared" si="0"/>
        <v>111450059.05508977</v>
      </c>
      <c r="D15" s="4">
        <v>6.4899999999999999E-2</v>
      </c>
      <c r="E15" s="4">
        <v>4.1000000000000002E-2</v>
      </c>
      <c r="F15" s="4">
        <v>2.4E-2</v>
      </c>
      <c r="J15" s="34"/>
      <c r="K15" s="34" t="s">
        <v>380</v>
      </c>
      <c r="L15" s="34" t="s">
        <v>381</v>
      </c>
      <c r="M15" s="34" t="s">
        <v>382</v>
      </c>
      <c r="N15" s="34" t="s">
        <v>383</v>
      </c>
      <c r="O15" s="34" t="s">
        <v>384</v>
      </c>
    </row>
    <row r="16" spans="2:15" x14ac:dyDescent="0.35">
      <c r="J16" t="s">
        <v>376</v>
      </c>
      <c r="K16">
        <v>3</v>
      </c>
      <c r="L16">
        <v>2424323124588122</v>
      </c>
      <c r="M16">
        <v>808107708196040.63</v>
      </c>
      <c r="N16">
        <v>20031.16979773407</v>
      </c>
      <c r="O16">
        <v>5.1938752849468384E-3</v>
      </c>
    </row>
    <row r="17" spans="2:18" x14ac:dyDescent="0.35">
      <c r="J17" t="s">
        <v>377</v>
      </c>
      <c r="K17">
        <v>1</v>
      </c>
      <c r="L17">
        <v>40342512012.825829</v>
      </c>
      <c r="M17">
        <v>40342512012.825829</v>
      </c>
    </row>
    <row r="18" spans="2:18" ht="15" thickBot="1" x14ac:dyDescent="0.4">
      <c r="J18" s="19" t="s">
        <v>378</v>
      </c>
      <c r="K18" s="19">
        <v>4</v>
      </c>
      <c r="L18" s="19">
        <v>2424363467100135</v>
      </c>
      <c r="M18" s="19"/>
      <c r="N18" s="19"/>
      <c r="O18" s="19"/>
    </row>
    <row r="19" spans="2:18" ht="15" thickBot="1" x14ac:dyDescent="0.4"/>
    <row r="20" spans="2:18" x14ac:dyDescent="0.35">
      <c r="J20" s="34"/>
      <c r="K20" s="34" t="s">
        <v>385</v>
      </c>
      <c r="L20" s="34" t="s">
        <v>373</v>
      </c>
      <c r="M20" s="34" t="s">
        <v>386</v>
      </c>
      <c r="N20" s="34" t="s">
        <v>387</v>
      </c>
      <c r="O20" s="34" t="s">
        <v>388</v>
      </c>
      <c r="P20" s="34" t="s">
        <v>389</v>
      </c>
      <c r="Q20" s="34" t="s">
        <v>390</v>
      </c>
      <c r="R20" s="34" t="s">
        <v>391</v>
      </c>
    </row>
    <row r="21" spans="2:18" x14ac:dyDescent="0.35">
      <c r="J21" t="s">
        <v>379</v>
      </c>
      <c r="K21">
        <v>359580937.98708844</v>
      </c>
      <c r="L21">
        <v>4451573.6549501251</v>
      </c>
      <c r="M21">
        <v>80.776140272830588</v>
      </c>
      <c r="N21">
        <v>7.880882276034824E-3</v>
      </c>
      <c r="O21">
        <v>303018331.72913063</v>
      </c>
      <c r="P21">
        <v>416143544.24504626</v>
      </c>
      <c r="Q21">
        <v>303018331.72913063</v>
      </c>
      <c r="R21">
        <v>416143544.24504626</v>
      </c>
    </row>
    <row r="22" spans="2:18" x14ac:dyDescent="0.35">
      <c r="J22" t="s">
        <v>528</v>
      </c>
      <c r="K22">
        <v>144938310.95967576</v>
      </c>
      <c r="L22">
        <v>1520777.8615484764</v>
      </c>
      <c r="M22">
        <v>95.305379322196103</v>
      </c>
      <c r="N22">
        <v>6.679543334111292E-3</v>
      </c>
      <c r="O22">
        <v>125614996.09259887</v>
      </c>
      <c r="P22">
        <v>164261625.82675266</v>
      </c>
      <c r="Q22">
        <v>125614996.09259887</v>
      </c>
      <c r="R22">
        <v>164261625.82675266</v>
      </c>
    </row>
    <row r="23" spans="2:18" x14ac:dyDescent="0.35">
      <c r="J23" t="s">
        <v>529</v>
      </c>
      <c r="K23">
        <v>345798763.78795904</v>
      </c>
      <c r="L23">
        <v>3500078.6173321833</v>
      </c>
      <c r="M23">
        <v>98.79742759936417</v>
      </c>
      <c r="N23">
        <v>6.4434676971766762E-3</v>
      </c>
      <c r="O23">
        <v>301326048.28342903</v>
      </c>
      <c r="P23">
        <v>390271479.29248905</v>
      </c>
      <c r="Q23">
        <v>301326048.28342903</v>
      </c>
      <c r="R23">
        <v>390271479.29248905</v>
      </c>
    </row>
    <row r="24" spans="2:18" ht="15" thickBot="1" x14ac:dyDescent="0.4">
      <c r="J24" s="19" t="s">
        <v>530</v>
      </c>
      <c r="K24" s="19">
        <v>-11321463526.191164</v>
      </c>
      <c r="L24" s="19">
        <v>148433530.36774093</v>
      </c>
      <c r="M24" s="19">
        <v>-76.272951927657303</v>
      </c>
      <c r="N24" s="19">
        <v>8.3461211760462086E-3</v>
      </c>
      <c r="O24" s="19">
        <v>-13207490352.756886</v>
      </c>
      <c r="P24" s="19">
        <v>-9435436699.6254425</v>
      </c>
      <c r="Q24" s="19">
        <v>-13207490352.756886</v>
      </c>
      <c r="R24" s="19">
        <v>-9435436699.6254425</v>
      </c>
    </row>
    <row r="25" spans="2:18" ht="15" thickBot="1" x14ac:dyDescent="0.4"/>
    <row r="26" spans="2:18" ht="16" thickBot="1" x14ac:dyDescent="0.4">
      <c r="B26" s="433" t="s">
        <v>392</v>
      </c>
      <c r="C26" s="434"/>
      <c r="D26" s="434"/>
      <c r="E26" s="435"/>
    </row>
    <row r="27" spans="2:18" ht="72.5" x14ac:dyDescent="0.35">
      <c r="B27" s="37" t="s">
        <v>364</v>
      </c>
      <c r="C27" s="37" t="s">
        <v>365</v>
      </c>
      <c r="D27" s="37" t="s">
        <v>367</v>
      </c>
      <c r="E27" s="37" t="s">
        <v>366</v>
      </c>
      <c r="J27" t="s">
        <v>368</v>
      </c>
    </row>
    <row r="28" spans="2:18" ht="15" thickBot="1" x14ac:dyDescent="0.4">
      <c r="B28" s="36">
        <v>2019</v>
      </c>
      <c r="C28" s="255">
        <v>469164</v>
      </c>
      <c r="D28" s="90">
        <v>154.92001099999999</v>
      </c>
      <c r="E28" s="4">
        <v>3.1E-2</v>
      </c>
    </row>
    <row r="29" spans="2:18" x14ac:dyDescent="0.35">
      <c r="B29" s="36">
        <v>2020</v>
      </c>
      <c r="C29" s="255">
        <v>158059</v>
      </c>
      <c r="D29" s="90">
        <v>160.0795</v>
      </c>
      <c r="E29" s="4">
        <v>-8.9999999999999993E-3</v>
      </c>
      <c r="J29" s="35" t="s">
        <v>369</v>
      </c>
      <c r="K29" s="35"/>
    </row>
    <row r="30" spans="2:18" x14ac:dyDescent="0.35">
      <c r="B30" s="36">
        <v>2021</v>
      </c>
      <c r="C30" s="255">
        <v>4805957</v>
      </c>
      <c r="D30" s="90">
        <v>177.1764</v>
      </c>
      <c r="E30" s="4">
        <v>5.8000000000000003E-2</v>
      </c>
      <c r="J30" t="s">
        <v>370</v>
      </c>
      <c r="K30">
        <v>0.93022133501213333</v>
      </c>
    </row>
    <row r="31" spans="2:18" x14ac:dyDescent="0.35">
      <c r="B31" s="36">
        <v>2022</v>
      </c>
      <c r="C31" s="255">
        <v>4479059</v>
      </c>
      <c r="D31" s="90">
        <v>224.76240000000001</v>
      </c>
      <c r="E31" s="4">
        <v>6.2E-2</v>
      </c>
      <c r="J31" t="s">
        <v>371</v>
      </c>
      <c r="K31">
        <v>0.8653117321117556</v>
      </c>
    </row>
    <row r="32" spans="2:18" x14ac:dyDescent="0.35">
      <c r="B32" s="36">
        <v>2023</v>
      </c>
      <c r="C32" s="255">
        <v>7294749</v>
      </c>
      <c r="D32" s="90">
        <v>283.29610000000002</v>
      </c>
      <c r="E32" s="4">
        <v>-2E-3</v>
      </c>
      <c r="J32" t="s">
        <v>372</v>
      </c>
      <c r="K32">
        <v>0.73062346422351121</v>
      </c>
    </row>
    <row r="33" spans="2:21" x14ac:dyDescent="0.35">
      <c r="B33" s="36">
        <v>2024</v>
      </c>
      <c r="C33" s="254">
        <f>$K$43+$K$44*D33+E33*$K$45</f>
        <v>7317665.4541452993</v>
      </c>
      <c r="D33">
        <v>276</v>
      </c>
      <c r="E33" s="4">
        <v>2.52E-2</v>
      </c>
      <c r="J33" t="s">
        <v>373</v>
      </c>
      <c r="K33">
        <v>1587065.2272963312</v>
      </c>
    </row>
    <row r="34" spans="2:21" ht="15" thickBot="1" x14ac:dyDescent="0.4">
      <c r="B34" s="36">
        <v>2025</v>
      </c>
      <c r="C34" s="254">
        <f>$K$43+$K$44*D34+E34*$K$45</f>
        <v>7410021.5714749806</v>
      </c>
      <c r="D34">
        <v>274</v>
      </c>
      <c r="E34" s="4">
        <v>3.2000000000000001E-2</v>
      </c>
      <c r="J34" s="19" t="s">
        <v>374</v>
      </c>
      <c r="K34" s="19">
        <v>5</v>
      </c>
    </row>
    <row r="35" spans="2:21" x14ac:dyDescent="0.35">
      <c r="B35" s="36">
        <v>2026</v>
      </c>
      <c r="C35" s="254">
        <f>$K$43+$K$44*D35+E35*$K$45</f>
        <v>8058070.3032716857</v>
      </c>
      <c r="D35">
        <v>282</v>
      </c>
      <c r="E35" s="253">
        <v>0.04</v>
      </c>
    </row>
    <row r="36" spans="2:21" ht="15" thickBot="1" x14ac:dyDescent="0.4">
      <c r="B36" s="36">
        <v>2027</v>
      </c>
      <c r="C36" s="254">
        <f>$K$43+$K$44*D36+E36*$K$45</f>
        <v>10037893.209920056</v>
      </c>
      <c r="D36">
        <v>320</v>
      </c>
      <c r="E36" s="41">
        <v>0.04</v>
      </c>
      <c r="J36" t="s">
        <v>375</v>
      </c>
    </row>
    <row r="37" spans="2:21" x14ac:dyDescent="0.35">
      <c r="B37" s="36">
        <v>2028</v>
      </c>
      <c r="C37" s="254">
        <f>$K$43+$K$44*D37+E37*$K$45</f>
        <v>11265112.56313844</v>
      </c>
      <c r="D37">
        <v>343</v>
      </c>
      <c r="E37" s="4">
        <v>4.1000000000000002E-2</v>
      </c>
      <c r="J37" s="34"/>
      <c r="K37" s="34" t="s">
        <v>380</v>
      </c>
      <c r="L37" s="34" t="s">
        <v>381</v>
      </c>
      <c r="M37" s="34" t="s">
        <v>382</v>
      </c>
      <c r="N37" s="34" t="s">
        <v>383</v>
      </c>
      <c r="O37" s="34" t="s">
        <v>384</v>
      </c>
    </row>
    <row r="38" spans="2:21" x14ac:dyDescent="0.35">
      <c r="J38" t="s">
        <v>376</v>
      </c>
      <c r="K38">
        <v>2</v>
      </c>
      <c r="L38">
        <v>32364013412892.891</v>
      </c>
      <c r="M38">
        <v>16182006706446.445</v>
      </c>
      <c r="N38">
        <v>6.4245516382298096</v>
      </c>
      <c r="O38">
        <v>0.13468826788824434</v>
      </c>
    </row>
    <row r="39" spans="2:21" x14ac:dyDescent="0.35">
      <c r="J39" t="s">
        <v>377</v>
      </c>
      <c r="K39">
        <v>2</v>
      </c>
      <c r="L39">
        <v>5037552071386.3105</v>
      </c>
      <c r="M39">
        <v>2518776035693.1553</v>
      </c>
    </row>
    <row r="40" spans="2:21" ht="15" thickBot="1" x14ac:dyDescent="0.4">
      <c r="J40" s="19" t="s">
        <v>378</v>
      </c>
      <c r="K40" s="19">
        <v>4</v>
      </c>
      <c r="L40" s="19">
        <v>37401565484279.203</v>
      </c>
      <c r="M40" s="19"/>
      <c r="N40" s="19"/>
      <c r="O40" s="19"/>
      <c r="T40" t="s">
        <v>368</v>
      </c>
    </row>
    <row r="41" spans="2:21" ht="16" thickBot="1" x14ac:dyDescent="0.4">
      <c r="B41" s="433" t="s">
        <v>458</v>
      </c>
      <c r="C41" s="434"/>
      <c r="D41" s="434"/>
      <c r="E41" s="435"/>
    </row>
    <row r="42" spans="2:21" x14ac:dyDescent="0.35">
      <c r="B42" t="s">
        <v>364</v>
      </c>
      <c r="C42" t="s">
        <v>460</v>
      </c>
      <c r="D42" t="s">
        <v>459</v>
      </c>
      <c r="E42" t="s">
        <v>365</v>
      </c>
      <c r="F42" t="s">
        <v>363</v>
      </c>
      <c r="J42" s="34"/>
      <c r="K42" s="34" t="s">
        <v>385</v>
      </c>
      <c r="L42" s="34" t="s">
        <v>373</v>
      </c>
      <c r="M42" s="34" t="s">
        <v>386</v>
      </c>
      <c r="N42" s="34" t="s">
        <v>387</v>
      </c>
      <c r="O42" s="34" t="s">
        <v>388</v>
      </c>
      <c r="P42" s="34" t="s">
        <v>389</v>
      </c>
      <c r="Q42" s="34" t="s">
        <v>390</v>
      </c>
      <c r="R42" s="34" t="s">
        <v>391</v>
      </c>
      <c r="T42" s="35" t="s">
        <v>369</v>
      </c>
      <c r="U42" s="35"/>
    </row>
    <row r="43" spans="2:21" x14ac:dyDescent="0.35">
      <c r="B43" s="36">
        <v>2019</v>
      </c>
      <c r="C43" s="27">
        <v>17274480</v>
      </c>
      <c r="D43">
        <f>D6</f>
        <v>9.4E-2</v>
      </c>
      <c r="E43" s="90">
        <f>C28</f>
        <v>469164</v>
      </c>
      <c r="F43" s="12">
        <f>C6</f>
        <v>44223191</v>
      </c>
      <c r="J43" t="s">
        <v>379</v>
      </c>
      <c r="K43">
        <v>-7790519.2348935716</v>
      </c>
      <c r="L43">
        <v>3213427.205021413</v>
      </c>
      <c r="M43">
        <v>-2.4243646231412481</v>
      </c>
      <c r="N43">
        <v>0.13622123332061542</v>
      </c>
      <c r="O43">
        <v>-21616780.570430145</v>
      </c>
      <c r="P43">
        <v>6035742.1006430015</v>
      </c>
      <c r="Q43">
        <v>-21616780.570430145</v>
      </c>
      <c r="R43">
        <v>6035742.1006430015</v>
      </c>
      <c r="T43" t="s">
        <v>370</v>
      </c>
      <c r="U43">
        <v>0.99145480721815449</v>
      </c>
    </row>
    <row r="44" spans="2:21" x14ac:dyDescent="0.35">
      <c r="B44" s="36">
        <v>2020</v>
      </c>
      <c r="C44" s="27">
        <v>11425736</v>
      </c>
      <c r="D44">
        <f t="shared" ref="D44:D52" si="1">D7</f>
        <v>9.5000000000000001E-2</v>
      </c>
      <c r="E44" s="90">
        <f t="shared" ref="E44:E52" si="2">C29</f>
        <v>158059</v>
      </c>
      <c r="F44" s="12">
        <f t="shared" ref="F44:F52" si="3">C7</f>
        <v>42002709</v>
      </c>
      <c r="J44" t="s">
        <v>526</v>
      </c>
      <c r="K44">
        <v>52100.602806536081</v>
      </c>
      <c r="L44">
        <v>14820.41027600881</v>
      </c>
      <c r="M44">
        <v>3.5154629214871482</v>
      </c>
      <c r="N44">
        <v>7.2255700206997453E-2</v>
      </c>
      <c r="O44">
        <v>-11666.475923540231</v>
      </c>
      <c r="P44">
        <v>115867.68153661239</v>
      </c>
      <c r="Q44">
        <v>-11666.475923540231</v>
      </c>
      <c r="R44">
        <v>115867.68153661239</v>
      </c>
      <c r="T44" t="s">
        <v>371</v>
      </c>
      <c r="U44">
        <v>0.98298263475598779</v>
      </c>
    </row>
    <row r="45" spans="2:21" ht="15" thickBot="1" x14ac:dyDescent="0.4">
      <c r="B45" s="36">
        <v>2021</v>
      </c>
      <c r="C45" s="28">
        <v>31987105</v>
      </c>
      <c r="D45">
        <f t="shared" si="1"/>
        <v>9.5000000000000001E-2</v>
      </c>
      <c r="E45" s="90">
        <f t="shared" si="2"/>
        <v>4805957</v>
      </c>
      <c r="F45" s="12">
        <f t="shared" si="3"/>
        <v>77442765</v>
      </c>
      <c r="J45" s="19" t="s">
        <v>527</v>
      </c>
      <c r="K45" s="19">
        <v>28905488.668052085</v>
      </c>
      <c r="L45" s="19">
        <v>24348645.955071554</v>
      </c>
      <c r="M45" s="19">
        <v>1.1871497380753278</v>
      </c>
      <c r="N45" s="19">
        <v>0.35705868923790041</v>
      </c>
      <c r="O45" s="19">
        <v>-75858279.316239774</v>
      </c>
      <c r="P45" s="19">
        <v>133669256.65234393</v>
      </c>
      <c r="Q45" s="19">
        <v>-75858279.316239774</v>
      </c>
      <c r="R45" s="19">
        <v>133669256.65234393</v>
      </c>
      <c r="T45" t="s">
        <v>372</v>
      </c>
      <c r="U45">
        <v>0.93193053902395118</v>
      </c>
    </row>
    <row r="46" spans="2:21" x14ac:dyDescent="0.35">
      <c r="B46" s="36">
        <v>2022</v>
      </c>
      <c r="C46" s="28">
        <v>37915000</v>
      </c>
      <c r="D46">
        <f t="shared" si="1"/>
        <v>0.19900000000000001</v>
      </c>
      <c r="E46" s="90">
        <f t="shared" si="2"/>
        <v>4479059</v>
      </c>
      <c r="F46" s="12">
        <f t="shared" si="3"/>
        <v>92990439</v>
      </c>
      <c r="T46" t="s">
        <v>373</v>
      </c>
      <c r="U46">
        <v>3309539.5002977774</v>
      </c>
    </row>
    <row r="47" spans="2:21" ht="15" thickBot="1" x14ac:dyDescent="0.4">
      <c r="B47" s="36">
        <v>2023</v>
      </c>
      <c r="C47" s="28">
        <v>39839676</v>
      </c>
      <c r="D47">
        <f t="shared" si="1"/>
        <v>0.308</v>
      </c>
      <c r="E47" s="90">
        <f t="shared" si="2"/>
        <v>7294749</v>
      </c>
      <c r="F47" s="12">
        <f t="shared" si="3"/>
        <v>89862918</v>
      </c>
      <c r="T47" s="19" t="s">
        <v>374</v>
      </c>
      <c r="U47" s="19">
        <v>5</v>
      </c>
    </row>
    <row r="48" spans="2:21" x14ac:dyDescent="0.35">
      <c r="B48" s="36">
        <v>2024</v>
      </c>
      <c r="C48" s="90">
        <f>$U$56+$U$57*D48+$U$58*E48+$U$59*F48</f>
        <v>36697417.412905</v>
      </c>
      <c r="D48">
        <f t="shared" si="1"/>
        <v>0.17299999999999999</v>
      </c>
      <c r="E48" s="90">
        <f t="shared" si="2"/>
        <v>7317665.4541452993</v>
      </c>
      <c r="F48" s="12">
        <f t="shared" si="3"/>
        <v>82029147.660311937</v>
      </c>
    </row>
    <row r="49" spans="2:28" ht="15" thickBot="1" x14ac:dyDescent="0.4">
      <c r="B49" s="36">
        <v>2025</v>
      </c>
      <c r="C49" s="90">
        <f>$U$56+$U$57*D49+$U$58*E49+$U$59*F49</f>
        <v>35721180.857996635</v>
      </c>
      <c r="D49">
        <f t="shared" si="1"/>
        <v>0.1</v>
      </c>
      <c r="E49" s="90">
        <f t="shared" si="2"/>
        <v>7410021.5714749806</v>
      </c>
      <c r="F49" s="12">
        <f t="shared" si="3"/>
        <v>79460814.317109287</v>
      </c>
      <c r="T49" t="s">
        <v>375</v>
      </c>
    </row>
    <row r="50" spans="2:28" x14ac:dyDescent="0.35">
      <c r="B50" s="36">
        <v>2026</v>
      </c>
      <c r="C50" s="90">
        <f>$U$56+$U$57*D50+$U$58*E50+$U$59*F50</f>
        <v>40660204.845639035</v>
      </c>
      <c r="D50">
        <f t="shared" si="1"/>
        <v>0.08</v>
      </c>
      <c r="E50" s="90">
        <f t="shared" si="2"/>
        <v>8058070.3032716857</v>
      </c>
      <c r="F50" s="12">
        <f t="shared" si="3"/>
        <v>90649901.734410644</v>
      </c>
      <c r="T50" s="34"/>
      <c r="U50" s="34" t="s">
        <v>380</v>
      </c>
      <c r="V50" s="34" t="s">
        <v>381</v>
      </c>
      <c r="W50" s="34" t="s">
        <v>382</v>
      </c>
      <c r="X50" s="34" t="s">
        <v>383</v>
      </c>
      <c r="Y50" s="34" t="s">
        <v>384</v>
      </c>
    </row>
    <row r="51" spans="2:28" x14ac:dyDescent="0.35">
      <c r="B51" s="36">
        <v>2027</v>
      </c>
      <c r="C51" s="90">
        <f>$U$56+$U$57*D51+$U$58*E51+$U$59*F51</f>
        <v>46527573.454627998</v>
      </c>
      <c r="D51">
        <f t="shared" si="1"/>
        <v>7.0000000000000007E-2</v>
      </c>
      <c r="E51" s="90">
        <f t="shared" si="2"/>
        <v>10037893.209920056</v>
      </c>
      <c r="F51" s="12">
        <f t="shared" si="3"/>
        <v>100521982.15100497</v>
      </c>
      <c r="T51" t="s">
        <v>376</v>
      </c>
      <c r="U51">
        <v>3</v>
      </c>
      <c r="V51">
        <v>632686639104463.88</v>
      </c>
      <c r="W51">
        <v>210895546368154.63</v>
      </c>
      <c r="X51">
        <v>19.254501125977036</v>
      </c>
      <c r="Y51">
        <v>0.16562260006201118</v>
      </c>
    </row>
    <row r="52" spans="2:28" x14ac:dyDescent="0.35">
      <c r="B52" s="36">
        <v>2028</v>
      </c>
      <c r="C52" s="90">
        <f>$U$56+$U$57*D52+$U$58*E52+$U$59*F52</f>
        <v>52002921.563290641</v>
      </c>
      <c r="D52">
        <f t="shared" si="1"/>
        <v>6.4899999999999999E-2</v>
      </c>
      <c r="E52" s="90">
        <f t="shared" si="2"/>
        <v>11265112.56313844</v>
      </c>
      <c r="F52" s="12">
        <f t="shared" si="3"/>
        <v>111450059.05508977</v>
      </c>
      <c r="T52" t="s">
        <v>377</v>
      </c>
      <c r="U52">
        <v>1</v>
      </c>
      <c r="V52">
        <v>10953051704031.262</v>
      </c>
      <c r="W52">
        <v>10953051704031.262</v>
      </c>
    </row>
    <row r="53" spans="2:28" ht="15" thickBot="1" x14ac:dyDescent="0.4">
      <c r="H53" s="80"/>
      <c r="T53" s="19" t="s">
        <v>378</v>
      </c>
      <c r="U53" s="19">
        <v>4</v>
      </c>
      <c r="V53" s="19">
        <v>643639690808495.13</v>
      </c>
      <c r="W53" s="19"/>
      <c r="X53" s="19"/>
      <c r="Y53" s="19"/>
    </row>
    <row r="54" spans="2:28" ht="15" thickBot="1" x14ac:dyDescent="0.4">
      <c r="H54" s="80"/>
    </row>
    <row r="55" spans="2:28" x14ac:dyDescent="0.35">
      <c r="B55" t="s">
        <v>364</v>
      </c>
      <c r="C55">
        <v>2019</v>
      </c>
      <c r="D55">
        <v>2020</v>
      </c>
      <c r="E55">
        <v>2021</v>
      </c>
      <c r="F55">
        <v>2022</v>
      </c>
      <c r="G55">
        <v>2023</v>
      </c>
      <c r="H55">
        <v>2024</v>
      </c>
      <c r="I55">
        <v>2025</v>
      </c>
      <c r="J55">
        <v>2026</v>
      </c>
      <c r="K55">
        <v>2027</v>
      </c>
      <c r="L55">
        <v>2028</v>
      </c>
      <c r="T55" s="34"/>
      <c r="U55" s="34" t="s">
        <v>385</v>
      </c>
      <c r="V55" s="34" t="s">
        <v>373</v>
      </c>
      <c r="W55" s="34" t="s">
        <v>386</v>
      </c>
      <c r="X55" s="34" t="s">
        <v>387</v>
      </c>
      <c r="Y55" s="34" t="s">
        <v>388</v>
      </c>
      <c r="Z55" s="34" t="s">
        <v>389</v>
      </c>
      <c r="AA55" s="34" t="s">
        <v>390</v>
      </c>
      <c r="AB55" s="34" t="s">
        <v>391</v>
      </c>
    </row>
    <row r="56" spans="2:28" ht="29" x14ac:dyDescent="0.35">
      <c r="B56" s="4" t="s">
        <v>460</v>
      </c>
      <c r="C56">
        <v>17274480</v>
      </c>
      <c r="D56">
        <v>11425736</v>
      </c>
      <c r="E56">
        <v>31987105</v>
      </c>
      <c r="F56">
        <v>37915000</v>
      </c>
      <c r="G56">
        <v>39839676</v>
      </c>
      <c r="H56">
        <v>36697417.412905</v>
      </c>
      <c r="I56">
        <v>35721180.857996635</v>
      </c>
      <c r="J56">
        <v>40660204.845639035</v>
      </c>
      <c r="K56">
        <v>46527573.454627998</v>
      </c>
      <c r="L56">
        <v>52002921.563290641</v>
      </c>
      <c r="T56" t="s">
        <v>379</v>
      </c>
      <c r="U56">
        <v>-2654910.6748650111</v>
      </c>
      <c r="V56">
        <v>8514397.3827366829</v>
      </c>
      <c r="W56">
        <v>-0.31181427827739872</v>
      </c>
      <c r="X56">
        <v>0.80757528721848237</v>
      </c>
      <c r="Y56">
        <v>-110840587.02506737</v>
      </c>
      <c r="Z56">
        <v>105530765.67533736</v>
      </c>
      <c r="AA56">
        <v>-110840587.02506737</v>
      </c>
      <c r="AB56">
        <v>105530765.67533736</v>
      </c>
    </row>
    <row r="57" spans="2:28" x14ac:dyDescent="0.35">
      <c r="H57" s="80"/>
      <c r="T57" t="s">
        <v>459</v>
      </c>
      <c r="U57">
        <v>1280734.4939155073</v>
      </c>
      <c r="V57">
        <v>29041231.40249886</v>
      </c>
      <c r="W57">
        <v>4.4100557451062707E-2</v>
      </c>
      <c r="X57">
        <v>0.97194289277118906</v>
      </c>
      <c r="Y57">
        <v>-367723097.49686116</v>
      </c>
      <c r="Z57">
        <v>370284566.48469216</v>
      </c>
      <c r="AA57">
        <v>-367723097.49686116</v>
      </c>
      <c r="AB57">
        <v>370284566.48469216</v>
      </c>
    </row>
    <row r="58" spans="2:28" x14ac:dyDescent="0.35">
      <c r="H58" s="80"/>
      <c r="T58" t="s">
        <v>365</v>
      </c>
      <c r="U58">
        <v>1.065228798521054</v>
      </c>
      <c r="V58">
        <v>1.6373809839979014</v>
      </c>
      <c r="W58">
        <v>0.65056868800329204</v>
      </c>
      <c r="X58">
        <v>0.63281369612193239</v>
      </c>
      <c r="Y58">
        <v>-19.73966921527548</v>
      </c>
      <c r="Z58">
        <v>21.87012681231759</v>
      </c>
      <c r="AA58">
        <v>-19.73966921527548</v>
      </c>
      <c r="AB58">
        <v>21.87012681231759</v>
      </c>
    </row>
    <row r="59" spans="2:28" ht="15" thickBot="1" x14ac:dyDescent="0.4">
      <c r="H59" s="80"/>
      <c r="T59" s="19" t="s">
        <v>363</v>
      </c>
      <c r="U59" s="19">
        <v>0.38200778545679753</v>
      </c>
      <c r="V59" s="19">
        <v>0.17915852725890366</v>
      </c>
      <c r="W59" s="19">
        <v>2.132233342735367</v>
      </c>
      <c r="X59" s="19">
        <v>0.27917992486424603</v>
      </c>
      <c r="Y59" s="19">
        <v>-1.8944171421263696</v>
      </c>
      <c r="Z59" s="19">
        <v>2.6584327130399648</v>
      </c>
      <c r="AA59" s="19">
        <v>-1.8944171421263696</v>
      </c>
      <c r="AB59" s="19">
        <v>2.6584327130399648</v>
      </c>
    </row>
    <row r="60" spans="2:28" x14ac:dyDescent="0.35">
      <c r="H60" s="80"/>
    </row>
    <row r="61" spans="2:28" x14ac:dyDescent="0.35">
      <c r="H61" s="80"/>
    </row>
    <row r="67" spans="2:18" ht="15" thickBot="1" x14ac:dyDescent="0.4"/>
    <row r="68" spans="2:18" ht="16" thickBot="1" x14ac:dyDescent="0.4">
      <c r="B68" s="433" t="s">
        <v>463</v>
      </c>
      <c r="C68" s="434"/>
      <c r="D68" s="434"/>
      <c r="E68" s="435"/>
    </row>
    <row r="69" spans="2:18" x14ac:dyDescent="0.35">
      <c r="B69" t="s">
        <v>364</v>
      </c>
      <c r="C69" t="s">
        <v>464</v>
      </c>
      <c r="D69" t="s">
        <v>459</v>
      </c>
      <c r="E69" t="s">
        <v>365</v>
      </c>
      <c r="F69" t="s">
        <v>532</v>
      </c>
    </row>
    <row r="70" spans="2:18" x14ac:dyDescent="0.35">
      <c r="B70" s="36">
        <v>2019</v>
      </c>
      <c r="C70" s="27">
        <v>1503316</v>
      </c>
      <c r="D70">
        <f>D6</f>
        <v>9.4E-2</v>
      </c>
      <c r="E70" s="90">
        <f>C28</f>
        <v>469164</v>
      </c>
      <c r="F70" s="12">
        <f>C6</f>
        <v>44223191</v>
      </c>
      <c r="I70">
        <v>2019</v>
      </c>
      <c r="J70">
        <v>2020</v>
      </c>
      <c r="K70">
        <v>2021</v>
      </c>
      <c r="L70">
        <v>2022</v>
      </c>
      <c r="M70">
        <v>2023</v>
      </c>
      <c r="N70">
        <v>2024</v>
      </c>
      <c r="O70">
        <v>2025</v>
      </c>
      <c r="P70">
        <v>2026</v>
      </c>
      <c r="Q70">
        <v>2027</v>
      </c>
      <c r="R70">
        <v>2028</v>
      </c>
    </row>
    <row r="71" spans="2:18" x14ac:dyDescent="0.35">
      <c r="B71" s="36">
        <v>2020</v>
      </c>
      <c r="C71" s="27">
        <v>1622575</v>
      </c>
      <c r="D71">
        <f t="shared" ref="D71:D79" si="4">D7</f>
        <v>9.5000000000000001E-2</v>
      </c>
      <c r="E71" s="90">
        <f t="shared" ref="E71:E79" si="5">C29</f>
        <v>158059</v>
      </c>
      <c r="F71" s="12">
        <f t="shared" ref="F71:F79" si="6">C7</f>
        <v>42002709</v>
      </c>
      <c r="H71" t="s">
        <v>464</v>
      </c>
      <c r="I71">
        <v>1503316</v>
      </c>
      <c r="J71">
        <v>1622575</v>
      </c>
      <c r="K71">
        <v>2199965</v>
      </c>
      <c r="L71">
        <v>1828058</v>
      </c>
      <c r="M71">
        <v>2020350</v>
      </c>
      <c r="N71">
        <v>2390984.5273813982</v>
      </c>
      <c r="O71">
        <v>2599380.4959165957</v>
      </c>
      <c r="P71">
        <v>2722102.5209465185</v>
      </c>
      <c r="Q71">
        <v>3040593.0880523063</v>
      </c>
      <c r="R71">
        <v>3220688.3779029236</v>
      </c>
    </row>
    <row r="72" spans="2:18" x14ac:dyDescent="0.35">
      <c r="B72" s="36">
        <v>2021</v>
      </c>
      <c r="C72" s="28">
        <v>2199965</v>
      </c>
      <c r="D72">
        <f t="shared" si="4"/>
        <v>9.5000000000000001E-2</v>
      </c>
      <c r="E72" s="90">
        <f t="shared" si="5"/>
        <v>4805957</v>
      </c>
      <c r="F72" s="12">
        <f t="shared" si="6"/>
        <v>77442765</v>
      </c>
    </row>
    <row r="73" spans="2:18" x14ac:dyDescent="0.35">
      <c r="B73" s="36">
        <v>2022</v>
      </c>
      <c r="C73" s="28">
        <v>1828058</v>
      </c>
      <c r="D73">
        <f t="shared" si="4"/>
        <v>0.19900000000000001</v>
      </c>
      <c r="E73" s="90">
        <f t="shared" si="5"/>
        <v>4479059</v>
      </c>
      <c r="F73" s="12">
        <f t="shared" si="6"/>
        <v>92990439</v>
      </c>
    </row>
    <row r="74" spans="2:18" x14ac:dyDescent="0.35">
      <c r="B74" s="36">
        <v>2023</v>
      </c>
      <c r="C74" s="28">
        <v>2020350</v>
      </c>
      <c r="D74">
        <f t="shared" si="4"/>
        <v>0.308</v>
      </c>
      <c r="E74" s="90">
        <f t="shared" si="5"/>
        <v>7294749</v>
      </c>
      <c r="F74" s="12">
        <f t="shared" si="6"/>
        <v>89862918</v>
      </c>
    </row>
    <row r="75" spans="2:18" x14ac:dyDescent="0.35">
      <c r="B75" s="36">
        <v>2024</v>
      </c>
      <c r="C75" s="28">
        <f>$K$95+$K$96*D75+$K$97*E75+F75*$K$98</f>
        <v>2390984.5273813982</v>
      </c>
      <c r="D75">
        <f t="shared" si="4"/>
        <v>0.17299999999999999</v>
      </c>
      <c r="E75" s="90">
        <f t="shared" si="5"/>
        <v>7317665.4541452993</v>
      </c>
      <c r="F75" s="12">
        <f t="shared" si="6"/>
        <v>82029147.660311937</v>
      </c>
    </row>
    <row r="76" spans="2:18" x14ac:dyDescent="0.35">
      <c r="B76" s="36">
        <v>2025</v>
      </c>
      <c r="C76" s="28">
        <f t="shared" ref="C76:C79" si="7">$K$95+$K$96*D76+$K$97*E76+F76*$K$98</f>
        <v>2599380.4959165957</v>
      </c>
      <c r="D76">
        <f t="shared" si="4"/>
        <v>0.1</v>
      </c>
      <c r="E76" s="90">
        <f t="shared" si="5"/>
        <v>7410021.5714749806</v>
      </c>
      <c r="F76" s="12">
        <f t="shared" si="6"/>
        <v>79460814.317109287</v>
      </c>
    </row>
    <row r="77" spans="2:18" x14ac:dyDescent="0.35">
      <c r="B77" s="36">
        <v>2026</v>
      </c>
      <c r="C77" s="28">
        <f t="shared" si="7"/>
        <v>2722102.5209465185</v>
      </c>
      <c r="D77">
        <f t="shared" si="4"/>
        <v>0.08</v>
      </c>
      <c r="E77" s="90">
        <f t="shared" si="5"/>
        <v>8058070.3032716857</v>
      </c>
      <c r="F77" s="12">
        <f t="shared" si="6"/>
        <v>90649901.734410644</v>
      </c>
    </row>
    <row r="78" spans="2:18" x14ac:dyDescent="0.35">
      <c r="B78" s="36">
        <v>2027</v>
      </c>
      <c r="C78" s="28">
        <f t="shared" si="7"/>
        <v>3040593.0880523063</v>
      </c>
      <c r="D78">
        <f t="shared" si="4"/>
        <v>7.0000000000000007E-2</v>
      </c>
      <c r="E78" s="90">
        <f t="shared" si="5"/>
        <v>10037893.209920056</v>
      </c>
      <c r="F78" s="12">
        <f t="shared" si="6"/>
        <v>100521982.15100497</v>
      </c>
    </row>
    <row r="79" spans="2:18" x14ac:dyDescent="0.35">
      <c r="B79" s="36">
        <v>2028</v>
      </c>
      <c r="C79" s="28">
        <f t="shared" si="7"/>
        <v>3220688.3779029236</v>
      </c>
      <c r="D79">
        <f t="shared" si="4"/>
        <v>6.4899999999999999E-2</v>
      </c>
      <c r="E79" s="90">
        <f t="shared" si="5"/>
        <v>11265112.56313844</v>
      </c>
      <c r="F79" s="12">
        <f t="shared" si="6"/>
        <v>111450059.05508977</v>
      </c>
      <c r="J79" t="s">
        <v>368</v>
      </c>
    </row>
    <row r="80" spans="2:18" ht="15" thickBot="1" x14ac:dyDescent="0.4">
      <c r="H80" s="91"/>
    </row>
    <row r="81" spans="8:18" x14ac:dyDescent="0.35">
      <c r="H81" s="91"/>
      <c r="J81" s="35" t="s">
        <v>369</v>
      </c>
      <c r="K81" s="35"/>
    </row>
    <row r="82" spans="8:18" x14ac:dyDescent="0.35">
      <c r="H82" s="91"/>
      <c r="J82" t="s">
        <v>370</v>
      </c>
      <c r="K82">
        <v>0.97837285442725419</v>
      </c>
    </row>
    <row r="83" spans="8:18" x14ac:dyDescent="0.35">
      <c r="H83" s="91"/>
      <c r="J83" t="s">
        <v>371</v>
      </c>
      <c r="K83">
        <v>0.95721344228013316</v>
      </c>
    </row>
    <row r="84" spans="8:18" x14ac:dyDescent="0.35">
      <c r="H84" s="91"/>
      <c r="J84" t="s">
        <v>372</v>
      </c>
      <c r="K84">
        <v>0.82885376912053266</v>
      </c>
    </row>
    <row r="85" spans="8:18" x14ac:dyDescent="0.35">
      <c r="H85" s="91"/>
      <c r="J85" t="s">
        <v>373</v>
      </c>
      <c r="K85">
        <v>117511.56723427863</v>
      </c>
    </row>
    <row r="86" spans="8:18" ht="15" thickBot="1" x14ac:dyDescent="0.4">
      <c r="H86" s="91"/>
      <c r="J86" s="19" t="s">
        <v>374</v>
      </c>
      <c r="K86" s="19">
        <v>5</v>
      </c>
    </row>
    <row r="87" spans="8:18" x14ac:dyDescent="0.35">
      <c r="H87" s="91"/>
    </row>
    <row r="88" spans="8:18" ht="15" thickBot="1" x14ac:dyDescent="0.4">
      <c r="H88" s="91"/>
      <c r="J88" t="s">
        <v>375</v>
      </c>
    </row>
    <row r="89" spans="8:18" x14ac:dyDescent="0.35">
      <c r="H89" s="91"/>
      <c r="J89" s="34"/>
      <c r="K89" s="34" t="s">
        <v>380</v>
      </c>
      <c r="L89" s="34" t="s">
        <v>381</v>
      </c>
      <c r="M89" s="34" t="s">
        <v>382</v>
      </c>
      <c r="N89" s="34" t="s">
        <v>383</v>
      </c>
      <c r="O89" s="34" t="s">
        <v>384</v>
      </c>
    </row>
    <row r="90" spans="8:18" x14ac:dyDescent="0.35">
      <c r="J90" t="s">
        <v>376</v>
      </c>
      <c r="K90">
        <v>3</v>
      </c>
      <c r="L90">
        <v>308931844796.9436</v>
      </c>
      <c r="M90">
        <v>102977281598.9812</v>
      </c>
      <c r="N90">
        <v>7.457275472257928</v>
      </c>
      <c r="O90">
        <v>0.26147813028909012</v>
      </c>
    </row>
    <row r="91" spans="8:18" x14ac:dyDescent="0.35">
      <c r="J91" t="s">
        <v>377</v>
      </c>
      <c r="K91">
        <v>1</v>
      </c>
      <c r="L91">
        <v>13808968433.856386</v>
      </c>
      <c r="M91">
        <v>13808968433.856386</v>
      </c>
    </row>
    <row r="92" spans="8:18" ht="15" thickBot="1" x14ac:dyDescent="0.4">
      <c r="J92" s="19" t="s">
        <v>378</v>
      </c>
      <c r="K92" s="19">
        <v>4</v>
      </c>
      <c r="L92" s="19">
        <v>322740813230.79999</v>
      </c>
      <c r="M92" s="19"/>
      <c r="N92" s="19"/>
      <c r="O92" s="19"/>
    </row>
    <row r="93" spans="8:18" ht="15" thickBot="1" x14ac:dyDescent="0.4"/>
    <row r="94" spans="8:18" x14ac:dyDescent="0.35">
      <c r="J94" s="34"/>
      <c r="K94" s="34" t="s">
        <v>385</v>
      </c>
      <c r="L94" s="34" t="s">
        <v>373</v>
      </c>
      <c r="M94" s="34" t="s">
        <v>386</v>
      </c>
      <c r="N94" s="34" t="s">
        <v>387</v>
      </c>
      <c r="O94" s="34" t="s">
        <v>388</v>
      </c>
      <c r="P94" s="34" t="s">
        <v>389</v>
      </c>
      <c r="Q94" s="34" t="s">
        <v>390</v>
      </c>
      <c r="R94" s="34" t="s">
        <v>391</v>
      </c>
    </row>
    <row r="95" spans="8:18" x14ac:dyDescent="0.35">
      <c r="J95" t="s">
        <v>379</v>
      </c>
      <c r="K95">
        <v>1885169.7160098744</v>
      </c>
      <c r="L95">
        <v>302320.06005995808</v>
      </c>
      <c r="M95">
        <v>6.2356752497204297</v>
      </c>
      <c r="N95">
        <v>0.10123121653340758</v>
      </c>
      <c r="O95">
        <v>-1956170.8629645868</v>
      </c>
      <c r="P95">
        <v>5726510.2949843351</v>
      </c>
      <c r="Q95">
        <v>-1956170.8629645868</v>
      </c>
      <c r="R95">
        <v>5726510.2949843351</v>
      </c>
    </row>
    <row r="96" spans="8:18" x14ac:dyDescent="0.35">
      <c r="J96" t="s">
        <v>459</v>
      </c>
      <c r="K96">
        <v>-2542070.5237743021</v>
      </c>
      <c r="L96">
        <v>1031164.7938373092</v>
      </c>
      <c r="M96">
        <v>-2.4652417721850326</v>
      </c>
      <c r="N96">
        <v>0.24532699093168231</v>
      </c>
      <c r="O96">
        <v>-15644261.511006536</v>
      </c>
      <c r="P96">
        <v>10560120.463457933</v>
      </c>
      <c r="Q96">
        <v>-15644261.511006536</v>
      </c>
      <c r="R96">
        <v>10560120.463457933</v>
      </c>
    </row>
    <row r="97" spans="2:20" x14ac:dyDescent="0.35">
      <c r="J97" t="s">
        <v>365</v>
      </c>
      <c r="K97">
        <v>0.16309756052546021</v>
      </c>
      <c r="L97">
        <v>5.8138362020422003E-2</v>
      </c>
      <c r="M97">
        <v>2.8053346337512854</v>
      </c>
      <c r="N97">
        <v>0.21799229298745076</v>
      </c>
      <c r="O97">
        <v>-0.57562037033186553</v>
      </c>
      <c r="P97">
        <v>0.90181549138278594</v>
      </c>
      <c r="Q97">
        <v>-0.57562037033186553</v>
      </c>
      <c r="R97">
        <v>0.90181549138278594</v>
      </c>
    </row>
    <row r="98" spans="2:20" ht="15" thickBot="1" x14ac:dyDescent="0.4">
      <c r="J98" s="19" t="s">
        <v>532</v>
      </c>
      <c r="K98" s="19">
        <v>-3.0221010384580038E-3</v>
      </c>
      <c r="L98" s="19">
        <v>6.3613681962958069E-3</v>
      </c>
      <c r="M98" s="19">
        <v>-0.47507091952604757</v>
      </c>
      <c r="N98" s="19">
        <v>0.71765518467791023</v>
      </c>
      <c r="O98" s="19">
        <v>-8.3850947742782928E-2</v>
      </c>
      <c r="P98" s="19">
        <v>7.7806745665866928E-2</v>
      </c>
      <c r="Q98" s="19">
        <v>-8.3850947742782928E-2</v>
      </c>
      <c r="R98" s="19">
        <v>7.7806745665866928E-2</v>
      </c>
    </row>
    <row r="99" spans="2:20" ht="37.5" customHeight="1" x14ac:dyDescent="0.35">
      <c r="B99" s="432" t="s">
        <v>660</v>
      </c>
      <c r="C99" s="432"/>
      <c r="D99" s="432"/>
      <c r="E99" s="432"/>
    </row>
    <row r="100" spans="2:20" ht="29" x14ac:dyDescent="0.35">
      <c r="C100" s="4" t="s">
        <v>72</v>
      </c>
      <c r="D100" t="s">
        <v>536</v>
      </c>
      <c r="G100" t="s">
        <v>368</v>
      </c>
    </row>
    <row r="101" spans="2:20" ht="15" thickBot="1" x14ac:dyDescent="0.4">
      <c r="B101">
        <v>2019</v>
      </c>
      <c r="C101">
        <v>525</v>
      </c>
      <c r="D101" s="14">
        <f>C70</f>
        <v>1503316</v>
      </c>
      <c r="K101">
        <v>2019</v>
      </c>
      <c r="L101">
        <v>2020</v>
      </c>
      <c r="M101">
        <v>2021</v>
      </c>
      <c r="N101">
        <v>2022</v>
      </c>
      <c r="O101">
        <v>2023</v>
      </c>
      <c r="P101">
        <v>2024</v>
      </c>
      <c r="Q101">
        <v>2025</v>
      </c>
      <c r="R101">
        <v>2026</v>
      </c>
      <c r="S101">
        <v>2027</v>
      </c>
      <c r="T101">
        <v>2028</v>
      </c>
    </row>
    <row r="102" spans="2:20" x14ac:dyDescent="0.35">
      <c r="B102">
        <v>2020</v>
      </c>
      <c r="C102">
        <v>0</v>
      </c>
      <c r="D102" s="14">
        <f t="shared" ref="D102:D110" si="8">C71</f>
        <v>1622575</v>
      </c>
      <c r="G102" s="35" t="s">
        <v>369</v>
      </c>
      <c r="H102" s="35"/>
      <c r="J102" t="s">
        <v>72</v>
      </c>
      <c r="K102">
        <v>525</v>
      </c>
      <c r="L102">
        <v>0</v>
      </c>
      <c r="M102">
        <v>328</v>
      </c>
      <c r="N102">
        <v>50</v>
      </c>
      <c r="O102">
        <v>5050</v>
      </c>
      <c r="P102">
        <v>2710.6294226239283</v>
      </c>
      <c r="Q102">
        <v>3280.2211005187396</v>
      </c>
      <c r="R102">
        <v>3615.6471869386246</v>
      </c>
      <c r="S102">
        <v>4486.1514379880682</v>
      </c>
      <c r="T102">
        <v>4978.391182585814</v>
      </c>
    </row>
    <row r="103" spans="2:20" x14ac:dyDescent="0.35">
      <c r="B103">
        <v>2021</v>
      </c>
      <c r="C103">
        <v>328</v>
      </c>
      <c r="D103" s="14">
        <f t="shared" si="8"/>
        <v>2199965</v>
      </c>
      <c r="G103" t="s">
        <v>370</v>
      </c>
      <c r="H103">
        <v>0.35810945755750079</v>
      </c>
    </row>
    <row r="104" spans="2:20" x14ac:dyDescent="0.35">
      <c r="B104">
        <v>2022</v>
      </c>
      <c r="C104">
        <v>50</v>
      </c>
      <c r="D104" s="14">
        <f t="shared" si="8"/>
        <v>1828058</v>
      </c>
      <c r="G104" t="s">
        <v>371</v>
      </c>
      <c r="H104">
        <v>0.12824238359212745</v>
      </c>
    </row>
    <row r="105" spans="2:20" x14ac:dyDescent="0.35">
      <c r="B105">
        <v>2023</v>
      </c>
      <c r="C105">
        <v>5050</v>
      </c>
      <c r="D105" s="14">
        <f t="shared" si="8"/>
        <v>2020350</v>
      </c>
      <c r="G105" t="s">
        <v>372</v>
      </c>
      <c r="H105">
        <v>-0.16234348854383007</v>
      </c>
    </row>
    <row r="106" spans="2:20" x14ac:dyDescent="0.35">
      <c r="B106">
        <v>2024</v>
      </c>
      <c r="C106" s="14">
        <f>$H$116+D106*$H$117</f>
        <v>2710.6294226239283</v>
      </c>
      <c r="D106" s="14">
        <f t="shared" si="8"/>
        <v>2390984.5273813982</v>
      </c>
      <c r="G106" t="s">
        <v>373</v>
      </c>
      <c r="H106">
        <v>2337.3444796312497</v>
      </c>
    </row>
    <row r="107" spans="2:20" ht="15" thickBot="1" x14ac:dyDescent="0.4">
      <c r="B107">
        <v>2025</v>
      </c>
      <c r="C107" s="14">
        <f t="shared" ref="C107:C110" si="9">$H$116+D107*$H$117</f>
        <v>3280.2211005187396</v>
      </c>
      <c r="D107" s="14">
        <f t="shared" si="8"/>
        <v>2599380.4959165957</v>
      </c>
      <c r="G107" s="19" t="s">
        <v>374</v>
      </c>
      <c r="H107" s="19">
        <v>5</v>
      </c>
    </row>
    <row r="108" spans="2:20" x14ac:dyDescent="0.35">
      <c r="B108">
        <v>2026</v>
      </c>
      <c r="C108" s="14">
        <f t="shared" si="9"/>
        <v>3615.6471869386246</v>
      </c>
      <c r="D108" s="14">
        <f t="shared" si="8"/>
        <v>2722102.5209465185</v>
      </c>
    </row>
    <row r="109" spans="2:20" ht="15" thickBot="1" x14ac:dyDescent="0.4">
      <c r="B109">
        <v>2027</v>
      </c>
      <c r="C109" s="14">
        <f t="shared" si="9"/>
        <v>4486.1514379880682</v>
      </c>
      <c r="D109" s="14">
        <f t="shared" si="8"/>
        <v>3040593.0880523063</v>
      </c>
      <c r="G109" t="s">
        <v>375</v>
      </c>
    </row>
    <row r="110" spans="2:20" x14ac:dyDescent="0.35">
      <c r="B110">
        <v>2028</v>
      </c>
      <c r="C110" s="14">
        <f t="shared" si="9"/>
        <v>4978.391182585814</v>
      </c>
      <c r="D110" s="14">
        <f t="shared" si="8"/>
        <v>3220688.3779029236</v>
      </c>
      <c r="G110" s="34"/>
      <c r="H110" s="34" t="s">
        <v>380</v>
      </c>
      <c r="I110" s="34" t="s">
        <v>381</v>
      </c>
      <c r="J110" s="34" t="s">
        <v>382</v>
      </c>
      <c r="K110" s="34" t="s">
        <v>383</v>
      </c>
      <c r="L110" s="34" t="s">
        <v>384</v>
      </c>
    </row>
    <row r="111" spans="2:20" x14ac:dyDescent="0.35">
      <c r="G111" t="s">
        <v>376</v>
      </c>
      <c r="H111">
        <v>1</v>
      </c>
      <c r="I111">
        <v>2411029.5506119691</v>
      </c>
      <c r="J111">
        <v>2411029.5506119691</v>
      </c>
      <c r="K111">
        <v>0.44132353252234569</v>
      </c>
      <c r="L111">
        <v>0.55398305790201086</v>
      </c>
    </row>
    <row r="112" spans="2:20" x14ac:dyDescent="0.35">
      <c r="G112" t="s">
        <v>377</v>
      </c>
      <c r="H112">
        <v>3</v>
      </c>
      <c r="I112">
        <v>16389537.64938803</v>
      </c>
      <c r="J112">
        <v>5463179.2164626764</v>
      </c>
    </row>
    <row r="113" spans="2:19" ht="15" thickBot="1" x14ac:dyDescent="0.4">
      <c r="G113" s="19" t="s">
        <v>378</v>
      </c>
      <c r="H113" s="19">
        <v>4</v>
      </c>
      <c r="I113" s="19">
        <v>18800567.199999999</v>
      </c>
      <c r="J113" s="19"/>
      <c r="K113" s="19"/>
      <c r="L113" s="19"/>
    </row>
    <row r="114" spans="2:19" ht="15" thickBot="1" x14ac:dyDescent="0.4"/>
    <row r="115" spans="2:19" x14ac:dyDescent="0.35">
      <c r="G115" s="34"/>
      <c r="H115" s="34" t="s">
        <v>385</v>
      </c>
      <c r="I115" s="34" t="s">
        <v>373</v>
      </c>
      <c r="J115" s="34" t="s">
        <v>386</v>
      </c>
      <c r="K115" s="34" t="s">
        <v>387</v>
      </c>
      <c r="L115" s="34" t="s">
        <v>388</v>
      </c>
      <c r="M115" s="34" t="s">
        <v>389</v>
      </c>
      <c r="N115" s="34" t="s">
        <v>390</v>
      </c>
      <c r="O115" s="34" t="s">
        <v>391</v>
      </c>
    </row>
    <row r="116" spans="2:19" x14ac:dyDescent="0.35">
      <c r="G116" t="s">
        <v>379</v>
      </c>
      <c r="H116">
        <v>-3824.4532776044357</v>
      </c>
      <c r="I116">
        <v>7621.1565329333771</v>
      </c>
      <c r="J116">
        <v>-0.50182059128136114</v>
      </c>
      <c r="K116">
        <v>0.65030825519555346</v>
      </c>
      <c r="L116">
        <v>-28078.374727827064</v>
      </c>
      <c r="M116">
        <v>20429.468172618192</v>
      </c>
      <c r="N116">
        <v>-28078.374727827064</v>
      </c>
      <c r="O116">
        <v>20429.468172618192</v>
      </c>
    </row>
    <row r="117" spans="2:19" ht="15" thickBot="1" x14ac:dyDescent="0.4">
      <c r="G117" s="19" t="s">
        <v>536</v>
      </c>
      <c r="H117" s="19">
        <v>2.733218314626893E-3</v>
      </c>
      <c r="I117" s="19">
        <v>4.1142983285130602E-3</v>
      </c>
      <c r="J117" s="19">
        <v>0.66432185913331654</v>
      </c>
      <c r="K117" s="19">
        <v>0.5539830579020113</v>
      </c>
      <c r="L117" s="19">
        <v>-1.0360315199784436E-2</v>
      </c>
      <c r="M117" s="19">
        <v>1.582675182903822E-2</v>
      </c>
      <c r="N117" s="19">
        <v>-1.0360315199784436E-2</v>
      </c>
      <c r="O117" s="19">
        <v>1.582675182903822E-2</v>
      </c>
    </row>
    <row r="119" spans="2:19" ht="130.5" x14ac:dyDescent="0.35">
      <c r="C119" s="165" t="s">
        <v>78</v>
      </c>
      <c r="D119" t="s">
        <v>457</v>
      </c>
      <c r="F119" t="s">
        <v>368</v>
      </c>
    </row>
    <row r="120" spans="2:19" ht="15" thickBot="1" x14ac:dyDescent="0.4">
      <c r="B120">
        <v>2019</v>
      </c>
      <c r="C120">
        <v>495945</v>
      </c>
      <c r="D120">
        <v>37836632</v>
      </c>
    </row>
    <row r="121" spans="2:19" x14ac:dyDescent="0.35">
      <c r="B121">
        <v>2020</v>
      </c>
      <c r="C121">
        <v>55015</v>
      </c>
      <c r="D121">
        <v>35331398</v>
      </c>
      <c r="F121" s="35" t="s">
        <v>369</v>
      </c>
      <c r="G121" s="35"/>
      <c r="O121" s="170"/>
    </row>
    <row r="122" spans="2:19" x14ac:dyDescent="0.35">
      <c r="B122">
        <v>2021</v>
      </c>
      <c r="C122">
        <v>750943</v>
      </c>
      <c r="D122">
        <v>70019594</v>
      </c>
      <c r="F122" t="s">
        <v>370</v>
      </c>
      <c r="G122">
        <v>0.74469558413082448</v>
      </c>
      <c r="J122">
        <v>2019</v>
      </c>
      <c r="K122">
        <v>2020</v>
      </c>
      <c r="L122">
        <v>2021</v>
      </c>
      <c r="M122">
        <v>2022</v>
      </c>
      <c r="N122">
        <v>2023</v>
      </c>
      <c r="O122">
        <v>2024</v>
      </c>
      <c r="P122">
        <v>2025</v>
      </c>
      <c r="Q122">
        <v>2026</v>
      </c>
      <c r="R122">
        <v>2027</v>
      </c>
      <c r="S122">
        <v>2028</v>
      </c>
    </row>
    <row r="123" spans="2:19" x14ac:dyDescent="0.35">
      <c r="B123">
        <v>2022</v>
      </c>
      <c r="C123">
        <v>633394</v>
      </c>
      <c r="D123">
        <v>82059583</v>
      </c>
      <c r="F123" t="s">
        <v>371</v>
      </c>
      <c r="G123">
        <v>0.55457151302394991</v>
      </c>
      <c r="I123" t="s">
        <v>78</v>
      </c>
      <c r="J123">
        <v>495945</v>
      </c>
      <c r="K123">
        <v>55015</v>
      </c>
      <c r="L123">
        <v>750943</v>
      </c>
      <c r="M123">
        <v>633394</v>
      </c>
      <c r="N123">
        <v>1563865</v>
      </c>
      <c r="O123">
        <v>956848.47327635123</v>
      </c>
      <c r="P123">
        <v>920682.12880195107</v>
      </c>
      <c r="Q123">
        <v>1097829.7787759253</v>
      </c>
      <c r="R123">
        <v>1279194.9113531625</v>
      </c>
      <c r="S123">
        <v>1462881.7259333795</v>
      </c>
    </row>
    <row r="124" spans="2:19" x14ac:dyDescent="0.35">
      <c r="B124">
        <v>2023</v>
      </c>
      <c r="C124">
        <v>1563865</v>
      </c>
      <c r="D124">
        <v>81224448</v>
      </c>
      <c r="F124" t="s">
        <v>372</v>
      </c>
      <c r="G124">
        <v>0.40609535069859987</v>
      </c>
    </row>
    <row r="125" spans="2:19" x14ac:dyDescent="0.35">
      <c r="B125">
        <v>2024</v>
      </c>
      <c r="C125" s="90">
        <f>$G$135+$G$136*D125</f>
        <v>956848.47327635123</v>
      </c>
      <c r="D125">
        <v>75765225.78006798</v>
      </c>
      <c r="F125" t="s">
        <v>373</v>
      </c>
      <c r="G125">
        <v>424022.95057654427</v>
      </c>
    </row>
    <row r="126" spans="2:19" ht="15" thickBot="1" x14ac:dyDescent="0.4">
      <c r="B126">
        <v>2025</v>
      </c>
      <c r="C126" s="90">
        <f t="shared" ref="C126:C129" si="10">$G$135+$G$136*D126</f>
        <v>920682.12880195107</v>
      </c>
      <c r="D126">
        <v>73728935.369133234</v>
      </c>
      <c r="F126" s="19" t="s">
        <v>374</v>
      </c>
      <c r="G126" s="19">
        <v>5</v>
      </c>
    </row>
    <row r="127" spans="2:19" x14ac:dyDescent="0.35">
      <c r="B127">
        <v>2026</v>
      </c>
      <c r="C127" s="90">
        <f t="shared" si="10"/>
        <v>1097829.7787759253</v>
      </c>
      <c r="D127">
        <v>83702961.39260827</v>
      </c>
    </row>
    <row r="128" spans="2:19" ht="15" thickBot="1" x14ac:dyDescent="0.4">
      <c r="B128">
        <v>2027</v>
      </c>
      <c r="C128" s="90">
        <f t="shared" si="10"/>
        <v>1279194.9113531625</v>
      </c>
      <c r="D128">
        <v>93914446.288637787</v>
      </c>
      <c r="F128" t="s">
        <v>375</v>
      </c>
    </row>
    <row r="129" spans="2:21" x14ac:dyDescent="0.35">
      <c r="B129">
        <v>2028</v>
      </c>
      <c r="C129" s="90">
        <f t="shared" si="10"/>
        <v>1462881.7259333795</v>
      </c>
      <c r="D129">
        <v>104256649.91968499</v>
      </c>
      <c r="F129" s="34"/>
      <c r="G129" s="34" t="s">
        <v>380</v>
      </c>
      <c r="H129" s="34" t="s">
        <v>381</v>
      </c>
      <c r="I129" s="34" t="s">
        <v>382</v>
      </c>
      <c r="J129" s="34" t="s">
        <v>383</v>
      </c>
      <c r="K129" s="34" t="s">
        <v>384</v>
      </c>
    </row>
    <row r="130" spans="2:21" x14ac:dyDescent="0.35">
      <c r="F130" t="s">
        <v>376</v>
      </c>
      <c r="G130">
        <v>1</v>
      </c>
      <c r="H130">
        <v>671551851664.28442</v>
      </c>
      <c r="I130">
        <v>671551851664.28442</v>
      </c>
      <c r="J130">
        <v>3.7350878709320288</v>
      </c>
      <c r="K130">
        <v>0.14878102846771502</v>
      </c>
    </row>
    <row r="131" spans="2:21" x14ac:dyDescent="0.35">
      <c r="F131" t="s">
        <v>377</v>
      </c>
      <c r="G131">
        <v>3</v>
      </c>
      <c r="H131">
        <v>539386387846.91553</v>
      </c>
      <c r="I131">
        <v>179795462615.63852</v>
      </c>
    </row>
    <row r="132" spans="2:21" ht="15" thickBot="1" x14ac:dyDescent="0.4">
      <c r="F132" s="19" t="s">
        <v>378</v>
      </c>
      <c r="G132" s="19">
        <v>4</v>
      </c>
      <c r="H132" s="19">
        <v>1210938239511.2</v>
      </c>
      <c r="I132" s="19"/>
      <c r="J132" s="19"/>
      <c r="K132" s="19"/>
    </row>
    <row r="133" spans="2:21" ht="15" thickBot="1" x14ac:dyDescent="0.4"/>
    <row r="134" spans="2:21" x14ac:dyDescent="0.35">
      <c r="F134" s="34"/>
      <c r="G134" s="34" t="s">
        <v>385</v>
      </c>
      <c r="H134" s="34" t="s">
        <v>373</v>
      </c>
      <c r="I134" s="34" t="s">
        <v>386</v>
      </c>
      <c r="J134" s="34" t="s">
        <v>387</v>
      </c>
      <c r="K134" s="34" t="s">
        <v>388</v>
      </c>
      <c r="L134" s="34" t="s">
        <v>389</v>
      </c>
      <c r="M134" s="34" t="s">
        <v>390</v>
      </c>
      <c r="N134" s="34" t="s">
        <v>391</v>
      </c>
    </row>
    <row r="135" spans="2:21" x14ac:dyDescent="0.35">
      <c r="F135" t="s">
        <v>379</v>
      </c>
      <c r="G135">
        <v>-388809.90630850627</v>
      </c>
      <c r="H135">
        <v>594355.7366579161</v>
      </c>
      <c r="I135">
        <v>-0.65417036015299268</v>
      </c>
      <c r="J135">
        <v>0.55967640875382341</v>
      </c>
      <c r="K135">
        <v>-2280315.1244596685</v>
      </c>
      <c r="L135">
        <v>1502695.3118426562</v>
      </c>
      <c r="M135">
        <v>-2280315.1244596685</v>
      </c>
      <c r="N135">
        <v>1502695.3118426562</v>
      </c>
    </row>
    <row r="136" spans="2:21" ht="15" thickBot="1" x14ac:dyDescent="0.4">
      <c r="F136" s="19" t="s">
        <v>457</v>
      </c>
      <c r="G136" s="19">
        <v>1.7760897109856802E-2</v>
      </c>
      <c r="H136" s="19">
        <v>9.1899783165154108E-3</v>
      </c>
      <c r="I136" s="19">
        <v>1.9326375425650895</v>
      </c>
      <c r="J136" s="19">
        <v>0.1487810284677151</v>
      </c>
      <c r="K136" s="19">
        <v>-1.1485715429175068E-2</v>
      </c>
      <c r="L136" s="19">
        <v>4.7007509648888668E-2</v>
      </c>
      <c r="M136" s="19">
        <v>-1.1485715429175068E-2</v>
      </c>
      <c r="N136" s="19">
        <v>4.7007509648888668E-2</v>
      </c>
    </row>
    <row r="138" spans="2:21" x14ac:dyDescent="0.35">
      <c r="B138" t="s">
        <v>364</v>
      </c>
      <c r="C138" s="5" t="s">
        <v>658</v>
      </c>
      <c r="D138" t="str">
        <f>D5</f>
        <v>CPI Inflation</v>
      </c>
      <c r="E138" t="str">
        <f>D27</f>
        <v>Pak rupee per Usdollar</v>
      </c>
    </row>
    <row r="139" spans="2:21" x14ac:dyDescent="0.35">
      <c r="B139">
        <v>2019</v>
      </c>
      <c r="C139">
        <v>6299932</v>
      </c>
      <c r="D139">
        <f t="shared" ref="D139:D148" si="11">D6</f>
        <v>9.4E-2</v>
      </c>
      <c r="E139">
        <f t="shared" ref="E139:E148" si="12">D28</f>
        <v>154.92001099999999</v>
      </c>
    </row>
    <row r="140" spans="2:21" x14ac:dyDescent="0.35">
      <c r="B140">
        <v>2020</v>
      </c>
      <c r="C140">
        <v>5033762</v>
      </c>
      <c r="D140">
        <f t="shared" si="11"/>
        <v>9.5000000000000001E-2</v>
      </c>
      <c r="E140">
        <f t="shared" si="12"/>
        <v>160.0795</v>
      </c>
      <c r="H140" t="s">
        <v>368</v>
      </c>
    </row>
    <row r="141" spans="2:21" ht="15" thickBot="1" x14ac:dyDescent="0.4">
      <c r="B141">
        <v>2021</v>
      </c>
      <c r="C141">
        <v>7159270</v>
      </c>
      <c r="D141">
        <f t="shared" si="11"/>
        <v>9.5000000000000001E-2</v>
      </c>
      <c r="E141">
        <f t="shared" si="12"/>
        <v>177.1764</v>
      </c>
      <c r="K141" t="s">
        <v>364</v>
      </c>
      <c r="L141">
        <v>2019</v>
      </c>
      <c r="M141">
        <v>2020</v>
      </c>
      <c r="N141">
        <v>2021</v>
      </c>
      <c r="O141">
        <v>2022</v>
      </c>
      <c r="P141">
        <v>2023</v>
      </c>
      <c r="Q141">
        <v>2024</v>
      </c>
      <c r="R141">
        <v>2025</v>
      </c>
      <c r="S141">
        <v>2026</v>
      </c>
      <c r="T141">
        <v>2027</v>
      </c>
      <c r="U141">
        <v>2028</v>
      </c>
    </row>
    <row r="142" spans="2:21" x14ac:dyDescent="0.35">
      <c r="B142">
        <v>2022</v>
      </c>
      <c r="C142">
        <v>8557549</v>
      </c>
      <c r="D142">
        <f t="shared" si="11"/>
        <v>0.19900000000000001</v>
      </c>
      <c r="E142">
        <f t="shared" si="12"/>
        <v>224.76240000000001</v>
      </c>
      <c r="H142" s="35" t="s">
        <v>369</v>
      </c>
      <c r="I142" s="35"/>
      <c r="K142" t="s">
        <v>658</v>
      </c>
      <c r="L142">
        <v>6299932</v>
      </c>
      <c r="M142">
        <v>5033762</v>
      </c>
      <c r="N142">
        <v>7159270</v>
      </c>
      <c r="O142">
        <v>8557549</v>
      </c>
      <c r="P142">
        <v>11856064</v>
      </c>
      <c r="Q142">
        <v>12104006.477978462</v>
      </c>
      <c r="R142">
        <v>12458277.820002416</v>
      </c>
      <c r="S142">
        <v>13052562.23185369</v>
      </c>
      <c r="T142">
        <v>15327443.857071919</v>
      </c>
      <c r="U142">
        <v>16698204.565281425</v>
      </c>
    </row>
    <row r="143" spans="2:21" x14ac:dyDescent="0.35">
      <c r="B143">
        <v>2023</v>
      </c>
      <c r="C143">
        <v>11856064</v>
      </c>
      <c r="D143">
        <f t="shared" si="11"/>
        <v>0.308</v>
      </c>
      <c r="E143">
        <f t="shared" si="12"/>
        <v>283.29610000000002</v>
      </c>
      <c r="H143" t="s">
        <v>370</v>
      </c>
      <c r="I143">
        <v>0.97198823562572201</v>
      </c>
    </row>
    <row r="144" spans="2:21" x14ac:dyDescent="0.35">
      <c r="B144">
        <v>2024</v>
      </c>
      <c r="C144">
        <f>$I$156+$I$157*D144+E144*$I$158</f>
        <v>12104006.477978462</v>
      </c>
      <c r="D144">
        <f t="shared" si="11"/>
        <v>0.17299999999999999</v>
      </c>
      <c r="E144">
        <f t="shared" si="12"/>
        <v>276</v>
      </c>
      <c r="H144" t="s">
        <v>371</v>
      </c>
      <c r="I144">
        <v>0.94476113019480412</v>
      </c>
    </row>
    <row r="145" spans="2:16" x14ac:dyDescent="0.35">
      <c r="B145">
        <v>2025</v>
      </c>
      <c r="C145">
        <f t="shared" ref="C145:C148" si="13">$I$156+$I$157*D145+E145*$I$158</f>
        <v>12458277.820002416</v>
      </c>
      <c r="D145">
        <f t="shared" si="11"/>
        <v>0.1</v>
      </c>
      <c r="E145">
        <f t="shared" si="12"/>
        <v>274</v>
      </c>
      <c r="H145" t="s">
        <v>372</v>
      </c>
      <c r="I145">
        <v>0.88952226038960824</v>
      </c>
    </row>
    <row r="146" spans="2:16" x14ac:dyDescent="0.35">
      <c r="B146">
        <v>2026</v>
      </c>
      <c r="C146">
        <f t="shared" si="13"/>
        <v>13052562.23185369</v>
      </c>
      <c r="D146">
        <f t="shared" si="11"/>
        <v>0.08</v>
      </c>
      <c r="E146">
        <f t="shared" si="12"/>
        <v>282</v>
      </c>
      <c r="H146" t="s">
        <v>373</v>
      </c>
      <c r="I146">
        <v>868919.7264787301</v>
      </c>
    </row>
    <row r="147" spans="2:16" ht="15" thickBot="1" x14ac:dyDescent="0.4">
      <c r="B147">
        <v>2027</v>
      </c>
      <c r="C147">
        <f t="shared" si="13"/>
        <v>15327443.857071919</v>
      </c>
      <c r="D147">
        <f t="shared" si="11"/>
        <v>7.0000000000000007E-2</v>
      </c>
      <c r="E147">
        <f t="shared" si="12"/>
        <v>320</v>
      </c>
      <c r="H147" s="19" t="s">
        <v>374</v>
      </c>
      <c r="I147" s="19">
        <v>5</v>
      </c>
    </row>
    <row r="148" spans="2:16" x14ac:dyDescent="0.35">
      <c r="B148">
        <v>2028</v>
      </c>
      <c r="C148">
        <f t="shared" si="13"/>
        <v>16698204.565281425</v>
      </c>
      <c r="D148">
        <f t="shared" si="11"/>
        <v>6.4899999999999999E-2</v>
      </c>
      <c r="E148">
        <f t="shared" si="12"/>
        <v>343</v>
      </c>
    </row>
    <row r="149" spans="2:16" ht="15" thickBot="1" x14ac:dyDescent="0.4">
      <c r="H149" t="s">
        <v>375</v>
      </c>
    </row>
    <row r="150" spans="2:16" x14ac:dyDescent="0.35">
      <c r="H150" s="34"/>
      <c r="I150" s="34" t="s">
        <v>380</v>
      </c>
      <c r="J150" s="34" t="s">
        <v>381</v>
      </c>
      <c r="K150" s="34" t="s">
        <v>382</v>
      </c>
      <c r="L150" s="34" t="s">
        <v>383</v>
      </c>
      <c r="M150" s="34" t="s">
        <v>384</v>
      </c>
    </row>
    <row r="151" spans="2:16" x14ac:dyDescent="0.35">
      <c r="H151" t="s">
        <v>376</v>
      </c>
      <c r="I151">
        <v>2</v>
      </c>
      <c r="J151">
        <v>25826558716151.457</v>
      </c>
      <c r="K151">
        <v>12913279358075.729</v>
      </c>
      <c r="L151">
        <v>17.10319442679722</v>
      </c>
      <c r="M151">
        <v>5.5238869805195913E-2</v>
      </c>
    </row>
    <row r="152" spans="2:16" x14ac:dyDescent="0.35">
      <c r="H152" t="s">
        <v>377</v>
      </c>
      <c r="I152">
        <v>2</v>
      </c>
      <c r="J152">
        <v>1510042982127.7424</v>
      </c>
      <c r="K152">
        <v>755021491063.87122</v>
      </c>
    </row>
    <row r="153" spans="2:16" ht="15" thickBot="1" x14ac:dyDescent="0.4">
      <c r="H153" s="19" t="s">
        <v>378</v>
      </c>
      <c r="I153" s="19">
        <v>4</v>
      </c>
      <c r="J153" s="19">
        <v>27336601698279.199</v>
      </c>
      <c r="K153" s="19"/>
      <c r="L153" s="19"/>
      <c r="M153" s="19"/>
    </row>
    <row r="154" spans="2:16" ht="15" thickBot="1" x14ac:dyDescent="0.4"/>
    <row r="155" spans="2:16" x14ac:dyDescent="0.35">
      <c r="H155" s="34"/>
      <c r="I155" s="34" t="s">
        <v>385</v>
      </c>
      <c r="J155" s="34" t="s">
        <v>373</v>
      </c>
      <c r="K155" s="34" t="s">
        <v>386</v>
      </c>
      <c r="L155" s="34" t="s">
        <v>387</v>
      </c>
      <c r="M155" s="34" t="s">
        <v>388</v>
      </c>
      <c r="N155" s="34" t="s">
        <v>389</v>
      </c>
      <c r="O155" s="34" t="s">
        <v>390</v>
      </c>
      <c r="P155" s="34" t="s">
        <v>391</v>
      </c>
    </row>
    <row r="156" spans="2:16" x14ac:dyDescent="0.35">
      <c r="H156" t="s">
        <v>379</v>
      </c>
      <c r="I156">
        <v>-2835305.3459727746</v>
      </c>
      <c r="J156">
        <v>5982457.1799439127</v>
      </c>
      <c r="K156">
        <v>-0.47393658837677738</v>
      </c>
      <c r="L156">
        <v>0.68224476044324367</v>
      </c>
      <c r="M156">
        <v>-28575741.061867729</v>
      </c>
      <c r="N156">
        <v>22905130.369922176</v>
      </c>
      <c r="O156">
        <v>-28575741.061867729</v>
      </c>
      <c r="P156">
        <v>22905130.369922176</v>
      </c>
    </row>
    <row r="157" spans="2:16" x14ac:dyDescent="0.35">
      <c r="H157" t="s">
        <v>528</v>
      </c>
      <c r="I157">
        <v>-6446698.012650921</v>
      </c>
      <c r="J157">
        <v>30298656.322068136</v>
      </c>
      <c r="K157">
        <v>-0.21277174618319444</v>
      </c>
      <c r="L157">
        <v>0.85122209433312412</v>
      </c>
      <c r="M157">
        <v>-136811294.34453821</v>
      </c>
      <c r="N157">
        <v>123917898.31923638</v>
      </c>
      <c r="O157">
        <v>-136811294.34453821</v>
      </c>
      <c r="P157">
        <v>123917898.31923638</v>
      </c>
    </row>
    <row r="158" spans="2:16" ht="15" thickBot="1" x14ac:dyDescent="0.4">
      <c r="H158" s="19" t="s">
        <v>367</v>
      </c>
      <c r="I158" s="19">
        <v>58168.806449782052</v>
      </c>
      <c r="J158" s="19">
        <v>53309.839212021572</v>
      </c>
      <c r="K158" s="19">
        <v>1.0911457867737249</v>
      </c>
      <c r="L158" s="19">
        <v>0.3891330077454993</v>
      </c>
      <c r="M158" s="19">
        <v>-171204.91875832758</v>
      </c>
      <c r="N158" s="19">
        <v>287542.5316578917</v>
      </c>
      <c r="O158" s="19">
        <v>-171204.91875832758</v>
      </c>
      <c r="P158" s="19">
        <v>287542.5316578917</v>
      </c>
    </row>
  </sheetData>
  <mergeCells count="5">
    <mergeCell ref="B99:E99"/>
    <mergeCell ref="B4:F4"/>
    <mergeCell ref="B26:E26"/>
    <mergeCell ref="B41:E41"/>
    <mergeCell ref="B68:E6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3CE2-1B3A-4DF1-BD40-741388961DE8}">
  <dimension ref="A2:BV228"/>
  <sheetViews>
    <sheetView topLeftCell="A198" zoomScale="60" workbookViewId="0">
      <selection activeCell="N223" sqref="N223"/>
    </sheetView>
  </sheetViews>
  <sheetFormatPr defaultRowHeight="14.5" x14ac:dyDescent="0.35"/>
  <cols>
    <col min="1" max="1" width="19.7265625" customWidth="1"/>
    <col min="4" max="4" width="13.453125" customWidth="1"/>
    <col min="5" max="5" width="21" customWidth="1"/>
    <col min="6" max="6" width="19.1796875" customWidth="1"/>
    <col min="7" max="7" width="14.1796875" customWidth="1"/>
    <col min="8" max="8" width="13.7265625" customWidth="1"/>
    <col min="9" max="9" width="17" customWidth="1"/>
    <col min="10" max="10" width="17.90625" customWidth="1"/>
    <col min="11" max="11" width="19.26953125" customWidth="1"/>
    <col min="12" max="12" width="18.7265625" customWidth="1"/>
    <col min="13" max="13" width="23.6328125" customWidth="1"/>
    <col min="14" max="14" width="18.26953125" customWidth="1"/>
    <col min="15" max="15" width="20.26953125" customWidth="1"/>
    <col min="16" max="16" width="13.7265625" customWidth="1"/>
    <col min="17" max="17" width="15.26953125" customWidth="1"/>
    <col min="18" max="18" width="12.81640625" customWidth="1"/>
    <col min="30" max="30" width="15.81640625" customWidth="1"/>
    <col min="40" max="40" width="16.26953125" customWidth="1"/>
    <col min="41" max="41" width="18.7265625" customWidth="1"/>
    <col min="46" max="46" width="14" customWidth="1"/>
  </cols>
  <sheetData>
    <row r="2" spans="1:17" ht="14.5" customHeight="1" x14ac:dyDescent="0.35">
      <c r="A2" s="436" t="s">
        <v>412</v>
      </c>
      <c r="B2" s="436"/>
      <c r="C2" s="436"/>
      <c r="D2" s="436"/>
      <c r="E2" s="436"/>
      <c r="F2" s="436"/>
      <c r="G2" s="436"/>
      <c r="H2" s="436"/>
      <c r="I2" s="436"/>
      <c r="J2" s="436"/>
      <c r="K2" s="436"/>
      <c r="L2" s="436"/>
      <c r="M2" s="436"/>
      <c r="N2" s="436"/>
      <c r="O2" s="436"/>
      <c r="P2" s="436"/>
      <c r="Q2" s="436"/>
    </row>
    <row r="3" spans="1:17" x14ac:dyDescent="0.35">
      <c r="A3" s="436"/>
      <c r="B3" s="436"/>
      <c r="C3" s="436"/>
      <c r="D3" s="436"/>
      <c r="E3" s="436"/>
      <c r="F3" s="436"/>
      <c r="G3" s="436"/>
      <c r="H3" s="436"/>
      <c r="I3" s="436"/>
      <c r="J3" s="436"/>
      <c r="K3" s="436"/>
      <c r="L3" s="436"/>
      <c r="M3" s="436"/>
      <c r="N3" s="436"/>
      <c r="O3" s="436"/>
      <c r="P3" s="436"/>
      <c r="Q3" s="436"/>
    </row>
    <row r="4" spans="1:17" x14ac:dyDescent="0.35">
      <c r="A4" s="436"/>
      <c r="B4" s="436"/>
      <c r="C4" s="436"/>
      <c r="D4" s="436"/>
      <c r="E4" s="436"/>
      <c r="F4" s="436"/>
      <c r="G4" s="436"/>
      <c r="H4" s="436"/>
      <c r="I4" s="436"/>
      <c r="J4" s="436"/>
      <c r="K4" s="436"/>
      <c r="L4" s="436"/>
      <c r="M4" s="436"/>
      <c r="N4" s="436"/>
      <c r="O4" s="436"/>
      <c r="P4" s="436"/>
      <c r="Q4" s="436"/>
    </row>
    <row r="5" spans="1:17" x14ac:dyDescent="0.35">
      <c r="A5">
        <v>18.100000000000001</v>
      </c>
    </row>
    <row r="6" spans="1:17" x14ac:dyDescent="0.35">
      <c r="A6" s="171" t="s">
        <v>395</v>
      </c>
      <c r="B6">
        <f>35000*154.84</f>
        <v>5419400</v>
      </c>
    </row>
    <row r="7" spans="1:17" x14ac:dyDescent="0.35">
      <c r="A7" s="171" t="s">
        <v>396</v>
      </c>
      <c r="B7" s="172">
        <v>3.2500000000000001E-2</v>
      </c>
      <c r="D7" s="358" t="s">
        <v>410</v>
      </c>
      <c r="E7" s="356">
        <v>44211</v>
      </c>
      <c r="F7" s="356">
        <f>EDATE(E7,6)</f>
        <v>44392</v>
      </c>
      <c r="G7" s="356">
        <f t="shared" ref="G7:O7" si="0">EDATE(F7,6)</f>
        <v>44576</v>
      </c>
      <c r="H7" s="356">
        <f t="shared" si="0"/>
        <v>44757</v>
      </c>
      <c r="I7" s="356">
        <f t="shared" si="0"/>
        <v>44941</v>
      </c>
      <c r="J7" s="356">
        <f t="shared" si="0"/>
        <v>45122</v>
      </c>
      <c r="K7" s="356">
        <f t="shared" si="0"/>
        <v>45306</v>
      </c>
      <c r="L7" s="356">
        <f t="shared" si="0"/>
        <v>45488</v>
      </c>
      <c r="M7" s="356">
        <f t="shared" si="0"/>
        <v>45672</v>
      </c>
      <c r="N7" s="356">
        <f t="shared" si="0"/>
        <v>45853</v>
      </c>
      <c r="O7" s="356">
        <f t="shared" si="0"/>
        <v>46037</v>
      </c>
    </row>
    <row r="8" spans="1:17" x14ac:dyDescent="0.35">
      <c r="A8" s="171" t="s">
        <v>397</v>
      </c>
      <c r="B8">
        <v>2</v>
      </c>
      <c r="D8" s="359" t="s">
        <v>400</v>
      </c>
      <c r="E8" s="209"/>
      <c r="F8" s="211">
        <f>$B$7</f>
        <v>3.2500000000000001E-2</v>
      </c>
      <c r="G8" s="211">
        <f t="shared" ref="G8:O8" si="1">$B$7</f>
        <v>3.2500000000000001E-2</v>
      </c>
      <c r="H8" s="211">
        <f t="shared" si="1"/>
        <v>3.2500000000000001E-2</v>
      </c>
      <c r="I8" s="211">
        <f t="shared" si="1"/>
        <v>3.2500000000000001E-2</v>
      </c>
      <c r="J8" s="211">
        <f t="shared" si="1"/>
        <v>3.2500000000000001E-2</v>
      </c>
      <c r="K8" s="211">
        <f t="shared" si="1"/>
        <v>3.2500000000000001E-2</v>
      </c>
      <c r="L8" s="211">
        <f t="shared" si="1"/>
        <v>3.2500000000000001E-2</v>
      </c>
      <c r="M8" s="211">
        <f t="shared" si="1"/>
        <v>3.2500000000000001E-2</v>
      </c>
      <c r="N8" s="211">
        <f t="shared" si="1"/>
        <v>3.2500000000000001E-2</v>
      </c>
      <c r="O8" s="211">
        <f t="shared" si="1"/>
        <v>3.2500000000000001E-2</v>
      </c>
    </row>
    <row r="9" spans="1:17" x14ac:dyDescent="0.35">
      <c r="A9" s="171" t="s">
        <v>398</v>
      </c>
      <c r="B9">
        <v>3</v>
      </c>
      <c r="D9" s="359" t="s">
        <v>409</v>
      </c>
      <c r="E9" s="209"/>
      <c r="F9" s="169">
        <v>1.5325E-3</v>
      </c>
      <c r="G9" s="169">
        <v>4.1814E-3</v>
      </c>
      <c r="H9" s="169">
        <v>3.3112900000000001E-2</v>
      </c>
      <c r="I9" s="169">
        <v>5.11543E-2</v>
      </c>
      <c r="J9" s="169">
        <v>5.8246100000000002E-2</v>
      </c>
      <c r="K9" s="169">
        <v>5.58173E-2</v>
      </c>
      <c r="L9" s="169">
        <v>5.5788400000000002E-2</v>
      </c>
      <c r="M9" s="169"/>
      <c r="N9" s="211"/>
      <c r="O9" s="211"/>
      <c r="P9" s="172"/>
    </row>
    <row r="10" spans="1:17" x14ac:dyDescent="0.35">
      <c r="A10" s="171" t="s">
        <v>399</v>
      </c>
      <c r="B10">
        <v>6</v>
      </c>
      <c r="D10" s="359" t="s">
        <v>402</v>
      </c>
      <c r="E10" s="209"/>
      <c r="F10" s="209">
        <v>1</v>
      </c>
      <c r="G10" s="209">
        <v>2</v>
      </c>
      <c r="H10" s="209">
        <v>3</v>
      </c>
      <c r="I10" s="209">
        <v>4</v>
      </c>
      <c r="J10" s="209">
        <v>5</v>
      </c>
      <c r="K10" s="209">
        <v>6</v>
      </c>
      <c r="L10" s="209">
        <v>7</v>
      </c>
      <c r="M10" s="209">
        <v>8</v>
      </c>
      <c r="N10" s="209">
        <v>9</v>
      </c>
      <c r="O10" s="209">
        <v>10</v>
      </c>
    </row>
    <row r="11" spans="1:17" x14ac:dyDescent="0.35">
      <c r="D11" s="359" t="s">
        <v>403</v>
      </c>
      <c r="E11" s="209"/>
      <c r="F11" s="357">
        <f>(F9+F8)/2</f>
        <v>1.701625E-2</v>
      </c>
      <c r="G11" s="357">
        <f t="shared" ref="G11:O11" si="2">(G9+G8)/2</f>
        <v>1.8340700000000001E-2</v>
      </c>
      <c r="H11" s="357">
        <f t="shared" si="2"/>
        <v>3.2806450000000001E-2</v>
      </c>
      <c r="I11" s="357">
        <f t="shared" si="2"/>
        <v>4.182715E-2</v>
      </c>
      <c r="J11" s="357">
        <f t="shared" si="2"/>
        <v>4.5373049999999998E-2</v>
      </c>
      <c r="K11" s="357">
        <f t="shared" si="2"/>
        <v>4.4158650000000001E-2</v>
      </c>
      <c r="L11" s="357">
        <f t="shared" si="2"/>
        <v>4.4144200000000001E-2</v>
      </c>
      <c r="M11" s="357">
        <f t="shared" si="2"/>
        <v>1.6250000000000001E-2</v>
      </c>
      <c r="N11" s="357">
        <f t="shared" si="2"/>
        <v>1.6250000000000001E-2</v>
      </c>
      <c r="O11" s="357">
        <f t="shared" si="2"/>
        <v>1.6250000000000001E-2</v>
      </c>
      <c r="P11" s="174"/>
    </row>
    <row r="12" spans="1:17" x14ac:dyDescent="0.35">
      <c r="D12" s="359" t="s">
        <v>404</v>
      </c>
      <c r="E12" s="209"/>
      <c r="F12" s="209">
        <f>B6</f>
        <v>5419400</v>
      </c>
      <c r="G12" s="209">
        <f>F16</f>
        <v>4516166.666666667</v>
      </c>
      <c r="H12" s="209">
        <f t="shared" ref="H12:O12" si="3">G16</f>
        <v>3612933.3333333335</v>
      </c>
      <c r="I12" s="209">
        <f t="shared" si="3"/>
        <v>2709700</v>
      </c>
      <c r="J12" s="209">
        <f t="shared" si="3"/>
        <v>1806466.6666666665</v>
      </c>
      <c r="K12" s="209">
        <f t="shared" si="3"/>
        <v>903233.33333333314</v>
      </c>
      <c r="L12" s="209">
        <f t="shared" si="3"/>
        <v>0</v>
      </c>
      <c r="M12" s="209">
        <f t="shared" si="3"/>
        <v>0</v>
      </c>
      <c r="N12" s="209">
        <f t="shared" si="3"/>
        <v>0</v>
      </c>
      <c r="O12" s="209">
        <f t="shared" si="3"/>
        <v>0</v>
      </c>
    </row>
    <row r="13" spans="1:17" x14ac:dyDescent="0.35">
      <c r="D13" s="359" t="s">
        <v>405</v>
      </c>
      <c r="E13" s="209"/>
      <c r="F13" s="209">
        <f>IF(F10&lt;=$B$10,F12*F11,0)</f>
        <v>92217.865250000003</v>
      </c>
      <c r="G13" s="209">
        <f t="shared" ref="G13:O13" si="4">IF(G10&lt;=$B$10,G12*G11,0)</f>
        <v>82829.657983333353</v>
      </c>
      <c r="H13" s="209">
        <f t="shared" si="4"/>
        <v>118527.51675333334</v>
      </c>
      <c r="I13" s="209">
        <f t="shared" si="4"/>
        <v>113339.028355</v>
      </c>
      <c r="J13" s="209">
        <f t="shared" si="4"/>
        <v>81964.902389999988</v>
      </c>
      <c r="K13" s="209">
        <f t="shared" si="4"/>
        <v>39885.564634999995</v>
      </c>
      <c r="L13" s="209">
        <f t="shared" si="4"/>
        <v>0</v>
      </c>
      <c r="M13" s="209">
        <f t="shared" si="4"/>
        <v>0</v>
      </c>
      <c r="N13" s="209">
        <f t="shared" si="4"/>
        <v>0</v>
      </c>
      <c r="O13" s="209">
        <f t="shared" si="4"/>
        <v>0</v>
      </c>
    </row>
    <row r="14" spans="1:17" x14ac:dyDescent="0.35">
      <c r="D14" s="359" t="s">
        <v>406</v>
      </c>
      <c r="E14" s="209"/>
      <c r="F14" s="209">
        <f>IF(F10&lt;=$B$10,$B$6/$B$10,0)</f>
        <v>903233.33333333337</v>
      </c>
      <c r="G14" s="209">
        <f t="shared" ref="G14:O14" si="5">IF(G10&lt;=$B$10,$B$6/$B$10,0)</f>
        <v>903233.33333333337</v>
      </c>
      <c r="H14" s="209">
        <f t="shared" si="5"/>
        <v>903233.33333333337</v>
      </c>
      <c r="I14" s="209">
        <f t="shared" si="5"/>
        <v>903233.33333333337</v>
      </c>
      <c r="J14" s="209">
        <f t="shared" si="5"/>
        <v>903233.33333333337</v>
      </c>
      <c r="K14" s="209">
        <f t="shared" si="5"/>
        <v>903233.33333333337</v>
      </c>
      <c r="L14" s="209">
        <f t="shared" si="5"/>
        <v>0</v>
      </c>
      <c r="M14" s="209">
        <f t="shared" si="5"/>
        <v>0</v>
      </c>
      <c r="N14" s="209">
        <f t="shared" si="5"/>
        <v>0</v>
      </c>
      <c r="O14" s="209">
        <f t="shared" si="5"/>
        <v>0</v>
      </c>
    </row>
    <row r="15" spans="1:17" x14ac:dyDescent="0.35">
      <c r="D15" s="359" t="s">
        <v>407</v>
      </c>
      <c r="E15" s="209"/>
      <c r="F15" s="209">
        <f>F14+F13</f>
        <v>995451.1985833334</v>
      </c>
      <c r="G15" s="209">
        <f t="shared" ref="G15:O15" si="6">G14+G13</f>
        <v>986062.99131666671</v>
      </c>
      <c r="H15" s="209">
        <f t="shared" si="6"/>
        <v>1021760.8500866668</v>
      </c>
      <c r="I15" s="209">
        <f t="shared" si="6"/>
        <v>1016572.3616883333</v>
      </c>
      <c r="J15" s="209">
        <f t="shared" si="6"/>
        <v>985198.23572333332</v>
      </c>
      <c r="K15" s="209">
        <f t="shared" si="6"/>
        <v>943118.89796833333</v>
      </c>
      <c r="L15" s="209">
        <f t="shared" si="6"/>
        <v>0</v>
      </c>
      <c r="M15" s="209">
        <f t="shared" si="6"/>
        <v>0</v>
      </c>
      <c r="N15" s="209">
        <f t="shared" si="6"/>
        <v>0</v>
      </c>
      <c r="O15" s="209">
        <f t="shared" si="6"/>
        <v>0</v>
      </c>
    </row>
    <row r="16" spans="1:17" x14ac:dyDescent="0.35">
      <c r="D16" s="360" t="s">
        <v>408</v>
      </c>
      <c r="E16" s="209"/>
      <c r="F16" s="209">
        <f>F12-F14</f>
        <v>4516166.666666667</v>
      </c>
      <c r="G16" s="209">
        <f t="shared" ref="G16:O16" si="7">G12-G14</f>
        <v>3612933.3333333335</v>
      </c>
      <c r="H16" s="209">
        <f t="shared" si="7"/>
        <v>2709700</v>
      </c>
      <c r="I16" s="209">
        <f t="shared" si="7"/>
        <v>1806466.6666666665</v>
      </c>
      <c r="J16" s="209">
        <f t="shared" si="7"/>
        <v>903233.33333333314</v>
      </c>
      <c r="K16" s="209">
        <f t="shared" si="7"/>
        <v>0</v>
      </c>
      <c r="L16" s="209">
        <f t="shared" si="7"/>
        <v>0</v>
      </c>
      <c r="M16" s="209">
        <f t="shared" si="7"/>
        <v>0</v>
      </c>
      <c r="N16" s="209">
        <f t="shared" si="7"/>
        <v>0</v>
      </c>
      <c r="O16" s="209">
        <f t="shared" si="7"/>
        <v>0</v>
      </c>
    </row>
    <row r="18" spans="1:16" x14ac:dyDescent="0.35">
      <c r="D18" s="209"/>
      <c r="E18" s="209"/>
      <c r="F18" s="209">
        <v>2021</v>
      </c>
      <c r="G18" s="209">
        <v>2022</v>
      </c>
      <c r="H18" s="209">
        <v>2023</v>
      </c>
      <c r="I18" s="209">
        <v>2024</v>
      </c>
      <c r="J18" s="209">
        <v>2025</v>
      </c>
    </row>
    <row r="19" spans="1:16" x14ac:dyDescent="0.35">
      <c r="D19" s="208" t="s">
        <v>404</v>
      </c>
      <c r="E19" s="209"/>
      <c r="F19" s="209">
        <f>F12</f>
        <v>5419400</v>
      </c>
      <c r="G19" s="209">
        <f>F23</f>
        <v>4516166.666666667</v>
      </c>
      <c r="H19" s="209">
        <f t="shared" ref="H19:J19" si="8">G23</f>
        <v>2709700</v>
      </c>
      <c r="I19" s="209">
        <f t="shared" si="8"/>
        <v>903233.33333333326</v>
      </c>
      <c r="J19" s="209">
        <f t="shared" si="8"/>
        <v>0</v>
      </c>
    </row>
    <row r="20" spans="1:16" x14ac:dyDescent="0.35">
      <c r="D20" s="208" t="s">
        <v>405</v>
      </c>
      <c r="E20" s="209"/>
      <c r="F20" s="209">
        <f>E13+F13</f>
        <v>92217.865250000003</v>
      </c>
      <c r="G20" s="209">
        <f>G13+H13</f>
        <v>201357.1747366667</v>
      </c>
      <c r="H20" s="209">
        <f>J13+I13</f>
        <v>195303.93074499999</v>
      </c>
      <c r="I20" s="209">
        <f>L13+K13</f>
        <v>39885.564634999995</v>
      </c>
      <c r="J20" s="209">
        <f>M13+N13</f>
        <v>0</v>
      </c>
    </row>
    <row r="21" spans="1:16" x14ac:dyDescent="0.35">
      <c r="D21" s="208" t="s">
        <v>406</v>
      </c>
      <c r="E21" s="209"/>
      <c r="F21" s="209">
        <f>E14+F14</f>
        <v>903233.33333333337</v>
      </c>
      <c r="G21" s="209">
        <f>G14+H14</f>
        <v>1806466.6666666667</v>
      </c>
      <c r="H21" s="209">
        <f t="shared" ref="H21:H22" si="9">J14+I14</f>
        <v>1806466.6666666667</v>
      </c>
      <c r="I21" s="209">
        <f t="shared" ref="I21:I22" si="10">L14+K14</f>
        <v>903233.33333333337</v>
      </c>
      <c r="J21" s="209">
        <f t="shared" ref="J21:J22" si="11">M14+N14</f>
        <v>0</v>
      </c>
    </row>
    <row r="22" spans="1:16" x14ac:dyDescent="0.35">
      <c r="D22" s="208" t="s">
        <v>407</v>
      </c>
      <c r="E22" s="209"/>
      <c r="F22" s="209">
        <f>E15+F15</f>
        <v>995451.1985833334</v>
      </c>
      <c r="G22" s="209">
        <f>G15+H15</f>
        <v>2007823.8414033335</v>
      </c>
      <c r="H22" s="209">
        <f t="shared" si="9"/>
        <v>2001770.5974116665</v>
      </c>
      <c r="I22" s="209">
        <f t="shared" si="10"/>
        <v>943118.89796833333</v>
      </c>
      <c r="J22" s="209">
        <f t="shared" si="11"/>
        <v>0</v>
      </c>
    </row>
    <row r="23" spans="1:16" x14ac:dyDescent="0.35">
      <c r="D23" s="208" t="s">
        <v>523</v>
      </c>
      <c r="E23" s="209"/>
      <c r="F23" s="209">
        <f>F19-F21</f>
        <v>4516166.666666667</v>
      </c>
      <c r="G23" s="209">
        <f>G19-G21</f>
        <v>2709700</v>
      </c>
      <c r="H23" s="209">
        <f t="shared" ref="H23:J23" si="12">H19-H21</f>
        <v>903233.33333333326</v>
      </c>
      <c r="I23" s="209">
        <f t="shared" si="12"/>
        <v>0</v>
      </c>
      <c r="J23" s="209">
        <f t="shared" si="12"/>
        <v>0</v>
      </c>
    </row>
    <row r="25" spans="1:16" x14ac:dyDescent="0.35">
      <c r="A25" s="436" t="s">
        <v>413</v>
      </c>
      <c r="B25" s="436"/>
      <c r="C25" s="436"/>
      <c r="D25" s="436"/>
      <c r="E25" s="436"/>
      <c r="F25" s="436"/>
      <c r="G25" s="436"/>
      <c r="H25" s="436"/>
      <c r="I25" s="436"/>
      <c r="J25" s="436"/>
      <c r="K25" s="436"/>
      <c r="L25" s="436"/>
      <c r="M25" s="436"/>
      <c r="N25" s="47"/>
      <c r="O25" s="42"/>
      <c r="P25" s="42"/>
    </row>
    <row r="26" spans="1:16" x14ac:dyDescent="0.35">
      <c r="A26" s="436"/>
      <c r="B26" s="436"/>
      <c r="C26" s="436"/>
      <c r="D26" s="436"/>
      <c r="E26" s="436"/>
      <c r="F26" s="436"/>
      <c r="G26" s="436"/>
      <c r="H26" s="436"/>
      <c r="I26" s="436"/>
      <c r="J26" s="436"/>
      <c r="K26" s="436"/>
      <c r="L26" s="436"/>
      <c r="M26" s="436"/>
      <c r="N26" s="47"/>
      <c r="O26" s="42"/>
      <c r="P26" s="42"/>
    </row>
    <row r="27" spans="1:16" x14ac:dyDescent="0.35">
      <c r="A27" s="56"/>
      <c r="B27" s="56"/>
      <c r="C27" s="56"/>
      <c r="D27" s="56"/>
      <c r="E27" s="56"/>
      <c r="F27" s="56"/>
      <c r="G27" s="56"/>
      <c r="H27" s="56"/>
      <c r="I27" s="56"/>
      <c r="J27" s="47"/>
      <c r="K27" s="47"/>
      <c r="L27" s="47"/>
      <c r="M27" s="47"/>
      <c r="N27" s="47"/>
      <c r="O27" s="42"/>
      <c r="P27" s="42"/>
    </row>
    <row r="28" spans="1:16" ht="19" thickBot="1" x14ac:dyDescent="0.5">
      <c r="A28" s="443"/>
      <c r="B28" s="443"/>
      <c r="C28" s="42"/>
      <c r="D28" s="42"/>
      <c r="E28" s="42"/>
      <c r="F28" s="42"/>
      <c r="G28" s="42"/>
      <c r="H28" s="42"/>
      <c r="I28" s="42"/>
      <c r="J28" s="42"/>
      <c r="K28" s="42"/>
      <c r="L28" s="42"/>
      <c r="M28" s="42"/>
      <c r="N28" s="42"/>
      <c r="O28" s="42"/>
      <c r="P28" s="42"/>
    </row>
    <row r="29" spans="1:16" ht="15" thickBot="1" x14ac:dyDescent="0.4">
      <c r="A29" s="444">
        <v>18.2</v>
      </c>
      <c r="B29" s="445"/>
      <c r="C29" s="42"/>
      <c r="D29" s="175" t="s">
        <v>400</v>
      </c>
      <c r="E29" s="176"/>
      <c r="F29" s="177">
        <f>B31</f>
        <v>0</v>
      </c>
      <c r="G29" s="177">
        <f t="shared" ref="G29:O29" si="13">F29</f>
        <v>0</v>
      </c>
      <c r="H29" s="177">
        <f t="shared" si="13"/>
        <v>0</v>
      </c>
      <c r="I29" s="177">
        <f t="shared" si="13"/>
        <v>0</v>
      </c>
      <c r="J29" s="177">
        <f t="shared" si="13"/>
        <v>0</v>
      </c>
      <c r="K29" s="177">
        <f t="shared" si="13"/>
        <v>0</v>
      </c>
      <c r="L29" s="177">
        <f t="shared" si="13"/>
        <v>0</v>
      </c>
      <c r="M29" s="177">
        <f t="shared" si="13"/>
        <v>0</v>
      </c>
      <c r="N29" s="177">
        <f t="shared" si="13"/>
        <v>0</v>
      </c>
      <c r="O29" s="178">
        <f t="shared" si="13"/>
        <v>0</v>
      </c>
      <c r="P29" s="42"/>
    </row>
    <row r="30" spans="1:16" x14ac:dyDescent="0.35">
      <c r="A30" s="179" t="s">
        <v>395</v>
      </c>
      <c r="B30" s="180">
        <v>5421500</v>
      </c>
      <c r="C30" s="42"/>
      <c r="D30" s="179" t="s">
        <v>401</v>
      </c>
      <c r="E30" s="181"/>
      <c r="F30" s="169">
        <v>7.3599999999999999E-2</v>
      </c>
      <c r="G30" s="169">
        <v>0.112</v>
      </c>
      <c r="H30" s="169">
        <v>0.15540000000000001</v>
      </c>
      <c r="I30" s="169">
        <v>0.1686</v>
      </c>
      <c r="J30" s="169">
        <v>0.22650000000000001</v>
      </c>
      <c r="K30" s="169">
        <v>0.20580000000000001</v>
      </c>
      <c r="L30" s="169">
        <v>0.19670000000000001</v>
      </c>
      <c r="M30" s="169"/>
      <c r="N30" s="169"/>
      <c r="O30" s="182"/>
      <c r="P30" s="42"/>
    </row>
    <row r="31" spans="1:16" x14ac:dyDescent="0.35">
      <c r="A31" s="179" t="s">
        <v>396</v>
      </c>
      <c r="B31" s="183">
        <v>0</v>
      </c>
      <c r="C31" s="42"/>
      <c r="D31" s="179" t="s">
        <v>402</v>
      </c>
      <c r="E31" s="184"/>
      <c r="F31" s="49">
        <v>1</v>
      </c>
      <c r="G31" s="49">
        <v>2</v>
      </c>
      <c r="H31" s="49">
        <v>3</v>
      </c>
      <c r="I31" s="49">
        <v>4</v>
      </c>
      <c r="J31" s="49">
        <v>5</v>
      </c>
      <c r="K31" s="49">
        <v>6</v>
      </c>
      <c r="L31" s="49">
        <v>7</v>
      </c>
      <c r="M31" s="49">
        <v>8</v>
      </c>
      <c r="N31" s="49">
        <v>9</v>
      </c>
      <c r="O31" s="185">
        <v>10</v>
      </c>
      <c r="P31" s="42"/>
    </row>
    <row r="32" spans="1:16" x14ac:dyDescent="0.35">
      <c r="A32" s="179" t="s">
        <v>397</v>
      </c>
      <c r="B32" s="185">
        <v>2</v>
      </c>
      <c r="C32" s="42"/>
      <c r="D32" s="179" t="s">
        <v>410</v>
      </c>
      <c r="E32" s="186">
        <v>44211</v>
      </c>
      <c r="F32" s="187">
        <f t="shared" ref="F32:O32" si="14">EDATE(E32,6)</f>
        <v>44392</v>
      </c>
      <c r="G32" s="187">
        <f t="shared" si="14"/>
        <v>44576</v>
      </c>
      <c r="H32" s="187">
        <f t="shared" si="14"/>
        <v>44757</v>
      </c>
      <c r="I32" s="187">
        <f t="shared" si="14"/>
        <v>44941</v>
      </c>
      <c r="J32" s="187">
        <f t="shared" si="14"/>
        <v>45122</v>
      </c>
      <c r="K32" s="187">
        <f t="shared" si="14"/>
        <v>45306</v>
      </c>
      <c r="L32" s="187">
        <f t="shared" si="14"/>
        <v>45488</v>
      </c>
      <c r="M32" s="187">
        <f t="shared" si="14"/>
        <v>45672</v>
      </c>
      <c r="N32" s="187">
        <f t="shared" si="14"/>
        <v>45853</v>
      </c>
      <c r="O32" s="188">
        <f t="shared" si="14"/>
        <v>46037</v>
      </c>
      <c r="P32" s="42"/>
    </row>
    <row r="33" spans="1:16" x14ac:dyDescent="0.35">
      <c r="A33" s="179" t="s">
        <v>398</v>
      </c>
      <c r="B33" s="185">
        <v>3</v>
      </c>
      <c r="C33" s="42"/>
      <c r="D33" s="179" t="s">
        <v>403</v>
      </c>
      <c r="E33" s="184"/>
      <c r="F33" s="189">
        <f t="shared" ref="F33:O33" si="15">(F29+F30)/2</f>
        <v>3.6799999999999999E-2</v>
      </c>
      <c r="G33" s="189">
        <f t="shared" si="15"/>
        <v>5.6000000000000001E-2</v>
      </c>
      <c r="H33" s="189">
        <f t="shared" si="15"/>
        <v>7.7700000000000005E-2</v>
      </c>
      <c r="I33" s="189">
        <f t="shared" si="15"/>
        <v>8.43E-2</v>
      </c>
      <c r="J33" s="189">
        <f t="shared" si="15"/>
        <v>0.11325</v>
      </c>
      <c r="K33" s="189">
        <f t="shared" si="15"/>
        <v>0.10290000000000001</v>
      </c>
      <c r="L33" s="189">
        <f t="shared" si="15"/>
        <v>9.8350000000000007E-2</v>
      </c>
      <c r="M33" s="189">
        <f t="shared" si="15"/>
        <v>0</v>
      </c>
      <c r="N33" s="189">
        <f t="shared" si="15"/>
        <v>0</v>
      </c>
      <c r="O33" s="183">
        <f t="shared" si="15"/>
        <v>0</v>
      </c>
      <c r="P33" s="42"/>
    </row>
    <row r="34" spans="1:16" ht="15" thickBot="1" x14ac:dyDescent="0.4">
      <c r="A34" s="190" t="s">
        <v>399</v>
      </c>
      <c r="B34" s="191">
        <f>B32*B33</f>
        <v>6</v>
      </c>
      <c r="C34" s="42"/>
      <c r="D34" s="179" t="s">
        <v>404</v>
      </c>
      <c r="E34" s="184"/>
      <c r="F34" s="192">
        <f>B30</f>
        <v>5421500</v>
      </c>
      <c r="G34" s="192">
        <f t="shared" ref="G34:O34" si="16">F38</f>
        <v>4517916.666666667</v>
      </c>
      <c r="H34" s="192">
        <f t="shared" si="16"/>
        <v>3614333.3333333335</v>
      </c>
      <c r="I34" s="192">
        <f t="shared" si="16"/>
        <v>2710750</v>
      </c>
      <c r="J34" s="192">
        <f t="shared" si="16"/>
        <v>1807166.6666666665</v>
      </c>
      <c r="K34" s="192">
        <f t="shared" si="16"/>
        <v>903583.33333333314</v>
      </c>
      <c r="L34" s="192">
        <f t="shared" si="16"/>
        <v>0</v>
      </c>
      <c r="M34" s="192">
        <f t="shared" si="16"/>
        <v>0</v>
      </c>
      <c r="N34" s="192">
        <f t="shared" si="16"/>
        <v>0</v>
      </c>
      <c r="O34" s="180">
        <f t="shared" si="16"/>
        <v>0</v>
      </c>
      <c r="P34" s="42"/>
    </row>
    <row r="35" spans="1:16" x14ac:dyDescent="0.35">
      <c r="A35" s="42"/>
      <c r="B35" s="42"/>
      <c r="C35" s="42"/>
      <c r="D35" s="179" t="s">
        <v>405</v>
      </c>
      <c r="E35" s="184"/>
      <c r="F35" s="193">
        <f>IF(F31&lt;=$B$34,F34*F33,0)</f>
        <v>199511.19999999998</v>
      </c>
      <c r="G35" s="193">
        <f t="shared" ref="G35:O35" si="17">IF(G31&lt;=$B$10,G34*G33,0)</f>
        <v>253003.33333333334</v>
      </c>
      <c r="H35" s="193">
        <f t="shared" si="17"/>
        <v>280833.7</v>
      </c>
      <c r="I35" s="193">
        <f t="shared" si="17"/>
        <v>228516.22500000001</v>
      </c>
      <c r="J35" s="193">
        <f t="shared" si="17"/>
        <v>204661.625</v>
      </c>
      <c r="K35" s="193">
        <f t="shared" si="17"/>
        <v>92978.724999999991</v>
      </c>
      <c r="L35" s="193">
        <f t="shared" si="17"/>
        <v>0</v>
      </c>
      <c r="M35" s="193">
        <f t="shared" si="17"/>
        <v>0</v>
      </c>
      <c r="N35" s="193">
        <f t="shared" si="17"/>
        <v>0</v>
      </c>
      <c r="O35" s="194">
        <f t="shared" si="17"/>
        <v>0</v>
      </c>
      <c r="P35" s="42"/>
    </row>
    <row r="36" spans="1:16" x14ac:dyDescent="0.35">
      <c r="A36" s="48"/>
      <c r="B36" s="42"/>
      <c r="C36" s="42"/>
      <c r="D36" s="179" t="s">
        <v>406</v>
      </c>
      <c r="E36" s="184"/>
      <c r="F36" s="192">
        <f t="shared" ref="F36:O36" si="18">IF(F31&lt;=$B$34,$B$30/$B$34,0)</f>
        <v>903583.33333333337</v>
      </c>
      <c r="G36" s="192">
        <f t="shared" si="18"/>
        <v>903583.33333333337</v>
      </c>
      <c r="H36" s="192">
        <f t="shared" si="18"/>
        <v>903583.33333333337</v>
      </c>
      <c r="I36" s="192">
        <f t="shared" si="18"/>
        <v>903583.33333333337</v>
      </c>
      <c r="J36" s="192">
        <f t="shared" si="18"/>
        <v>903583.33333333337</v>
      </c>
      <c r="K36" s="192">
        <f t="shared" si="18"/>
        <v>903583.33333333337</v>
      </c>
      <c r="L36" s="192">
        <f t="shared" si="18"/>
        <v>0</v>
      </c>
      <c r="M36" s="192">
        <f t="shared" si="18"/>
        <v>0</v>
      </c>
      <c r="N36" s="192">
        <f t="shared" si="18"/>
        <v>0</v>
      </c>
      <c r="O36" s="180">
        <f t="shared" si="18"/>
        <v>0</v>
      </c>
      <c r="P36" s="42"/>
    </row>
    <row r="37" spans="1:16" x14ac:dyDescent="0.35">
      <c r="A37" s="42"/>
      <c r="B37" s="42"/>
      <c r="C37" s="42"/>
      <c r="D37" s="179" t="s">
        <v>407</v>
      </c>
      <c r="E37" s="184"/>
      <c r="F37" s="192">
        <f t="shared" ref="F37:O37" si="19">SUM(F35+F36)</f>
        <v>1103094.5333333334</v>
      </c>
      <c r="G37" s="192">
        <f t="shared" si="19"/>
        <v>1156586.6666666667</v>
      </c>
      <c r="H37" s="192">
        <f t="shared" si="19"/>
        <v>1184417.0333333334</v>
      </c>
      <c r="I37" s="192">
        <f t="shared" si="19"/>
        <v>1132099.5583333333</v>
      </c>
      <c r="J37" s="192">
        <f t="shared" si="19"/>
        <v>1108244.9583333335</v>
      </c>
      <c r="K37" s="192">
        <f t="shared" si="19"/>
        <v>996562.05833333335</v>
      </c>
      <c r="L37" s="192">
        <f t="shared" si="19"/>
        <v>0</v>
      </c>
      <c r="M37" s="192">
        <f t="shared" si="19"/>
        <v>0</v>
      </c>
      <c r="N37" s="192">
        <f t="shared" si="19"/>
        <v>0</v>
      </c>
      <c r="O37" s="180">
        <f t="shared" si="19"/>
        <v>0</v>
      </c>
      <c r="P37" s="42"/>
    </row>
    <row r="38" spans="1:16" ht="15" thickBot="1" x14ac:dyDescent="0.4">
      <c r="A38" s="42"/>
      <c r="B38" s="42"/>
      <c r="C38" s="42"/>
      <c r="D38" s="190" t="s">
        <v>408</v>
      </c>
      <c r="E38" s="195"/>
      <c r="F38" s="196">
        <f t="shared" ref="F38:O38" si="20">F34-F36</f>
        <v>4517916.666666667</v>
      </c>
      <c r="G38" s="196">
        <f t="shared" si="20"/>
        <v>3614333.3333333335</v>
      </c>
      <c r="H38" s="196">
        <f t="shared" si="20"/>
        <v>2710750</v>
      </c>
      <c r="I38" s="196">
        <f t="shared" si="20"/>
        <v>1807166.6666666665</v>
      </c>
      <c r="J38" s="196">
        <f t="shared" si="20"/>
        <v>903583.33333333314</v>
      </c>
      <c r="K38" s="196">
        <f t="shared" si="20"/>
        <v>0</v>
      </c>
      <c r="L38" s="196">
        <f t="shared" si="20"/>
        <v>0</v>
      </c>
      <c r="M38" s="196">
        <f t="shared" si="20"/>
        <v>0</v>
      </c>
      <c r="N38" s="196">
        <f t="shared" si="20"/>
        <v>0</v>
      </c>
      <c r="O38" s="197">
        <f t="shared" si="20"/>
        <v>0</v>
      </c>
      <c r="P38" s="42"/>
    </row>
    <row r="39" spans="1:16" ht="15" thickBot="1" x14ac:dyDescent="0.4">
      <c r="A39" s="42"/>
      <c r="B39" s="42"/>
      <c r="C39" s="42"/>
      <c r="D39" s="42"/>
      <c r="E39" s="44"/>
      <c r="F39" s="42"/>
      <c r="G39" s="45"/>
      <c r="H39" s="42"/>
      <c r="I39" s="42"/>
      <c r="J39" s="42"/>
      <c r="K39" s="42"/>
      <c r="L39" s="42"/>
      <c r="M39" s="42"/>
      <c r="N39" s="42"/>
      <c r="O39" s="42"/>
      <c r="P39" s="42"/>
    </row>
    <row r="40" spans="1:16" ht="15" thickBot="1" x14ac:dyDescent="0.4">
      <c r="A40" s="42"/>
      <c r="B40" s="42"/>
      <c r="C40" s="42"/>
      <c r="D40" s="198"/>
      <c r="E40" s="199"/>
      <c r="F40" s="199">
        <v>2021</v>
      </c>
      <c r="G40" s="199">
        <v>2022</v>
      </c>
      <c r="H40" s="199">
        <v>2023</v>
      </c>
      <c r="I40" s="199">
        <v>2024</v>
      </c>
      <c r="J40" s="199">
        <v>2025</v>
      </c>
      <c r="K40" s="199">
        <v>2026</v>
      </c>
      <c r="L40" s="199">
        <v>2027</v>
      </c>
      <c r="M40" s="199">
        <v>2028</v>
      </c>
      <c r="N40" s="200">
        <v>2029</v>
      </c>
      <c r="O40" s="42"/>
      <c r="P40" s="42"/>
    </row>
    <row r="41" spans="1:16" ht="15" thickBot="1" x14ac:dyDescent="0.4">
      <c r="A41" s="42"/>
      <c r="B41" s="42"/>
      <c r="C41" s="42"/>
      <c r="D41" s="175" t="s">
        <v>404</v>
      </c>
      <c r="E41" s="201">
        <v>0</v>
      </c>
      <c r="F41" s="202">
        <f>F34</f>
        <v>5421500</v>
      </c>
      <c r="G41" s="202">
        <f t="shared" ref="G41:N41" si="21">F45</f>
        <v>4517916.666666667</v>
      </c>
      <c r="H41" s="202">
        <f t="shared" si="21"/>
        <v>2710750</v>
      </c>
      <c r="I41" s="202">
        <f t="shared" si="21"/>
        <v>903583.33333333326</v>
      </c>
      <c r="J41" s="202">
        <f t="shared" si="21"/>
        <v>0</v>
      </c>
      <c r="K41" s="202">
        <f t="shared" si="21"/>
        <v>0</v>
      </c>
      <c r="L41" s="202">
        <f t="shared" si="21"/>
        <v>0</v>
      </c>
      <c r="M41" s="202">
        <f t="shared" si="21"/>
        <v>0</v>
      </c>
      <c r="N41" s="203">
        <f t="shared" si="21"/>
        <v>0</v>
      </c>
      <c r="O41" s="42"/>
      <c r="P41" s="42"/>
    </row>
    <row r="42" spans="1:16" ht="15" thickBot="1" x14ac:dyDescent="0.4">
      <c r="A42" s="42"/>
      <c r="B42" s="42"/>
      <c r="C42" s="42"/>
      <c r="D42" s="175" t="s">
        <v>405</v>
      </c>
      <c r="E42" s="201">
        <v>0</v>
      </c>
      <c r="F42" s="202">
        <f>E35+F35</f>
        <v>199511.19999999998</v>
      </c>
      <c r="G42" s="202">
        <f>G35+H35</f>
        <v>533837.03333333333</v>
      </c>
      <c r="H42" s="202">
        <f>I35+J35</f>
        <v>433177.85</v>
      </c>
      <c r="I42" s="202">
        <f t="shared" ref="I42:N43" si="22">K35+L35</f>
        <v>92978.724999999991</v>
      </c>
      <c r="J42" s="202">
        <f t="shared" si="22"/>
        <v>0</v>
      </c>
      <c r="K42" s="202">
        <f t="shared" si="22"/>
        <v>0</v>
      </c>
      <c r="L42" s="202">
        <f t="shared" si="22"/>
        <v>0</v>
      </c>
      <c r="M42" s="202">
        <f t="shared" si="22"/>
        <v>0</v>
      </c>
      <c r="N42" s="203">
        <f t="shared" si="22"/>
        <v>0</v>
      </c>
      <c r="O42" s="42"/>
      <c r="P42" s="42"/>
    </row>
    <row r="43" spans="1:16" ht="15" thickBot="1" x14ac:dyDescent="0.4">
      <c r="A43" s="42"/>
      <c r="B43" s="42"/>
      <c r="C43" s="42"/>
      <c r="D43" s="175" t="s">
        <v>406</v>
      </c>
      <c r="E43" s="201">
        <v>0</v>
      </c>
      <c r="F43" s="202">
        <f>E36+F36</f>
        <v>903583.33333333337</v>
      </c>
      <c r="G43" s="202">
        <f>G36+H36</f>
        <v>1807166.6666666667</v>
      </c>
      <c r="H43" s="202">
        <f>I36+J36</f>
        <v>1807166.6666666667</v>
      </c>
      <c r="I43" s="202">
        <f t="shared" si="22"/>
        <v>903583.33333333337</v>
      </c>
      <c r="J43" s="202">
        <f t="shared" si="22"/>
        <v>0</v>
      </c>
      <c r="K43" s="202">
        <f t="shared" si="22"/>
        <v>0</v>
      </c>
      <c r="L43" s="202">
        <f t="shared" si="22"/>
        <v>0</v>
      </c>
      <c r="M43" s="202">
        <f t="shared" si="22"/>
        <v>0</v>
      </c>
      <c r="N43" s="203">
        <f t="shared" si="22"/>
        <v>0</v>
      </c>
      <c r="O43" s="42"/>
      <c r="P43" s="42"/>
    </row>
    <row r="44" spans="1:16" ht="15" thickBot="1" x14ac:dyDescent="0.4">
      <c r="A44" s="42"/>
      <c r="B44" s="42"/>
      <c r="C44" s="42"/>
      <c r="D44" s="175" t="s">
        <v>407</v>
      </c>
      <c r="E44" s="201">
        <v>0</v>
      </c>
      <c r="F44" s="202">
        <f t="shared" ref="F44:N44" si="23">F42+F43</f>
        <v>1103094.5333333334</v>
      </c>
      <c r="G44" s="202">
        <f t="shared" si="23"/>
        <v>2341003.7000000002</v>
      </c>
      <c r="H44" s="202">
        <f t="shared" si="23"/>
        <v>2240344.5166666666</v>
      </c>
      <c r="I44" s="202">
        <f t="shared" si="23"/>
        <v>996562.05833333335</v>
      </c>
      <c r="J44" s="202">
        <f t="shared" si="23"/>
        <v>0</v>
      </c>
      <c r="K44" s="202">
        <f t="shared" si="23"/>
        <v>0</v>
      </c>
      <c r="L44" s="202">
        <f t="shared" si="23"/>
        <v>0</v>
      </c>
      <c r="M44" s="202">
        <f t="shared" si="23"/>
        <v>0</v>
      </c>
      <c r="N44" s="203">
        <f t="shared" si="23"/>
        <v>0</v>
      </c>
      <c r="O44" s="42"/>
      <c r="P44" s="42"/>
    </row>
    <row r="45" spans="1:16" ht="15" thickBot="1" x14ac:dyDescent="0.4">
      <c r="A45" s="42"/>
      <c r="B45" s="42"/>
      <c r="C45" s="42"/>
      <c r="D45" s="204" t="s">
        <v>408</v>
      </c>
      <c r="E45" s="205">
        <v>0</v>
      </c>
      <c r="F45" s="206">
        <f t="shared" ref="F45:N45" si="24">F41-F43</f>
        <v>4517916.666666667</v>
      </c>
      <c r="G45" s="206">
        <f t="shared" si="24"/>
        <v>2710750</v>
      </c>
      <c r="H45" s="206">
        <f t="shared" si="24"/>
        <v>903583.33333333326</v>
      </c>
      <c r="I45" s="206">
        <f t="shared" si="24"/>
        <v>0</v>
      </c>
      <c r="J45" s="206">
        <f t="shared" si="24"/>
        <v>0</v>
      </c>
      <c r="K45" s="206">
        <f t="shared" si="24"/>
        <v>0</v>
      </c>
      <c r="L45" s="206">
        <f t="shared" si="24"/>
        <v>0</v>
      </c>
      <c r="M45" s="206">
        <f t="shared" si="24"/>
        <v>0</v>
      </c>
      <c r="N45" s="207">
        <f t="shared" si="24"/>
        <v>0</v>
      </c>
      <c r="O45" s="42"/>
      <c r="P45" s="42"/>
    </row>
    <row r="47" spans="1:16" x14ac:dyDescent="0.35">
      <c r="A47" s="436" t="s">
        <v>414</v>
      </c>
      <c r="B47" s="436"/>
      <c r="C47" s="436"/>
      <c r="D47" s="436"/>
      <c r="E47" s="436"/>
      <c r="F47" s="436"/>
      <c r="G47" s="436"/>
      <c r="H47" s="436"/>
      <c r="I47" s="436"/>
      <c r="J47" s="436"/>
      <c r="K47" s="436"/>
      <c r="L47" s="436"/>
      <c r="M47" s="436"/>
    </row>
    <row r="48" spans="1:16" x14ac:dyDescent="0.35">
      <c r="A48" s="436"/>
      <c r="B48" s="436"/>
      <c r="C48" s="436"/>
      <c r="D48" s="436"/>
      <c r="E48" s="436"/>
      <c r="F48" s="436"/>
      <c r="G48" s="436"/>
      <c r="H48" s="436"/>
      <c r="I48" s="436"/>
      <c r="J48" s="436"/>
      <c r="K48" s="436"/>
      <c r="L48" s="436"/>
      <c r="M48" s="436"/>
    </row>
    <row r="50" spans="1:50" ht="15" thickBot="1" x14ac:dyDescent="0.4">
      <c r="A50">
        <v>18.3</v>
      </c>
    </row>
    <row r="51" spans="1:50" x14ac:dyDescent="0.35">
      <c r="A51" s="208" t="s">
        <v>395</v>
      </c>
      <c r="B51" s="209">
        <v>2437500</v>
      </c>
      <c r="D51" s="210" t="s">
        <v>410</v>
      </c>
      <c r="F51" s="173">
        <v>44896</v>
      </c>
      <c r="G51" s="173">
        <f>EDATE(F51,3)</f>
        <v>44986</v>
      </c>
      <c r="H51" s="173">
        <f>EDATE(G51,3)</f>
        <v>45078</v>
      </c>
      <c r="I51" s="173">
        <f t="shared" ref="I51:AU51" si="25">EDATE(H51,3)</f>
        <v>45170</v>
      </c>
      <c r="J51" s="173">
        <f t="shared" si="25"/>
        <v>45261</v>
      </c>
      <c r="K51" s="173">
        <f t="shared" si="25"/>
        <v>45352</v>
      </c>
      <c r="L51" s="173">
        <f t="shared" si="25"/>
        <v>45444</v>
      </c>
      <c r="M51" s="173">
        <f t="shared" si="25"/>
        <v>45536</v>
      </c>
      <c r="N51" s="173">
        <f t="shared" si="25"/>
        <v>45627</v>
      </c>
      <c r="O51" s="173">
        <f t="shared" si="25"/>
        <v>45717</v>
      </c>
      <c r="P51" s="173">
        <f t="shared" si="25"/>
        <v>45809</v>
      </c>
      <c r="Q51" s="173">
        <f t="shared" si="25"/>
        <v>45901</v>
      </c>
      <c r="R51" s="173">
        <f t="shared" si="25"/>
        <v>45992</v>
      </c>
      <c r="S51" s="173">
        <f t="shared" si="25"/>
        <v>46082</v>
      </c>
      <c r="T51" s="173">
        <f t="shared" si="25"/>
        <v>46174</v>
      </c>
      <c r="U51" s="173">
        <f t="shared" si="25"/>
        <v>46266</v>
      </c>
      <c r="V51" s="173">
        <f t="shared" si="25"/>
        <v>46357</v>
      </c>
      <c r="W51" s="173">
        <f t="shared" si="25"/>
        <v>46447</v>
      </c>
      <c r="X51" s="173">
        <f t="shared" si="25"/>
        <v>46539</v>
      </c>
      <c r="Y51" s="173">
        <f t="shared" si="25"/>
        <v>46631</v>
      </c>
      <c r="Z51" s="173">
        <f t="shared" si="25"/>
        <v>46722</v>
      </c>
      <c r="AA51" s="173">
        <f t="shared" si="25"/>
        <v>46813</v>
      </c>
      <c r="AB51" s="173">
        <f t="shared" si="25"/>
        <v>46905</v>
      </c>
      <c r="AC51" s="173">
        <f t="shared" si="25"/>
        <v>46997</v>
      </c>
      <c r="AD51" s="173">
        <f t="shared" si="25"/>
        <v>47088</v>
      </c>
      <c r="AE51" s="173">
        <f t="shared" si="25"/>
        <v>47178</v>
      </c>
      <c r="AF51" s="173">
        <f t="shared" si="25"/>
        <v>47270</v>
      </c>
      <c r="AG51" s="173">
        <f t="shared" si="25"/>
        <v>47362</v>
      </c>
      <c r="AH51" s="173">
        <f t="shared" si="25"/>
        <v>47453</v>
      </c>
      <c r="AI51" s="173">
        <f t="shared" si="25"/>
        <v>47543</v>
      </c>
      <c r="AJ51" s="173">
        <f t="shared" si="25"/>
        <v>47635</v>
      </c>
      <c r="AK51" s="173">
        <f t="shared" si="25"/>
        <v>47727</v>
      </c>
      <c r="AL51" s="173">
        <f t="shared" si="25"/>
        <v>47818</v>
      </c>
      <c r="AM51" s="173">
        <f t="shared" si="25"/>
        <v>47908</v>
      </c>
      <c r="AN51" s="173">
        <f t="shared" si="25"/>
        <v>48000</v>
      </c>
      <c r="AO51" s="173">
        <f t="shared" si="25"/>
        <v>48092</v>
      </c>
      <c r="AP51" s="173">
        <f t="shared" si="25"/>
        <v>48183</v>
      </c>
      <c r="AQ51" s="173">
        <f t="shared" si="25"/>
        <v>48274</v>
      </c>
      <c r="AR51" s="173">
        <f t="shared" si="25"/>
        <v>48366</v>
      </c>
      <c r="AS51" s="173">
        <f t="shared" si="25"/>
        <v>48458</v>
      </c>
      <c r="AT51" s="173">
        <f t="shared" si="25"/>
        <v>48549</v>
      </c>
      <c r="AU51" s="173">
        <f t="shared" si="25"/>
        <v>48639</v>
      </c>
    </row>
    <row r="52" spans="1:50" x14ac:dyDescent="0.35">
      <c r="A52" s="208" t="s">
        <v>396</v>
      </c>
      <c r="B52" s="211">
        <v>1.2E-2</v>
      </c>
      <c r="D52" s="212" t="s">
        <v>400</v>
      </c>
      <c r="F52" s="172">
        <f>$B$52</f>
        <v>1.2E-2</v>
      </c>
      <c r="G52" s="172">
        <f t="shared" ref="G52:AU52" si="26">$B$52</f>
        <v>1.2E-2</v>
      </c>
      <c r="H52" s="172">
        <f t="shared" si="26"/>
        <v>1.2E-2</v>
      </c>
      <c r="I52" s="172">
        <f t="shared" si="26"/>
        <v>1.2E-2</v>
      </c>
      <c r="J52" s="172">
        <f t="shared" si="26"/>
        <v>1.2E-2</v>
      </c>
      <c r="K52" s="172">
        <f t="shared" si="26"/>
        <v>1.2E-2</v>
      </c>
      <c r="L52" s="172">
        <f t="shared" si="26"/>
        <v>1.2E-2</v>
      </c>
      <c r="M52" s="172">
        <f t="shared" si="26"/>
        <v>1.2E-2</v>
      </c>
      <c r="N52" s="172">
        <f t="shared" si="26"/>
        <v>1.2E-2</v>
      </c>
      <c r="O52" s="172">
        <f t="shared" si="26"/>
        <v>1.2E-2</v>
      </c>
      <c r="P52" s="172">
        <f t="shared" si="26"/>
        <v>1.2E-2</v>
      </c>
      <c r="Q52" s="172">
        <f t="shared" si="26"/>
        <v>1.2E-2</v>
      </c>
      <c r="R52" s="172">
        <f t="shared" si="26"/>
        <v>1.2E-2</v>
      </c>
      <c r="S52" s="172">
        <f t="shared" si="26"/>
        <v>1.2E-2</v>
      </c>
      <c r="T52" s="172">
        <f t="shared" si="26"/>
        <v>1.2E-2</v>
      </c>
      <c r="U52" s="172">
        <f t="shared" si="26"/>
        <v>1.2E-2</v>
      </c>
      <c r="V52" s="172">
        <f t="shared" si="26"/>
        <v>1.2E-2</v>
      </c>
      <c r="W52" s="172">
        <f t="shared" si="26"/>
        <v>1.2E-2</v>
      </c>
      <c r="X52" s="172">
        <f t="shared" si="26"/>
        <v>1.2E-2</v>
      </c>
      <c r="Y52" s="172">
        <f t="shared" si="26"/>
        <v>1.2E-2</v>
      </c>
      <c r="Z52" s="172">
        <f t="shared" si="26"/>
        <v>1.2E-2</v>
      </c>
      <c r="AA52" s="172">
        <f t="shared" si="26"/>
        <v>1.2E-2</v>
      </c>
      <c r="AB52" s="172">
        <f t="shared" si="26"/>
        <v>1.2E-2</v>
      </c>
      <c r="AC52" s="172">
        <f t="shared" si="26"/>
        <v>1.2E-2</v>
      </c>
      <c r="AD52" s="172">
        <f t="shared" si="26"/>
        <v>1.2E-2</v>
      </c>
      <c r="AE52" s="172">
        <f t="shared" si="26"/>
        <v>1.2E-2</v>
      </c>
      <c r="AF52" s="172">
        <f t="shared" si="26"/>
        <v>1.2E-2</v>
      </c>
      <c r="AG52" s="172">
        <f t="shared" si="26"/>
        <v>1.2E-2</v>
      </c>
      <c r="AH52" s="172">
        <f t="shared" si="26"/>
        <v>1.2E-2</v>
      </c>
      <c r="AI52" s="172">
        <f t="shared" si="26"/>
        <v>1.2E-2</v>
      </c>
      <c r="AJ52" s="172">
        <f t="shared" si="26"/>
        <v>1.2E-2</v>
      </c>
      <c r="AK52" s="172">
        <f t="shared" si="26"/>
        <v>1.2E-2</v>
      </c>
      <c r="AL52" s="172">
        <f t="shared" si="26"/>
        <v>1.2E-2</v>
      </c>
      <c r="AM52" s="172">
        <f t="shared" si="26"/>
        <v>1.2E-2</v>
      </c>
      <c r="AN52" s="172">
        <f t="shared" si="26"/>
        <v>1.2E-2</v>
      </c>
      <c r="AO52" s="172">
        <f t="shared" si="26"/>
        <v>1.2E-2</v>
      </c>
      <c r="AP52" s="172">
        <f t="shared" si="26"/>
        <v>1.2E-2</v>
      </c>
      <c r="AQ52" s="172">
        <f t="shared" si="26"/>
        <v>1.2E-2</v>
      </c>
      <c r="AR52" s="172">
        <f t="shared" si="26"/>
        <v>1.2E-2</v>
      </c>
      <c r="AS52" s="172">
        <f t="shared" si="26"/>
        <v>1.2E-2</v>
      </c>
      <c r="AT52" s="172">
        <f t="shared" si="26"/>
        <v>1.2E-2</v>
      </c>
      <c r="AU52" s="172">
        <f t="shared" si="26"/>
        <v>1.2E-2</v>
      </c>
    </row>
    <row r="53" spans="1:50" x14ac:dyDescent="0.35">
      <c r="A53" s="208" t="s">
        <v>397</v>
      </c>
      <c r="B53" s="209">
        <v>4</v>
      </c>
      <c r="D53" s="212" t="s">
        <v>411</v>
      </c>
      <c r="F53" s="213">
        <v>0.16</v>
      </c>
      <c r="G53" s="213">
        <v>0.22</v>
      </c>
      <c r="H53" s="213">
        <v>0.22</v>
      </c>
      <c r="I53" s="213">
        <v>0.22</v>
      </c>
      <c r="J53" s="213">
        <v>0.22</v>
      </c>
      <c r="K53" s="213">
        <v>0.15</v>
      </c>
      <c r="L53" s="213">
        <v>0.15</v>
      </c>
      <c r="M53" s="213">
        <v>0.15</v>
      </c>
      <c r="N53" s="213">
        <v>0.15</v>
      </c>
      <c r="O53" s="213">
        <v>0.08</v>
      </c>
      <c r="P53" s="213">
        <v>0.08</v>
      </c>
      <c r="Q53" s="213">
        <v>0.08</v>
      </c>
      <c r="R53" s="213">
        <v>0.08</v>
      </c>
      <c r="S53" s="213">
        <v>0.04</v>
      </c>
      <c r="T53" s="213">
        <v>0.04</v>
      </c>
      <c r="U53" s="213">
        <v>0.04</v>
      </c>
      <c r="V53" s="213">
        <v>0.04</v>
      </c>
      <c r="W53" s="213">
        <v>0.04</v>
      </c>
      <c r="X53" s="213">
        <v>0.04</v>
      </c>
      <c r="Y53" s="213">
        <v>0.04</v>
      </c>
      <c r="Z53" s="213">
        <v>0.04</v>
      </c>
      <c r="AA53" s="213">
        <v>0.04</v>
      </c>
      <c r="AB53" s="213">
        <v>0.04</v>
      </c>
      <c r="AC53" s="213">
        <v>0.04</v>
      </c>
      <c r="AD53" s="213">
        <v>0.04</v>
      </c>
      <c r="AE53" s="213">
        <v>0.04</v>
      </c>
      <c r="AF53" s="213">
        <v>0.04</v>
      </c>
      <c r="AG53" s="213">
        <v>0.04</v>
      </c>
      <c r="AH53" s="213">
        <v>0.04</v>
      </c>
      <c r="AI53" s="213">
        <v>0.04</v>
      </c>
      <c r="AJ53" s="213">
        <v>0.04</v>
      </c>
      <c r="AK53" s="213">
        <v>0.04</v>
      </c>
      <c r="AL53" s="213">
        <v>0.04</v>
      </c>
      <c r="AM53" s="213">
        <v>0.04</v>
      </c>
      <c r="AN53" s="213">
        <v>0.04</v>
      </c>
      <c r="AO53" s="213">
        <v>0.04</v>
      </c>
      <c r="AP53" s="213">
        <v>0.04</v>
      </c>
      <c r="AQ53" s="213">
        <v>0.04</v>
      </c>
      <c r="AR53" s="213">
        <v>0.04</v>
      </c>
      <c r="AS53" s="213">
        <v>0.04</v>
      </c>
      <c r="AT53" s="213">
        <v>0.04</v>
      </c>
      <c r="AU53" s="214">
        <v>0.04</v>
      </c>
    </row>
    <row r="54" spans="1:50" x14ac:dyDescent="0.35">
      <c r="A54" s="208" t="s">
        <v>398</v>
      </c>
      <c r="B54" s="209">
        <v>10</v>
      </c>
      <c r="D54" s="212" t="s">
        <v>402</v>
      </c>
      <c r="F54">
        <v>1</v>
      </c>
      <c r="G54">
        <v>2</v>
      </c>
      <c r="H54">
        <v>3</v>
      </c>
      <c r="I54">
        <v>4</v>
      </c>
      <c r="J54">
        <v>5</v>
      </c>
      <c r="K54">
        <v>6</v>
      </c>
      <c r="L54">
        <v>7</v>
      </c>
      <c r="M54">
        <v>8</v>
      </c>
      <c r="N54">
        <v>9</v>
      </c>
      <c r="O54">
        <v>10</v>
      </c>
      <c r="P54">
        <v>11</v>
      </c>
      <c r="Q54">
        <v>12</v>
      </c>
      <c r="R54">
        <v>13</v>
      </c>
      <c r="S54">
        <v>14</v>
      </c>
      <c r="T54">
        <v>15</v>
      </c>
      <c r="U54">
        <v>16</v>
      </c>
      <c r="V54">
        <v>17</v>
      </c>
      <c r="W54">
        <v>18</v>
      </c>
      <c r="X54">
        <v>19</v>
      </c>
      <c r="Y54">
        <v>20</v>
      </c>
      <c r="Z54">
        <v>21</v>
      </c>
      <c r="AA54">
        <v>22</v>
      </c>
      <c r="AB54">
        <v>23</v>
      </c>
      <c r="AC54">
        <v>24</v>
      </c>
      <c r="AD54">
        <v>25</v>
      </c>
      <c r="AE54">
        <v>26</v>
      </c>
      <c r="AF54">
        <v>27</v>
      </c>
      <c r="AG54">
        <v>28</v>
      </c>
      <c r="AH54">
        <v>29</v>
      </c>
      <c r="AI54">
        <v>30</v>
      </c>
      <c r="AJ54">
        <v>31</v>
      </c>
      <c r="AK54">
        <v>32</v>
      </c>
      <c r="AL54">
        <v>33</v>
      </c>
      <c r="AM54">
        <v>34</v>
      </c>
      <c r="AN54">
        <v>35</v>
      </c>
      <c r="AO54">
        <v>36</v>
      </c>
      <c r="AP54">
        <v>37</v>
      </c>
      <c r="AQ54">
        <v>38</v>
      </c>
      <c r="AR54">
        <v>39</v>
      </c>
      <c r="AS54">
        <v>40</v>
      </c>
      <c r="AT54">
        <v>41</v>
      </c>
      <c r="AU54">
        <v>42</v>
      </c>
      <c r="AV54" s="215"/>
      <c r="AW54" s="215"/>
      <c r="AX54" s="215"/>
    </row>
    <row r="55" spans="1:50" x14ac:dyDescent="0.35">
      <c r="A55" s="208" t="s">
        <v>399</v>
      </c>
      <c r="B55" s="209">
        <f>B53*B54</f>
        <v>40</v>
      </c>
      <c r="D55" s="212" t="s">
        <v>403</v>
      </c>
      <c r="F55" s="216">
        <f>(F53+F52)/4</f>
        <v>4.3000000000000003E-2</v>
      </c>
      <c r="G55" s="216">
        <f t="shared" ref="G55:H55" si="27">(G53+G52)/4</f>
        <v>5.8000000000000003E-2</v>
      </c>
      <c r="H55" s="216">
        <f t="shared" si="27"/>
        <v>5.8000000000000003E-2</v>
      </c>
      <c r="I55" s="216">
        <f t="shared" ref="I55:AU55" si="28">(I53+I52)/4</f>
        <v>5.8000000000000003E-2</v>
      </c>
      <c r="J55" s="216">
        <f t="shared" si="28"/>
        <v>5.8000000000000003E-2</v>
      </c>
      <c r="K55" s="216">
        <f t="shared" si="28"/>
        <v>4.0500000000000001E-2</v>
      </c>
      <c r="L55" s="216">
        <f t="shared" si="28"/>
        <v>4.0500000000000001E-2</v>
      </c>
      <c r="M55" s="216">
        <f t="shared" si="28"/>
        <v>4.0500000000000001E-2</v>
      </c>
      <c r="N55" s="216">
        <f t="shared" si="28"/>
        <v>4.0500000000000001E-2</v>
      </c>
      <c r="O55" s="216">
        <f t="shared" si="28"/>
        <v>2.3E-2</v>
      </c>
      <c r="P55" s="216">
        <f t="shared" si="28"/>
        <v>2.3E-2</v>
      </c>
      <c r="Q55" s="216">
        <f t="shared" si="28"/>
        <v>2.3E-2</v>
      </c>
      <c r="R55" s="216">
        <f t="shared" si="28"/>
        <v>2.3E-2</v>
      </c>
      <c r="S55" s="216">
        <f t="shared" si="28"/>
        <v>1.3000000000000001E-2</v>
      </c>
      <c r="T55" s="216">
        <f t="shared" si="28"/>
        <v>1.3000000000000001E-2</v>
      </c>
      <c r="U55" s="216">
        <f t="shared" si="28"/>
        <v>1.3000000000000001E-2</v>
      </c>
      <c r="V55" s="216">
        <f t="shared" si="28"/>
        <v>1.3000000000000001E-2</v>
      </c>
      <c r="W55" s="216">
        <f t="shared" si="28"/>
        <v>1.3000000000000001E-2</v>
      </c>
      <c r="X55" s="216">
        <f t="shared" si="28"/>
        <v>1.3000000000000001E-2</v>
      </c>
      <c r="Y55" s="216">
        <f t="shared" si="28"/>
        <v>1.3000000000000001E-2</v>
      </c>
      <c r="Z55" s="216">
        <f t="shared" si="28"/>
        <v>1.3000000000000001E-2</v>
      </c>
      <c r="AA55" s="216">
        <f t="shared" si="28"/>
        <v>1.3000000000000001E-2</v>
      </c>
      <c r="AB55" s="216">
        <f t="shared" si="28"/>
        <v>1.3000000000000001E-2</v>
      </c>
      <c r="AC55" s="216">
        <f t="shared" si="28"/>
        <v>1.3000000000000001E-2</v>
      </c>
      <c r="AD55" s="216">
        <f t="shared" si="28"/>
        <v>1.3000000000000001E-2</v>
      </c>
      <c r="AE55" s="216">
        <f t="shared" si="28"/>
        <v>1.3000000000000001E-2</v>
      </c>
      <c r="AF55" s="216">
        <f t="shared" si="28"/>
        <v>1.3000000000000001E-2</v>
      </c>
      <c r="AG55" s="216">
        <f t="shared" si="28"/>
        <v>1.3000000000000001E-2</v>
      </c>
      <c r="AH55" s="216">
        <f t="shared" si="28"/>
        <v>1.3000000000000001E-2</v>
      </c>
      <c r="AI55" s="216">
        <f t="shared" si="28"/>
        <v>1.3000000000000001E-2</v>
      </c>
      <c r="AJ55" s="216">
        <f t="shared" si="28"/>
        <v>1.3000000000000001E-2</v>
      </c>
      <c r="AK55" s="216">
        <f t="shared" si="28"/>
        <v>1.3000000000000001E-2</v>
      </c>
      <c r="AL55" s="216">
        <f t="shared" si="28"/>
        <v>1.3000000000000001E-2</v>
      </c>
      <c r="AM55" s="216">
        <f t="shared" si="28"/>
        <v>1.3000000000000001E-2</v>
      </c>
      <c r="AN55" s="216">
        <f t="shared" si="28"/>
        <v>1.3000000000000001E-2</v>
      </c>
      <c r="AO55" s="216">
        <f t="shared" si="28"/>
        <v>1.3000000000000001E-2</v>
      </c>
      <c r="AP55" s="216">
        <f t="shared" si="28"/>
        <v>1.3000000000000001E-2</v>
      </c>
      <c r="AQ55" s="216">
        <f t="shared" si="28"/>
        <v>1.3000000000000001E-2</v>
      </c>
      <c r="AR55" s="216">
        <f>(AR53+AR52)/4</f>
        <v>1.3000000000000001E-2</v>
      </c>
      <c r="AS55" s="216">
        <f t="shared" si="28"/>
        <v>1.3000000000000001E-2</v>
      </c>
      <c r="AT55" s="216">
        <f t="shared" si="28"/>
        <v>1.3000000000000001E-2</v>
      </c>
      <c r="AU55" s="216">
        <f t="shared" si="28"/>
        <v>1.3000000000000001E-2</v>
      </c>
    </row>
    <row r="56" spans="1:50" x14ac:dyDescent="0.35">
      <c r="D56" s="212" t="s">
        <v>404</v>
      </c>
      <c r="F56">
        <f>B51</f>
        <v>2437500</v>
      </c>
      <c r="G56">
        <f>F60</f>
        <v>2376562.5</v>
      </c>
      <c r="H56">
        <f t="shared" ref="H56:AU56" si="29">G60</f>
        <v>2315625</v>
      </c>
      <c r="I56">
        <f t="shared" si="29"/>
        <v>2254687.5</v>
      </c>
      <c r="J56">
        <f t="shared" si="29"/>
        <v>2193750</v>
      </c>
      <c r="K56">
        <f t="shared" si="29"/>
        <v>2132812.5</v>
      </c>
      <c r="L56">
        <f t="shared" si="29"/>
        <v>2071875</v>
      </c>
      <c r="M56">
        <f t="shared" si="29"/>
        <v>2010937.5</v>
      </c>
      <c r="N56">
        <f t="shared" si="29"/>
        <v>1950000</v>
      </c>
      <c r="O56">
        <f t="shared" si="29"/>
        <v>1889062.5</v>
      </c>
      <c r="P56">
        <f t="shared" si="29"/>
        <v>1828125</v>
      </c>
      <c r="Q56">
        <f t="shared" si="29"/>
        <v>1767187.5</v>
      </c>
      <c r="R56">
        <f t="shared" si="29"/>
        <v>1706250</v>
      </c>
      <c r="S56">
        <f t="shared" si="29"/>
        <v>1645312.5</v>
      </c>
      <c r="T56">
        <f t="shared" si="29"/>
        <v>1584375</v>
      </c>
      <c r="U56">
        <f t="shared" si="29"/>
        <v>1523437.5</v>
      </c>
      <c r="V56">
        <f t="shared" si="29"/>
        <v>1462500</v>
      </c>
      <c r="W56">
        <f t="shared" si="29"/>
        <v>1401562.5</v>
      </c>
      <c r="X56">
        <f t="shared" si="29"/>
        <v>1340625</v>
      </c>
      <c r="Y56">
        <f t="shared" si="29"/>
        <v>1279687.5</v>
      </c>
      <c r="Z56">
        <f t="shared" si="29"/>
        <v>1218750</v>
      </c>
      <c r="AA56">
        <f t="shared" si="29"/>
        <v>1157812.5</v>
      </c>
      <c r="AB56">
        <f t="shared" si="29"/>
        <v>1096875</v>
      </c>
      <c r="AC56">
        <f t="shared" si="29"/>
        <v>1035937.5</v>
      </c>
      <c r="AD56">
        <f t="shared" si="29"/>
        <v>975000</v>
      </c>
      <c r="AE56">
        <f t="shared" si="29"/>
        <v>914062.5</v>
      </c>
      <c r="AF56">
        <f t="shared" si="29"/>
        <v>853125</v>
      </c>
      <c r="AG56">
        <f t="shared" si="29"/>
        <v>792187.5</v>
      </c>
      <c r="AH56">
        <f t="shared" si="29"/>
        <v>731250</v>
      </c>
      <c r="AI56">
        <f t="shared" si="29"/>
        <v>670312.5</v>
      </c>
      <c r="AJ56">
        <f t="shared" si="29"/>
        <v>609375</v>
      </c>
      <c r="AK56">
        <f t="shared" si="29"/>
        <v>548437.5</v>
      </c>
      <c r="AL56">
        <f t="shared" si="29"/>
        <v>487500</v>
      </c>
      <c r="AM56">
        <f t="shared" si="29"/>
        <v>426562.5</v>
      </c>
      <c r="AN56">
        <f t="shared" si="29"/>
        <v>365625</v>
      </c>
      <c r="AO56">
        <f t="shared" si="29"/>
        <v>304687.5</v>
      </c>
      <c r="AP56">
        <f t="shared" si="29"/>
        <v>243750</v>
      </c>
      <c r="AQ56">
        <f t="shared" si="29"/>
        <v>182812.5</v>
      </c>
      <c r="AR56">
        <f t="shared" si="29"/>
        <v>121875</v>
      </c>
      <c r="AS56">
        <f t="shared" si="29"/>
        <v>60937.5</v>
      </c>
      <c r="AT56">
        <f t="shared" si="29"/>
        <v>0</v>
      </c>
      <c r="AU56">
        <f t="shared" si="29"/>
        <v>0</v>
      </c>
    </row>
    <row r="57" spans="1:50" x14ac:dyDescent="0.35">
      <c r="D57" s="212" t="s">
        <v>405</v>
      </c>
      <c r="F57">
        <f>IF(F54&lt;=$B$55,F55*F56,0)</f>
        <v>104812.50000000001</v>
      </c>
      <c r="G57">
        <f>IF(G54&lt;=$B$55,G55*G56,0)</f>
        <v>137840.625</v>
      </c>
      <c r="H57">
        <f t="shared" ref="H57:AU57" si="30">IF(H54&lt;=$B$55,H55*H56,0)</f>
        <v>134306.25</v>
      </c>
      <c r="I57">
        <f t="shared" si="30"/>
        <v>130771.875</v>
      </c>
      <c r="J57">
        <f t="shared" si="30"/>
        <v>127237.5</v>
      </c>
      <c r="K57">
        <f t="shared" si="30"/>
        <v>86378.90625</v>
      </c>
      <c r="L57">
        <f t="shared" si="30"/>
        <v>83910.9375</v>
      </c>
      <c r="M57">
        <f t="shared" si="30"/>
        <v>81442.96875</v>
      </c>
      <c r="N57">
        <f t="shared" si="30"/>
        <v>78975</v>
      </c>
      <c r="O57">
        <f t="shared" si="30"/>
        <v>43448.4375</v>
      </c>
      <c r="P57">
        <f t="shared" si="30"/>
        <v>42046.875</v>
      </c>
      <c r="Q57">
        <f t="shared" si="30"/>
        <v>40645.3125</v>
      </c>
      <c r="R57">
        <f t="shared" si="30"/>
        <v>39243.75</v>
      </c>
      <c r="S57">
        <f t="shared" si="30"/>
        <v>21389.062500000004</v>
      </c>
      <c r="T57">
        <f t="shared" si="30"/>
        <v>20596.875</v>
      </c>
      <c r="U57">
        <f t="shared" si="30"/>
        <v>19804.6875</v>
      </c>
      <c r="V57">
        <f t="shared" si="30"/>
        <v>19012.5</v>
      </c>
      <c r="W57">
        <f t="shared" si="30"/>
        <v>18220.3125</v>
      </c>
      <c r="X57">
        <f t="shared" si="30"/>
        <v>17428.125</v>
      </c>
      <c r="Y57">
        <f t="shared" si="30"/>
        <v>16635.9375</v>
      </c>
      <c r="Z57">
        <f t="shared" si="30"/>
        <v>15843.750000000002</v>
      </c>
      <c r="AA57">
        <f t="shared" si="30"/>
        <v>15051.562500000002</v>
      </c>
      <c r="AB57">
        <f t="shared" si="30"/>
        <v>14259.375000000002</v>
      </c>
      <c r="AC57">
        <f t="shared" si="30"/>
        <v>13467.187500000002</v>
      </c>
      <c r="AD57">
        <f t="shared" si="30"/>
        <v>12675.000000000002</v>
      </c>
      <c r="AE57">
        <f t="shared" si="30"/>
        <v>11882.812500000002</v>
      </c>
      <c r="AF57">
        <f t="shared" si="30"/>
        <v>11090.625000000002</v>
      </c>
      <c r="AG57">
        <f t="shared" si="30"/>
        <v>10298.4375</v>
      </c>
      <c r="AH57">
        <f t="shared" si="30"/>
        <v>9506.25</v>
      </c>
      <c r="AI57">
        <f t="shared" si="30"/>
        <v>8714.0625</v>
      </c>
      <c r="AJ57">
        <f t="shared" si="30"/>
        <v>7921.8750000000009</v>
      </c>
      <c r="AK57">
        <f t="shared" si="30"/>
        <v>7129.6875000000009</v>
      </c>
      <c r="AL57">
        <f t="shared" si="30"/>
        <v>6337.5000000000009</v>
      </c>
      <c r="AM57">
        <f t="shared" si="30"/>
        <v>5545.3125000000009</v>
      </c>
      <c r="AN57">
        <f t="shared" si="30"/>
        <v>4753.125</v>
      </c>
      <c r="AO57">
        <f t="shared" si="30"/>
        <v>3960.9375000000005</v>
      </c>
      <c r="AP57">
        <f t="shared" si="30"/>
        <v>3168.7500000000005</v>
      </c>
      <c r="AQ57">
        <f t="shared" si="30"/>
        <v>2376.5625</v>
      </c>
      <c r="AR57">
        <f t="shared" si="30"/>
        <v>1584.3750000000002</v>
      </c>
      <c r="AS57">
        <f t="shared" si="30"/>
        <v>792.18750000000011</v>
      </c>
      <c r="AT57">
        <f t="shared" si="30"/>
        <v>0</v>
      </c>
      <c r="AU57">
        <f t="shared" si="30"/>
        <v>0</v>
      </c>
    </row>
    <row r="58" spans="1:50" x14ac:dyDescent="0.35">
      <c r="D58" s="212" t="s">
        <v>406</v>
      </c>
      <c r="F58">
        <f>IF(F54&lt;=$B$55,$B$51/$B$55,0)</f>
        <v>60937.5</v>
      </c>
      <c r="G58">
        <f>IF(G54&lt;=$B$55,$B$51/$B$55,0)</f>
        <v>60937.5</v>
      </c>
      <c r="H58">
        <f t="shared" ref="H58:AU58" si="31">IF(H54&lt;=$B$55,$B$51/$B$55,0)</f>
        <v>60937.5</v>
      </c>
      <c r="I58">
        <f t="shared" si="31"/>
        <v>60937.5</v>
      </c>
      <c r="J58">
        <f t="shared" si="31"/>
        <v>60937.5</v>
      </c>
      <c r="K58">
        <f t="shared" si="31"/>
        <v>60937.5</v>
      </c>
      <c r="L58">
        <f t="shared" si="31"/>
        <v>60937.5</v>
      </c>
      <c r="M58">
        <f t="shared" si="31"/>
        <v>60937.5</v>
      </c>
      <c r="N58">
        <f t="shared" si="31"/>
        <v>60937.5</v>
      </c>
      <c r="O58">
        <f t="shared" si="31"/>
        <v>60937.5</v>
      </c>
      <c r="P58">
        <f t="shared" si="31"/>
        <v>60937.5</v>
      </c>
      <c r="Q58">
        <f t="shared" si="31"/>
        <v>60937.5</v>
      </c>
      <c r="R58">
        <f t="shared" si="31"/>
        <v>60937.5</v>
      </c>
      <c r="S58">
        <f t="shared" si="31"/>
        <v>60937.5</v>
      </c>
      <c r="T58">
        <f t="shared" si="31"/>
        <v>60937.5</v>
      </c>
      <c r="U58">
        <f t="shared" si="31"/>
        <v>60937.5</v>
      </c>
      <c r="V58">
        <f t="shared" si="31"/>
        <v>60937.5</v>
      </c>
      <c r="W58">
        <f t="shared" si="31"/>
        <v>60937.5</v>
      </c>
      <c r="X58">
        <f t="shared" si="31"/>
        <v>60937.5</v>
      </c>
      <c r="Y58">
        <f t="shared" si="31"/>
        <v>60937.5</v>
      </c>
      <c r="Z58">
        <f t="shared" si="31"/>
        <v>60937.5</v>
      </c>
      <c r="AA58">
        <f t="shared" si="31"/>
        <v>60937.5</v>
      </c>
      <c r="AB58">
        <f t="shared" si="31"/>
        <v>60937.5</v>
      </c>
      <c r="AC58">
        <f t="shared" si="31"/>
        <v>60937.5</v>
      </c>
      <c r="AD58">
        <f t="shared" si="31"/>
        <v>60937.5</v>
      </c>
      <c r="AE58">
        <f t="shared" si="31"/>
        <v>60937.5</v>
      </c>
      <c r="AF58">
        <f t="shared" si="31"/>
        <v>60937.5</v>
      </c>
      <c r="AG58">
        <f t="shared" si="31"/>
        <v>60937.5</v>
      </c>
      <c r="AH58">
        <f t="shared" si="31"/>
        <v>60937.5</v>
      </c>
      <c r="AI58">
        <f t="shared" si="31"/>
        <v>60937.5</v>
      </c>
      <c r="AJ58">
        <f t="shared" si="31"/>
        <v>60937.5</v>
      </c>
      <c r="AK58">
        <f t="shared" si="31"/>
        <v>60937.5</v>
      </c>
      <c r="AL58">
        <f t="shared" si="31"/>
        <v>60937.5</v>
      </c>
      <c r="AM58">
        <f t="shared" si="31"/>
        <v>60937.5</v>
      </c>
      <c r="AN58">
        <f t="shared" si="31"/>
        <v>60937.5</v>
      </c>
      <c r="AO58">
        <f t="shared" si="31"/>
        <v>60937.5</v>
      </c>
      <c r="AP58">
        <f t="shared" si="31"/>
        <v>60937.5</v>
      </c>
      <c r="AQ58">
        <f t="shared" si="31"/>
        <v>60937.5</v>
      </c>
      <c r="AR58">
        <f t="shared" si="31"/>
        <v>60937.5</v>
      </c>
      <c r="AS58">
        <f t="shared" si="31"/>
        <v>60937.5</v>
      </c>
      <c r="AT58">
        <f t="shared" si="31"/>
        <v>0</v>
      </c>
      <c r="AU58">
        <f t="shared" si="31"/>
        <v>0</v>
      </c>
    </row>
    <row r="59" spans="1:50" x14ac:dyDescent="0.35">
      <c r="D59" s="212" t="s">
        <v>407</v>
      </c>
      <c r="F59">
        <f>F57+F58</f>
        <v>165750</v>
      </c>
      <c r="G59">
        <f>G57+G58</f>
        <v>198778.125</v>
      </c>
      <c r="H59">
        <f t="shared" ref="H59:AU59" si="32">H57+H58</f>
        <v>195243.75</v>
      </c>
      <c r="I59">
        <f t="shared" si="32"/>
        <v>191709.375</v>
      </c>
      <c r="J59">
        <f t="shared" si="32"/>
        <v>188175</v>
      </c>
      <c r="K59">
        <f t="shared" si="32"/>
        <v>147316.40625</v>
      </c>
      <c r="L59">
        <f t="shared" si="32"/>
        <v>144848.4375</v>
      </c>
      <c r="M59">
        <f t="shared" si="32"/>
        <v>142380.46875</v>
      </c>
      <c r="N59">
        <f t="shared" si="32"/>
        <v>139912.5</v>
      </c>
      <c r="O59">
        <f t="shared" si="32"/>
        <v>104385.9375</v>
      </c>
      <c r="P59">
        <f t="shared" si="32"/>
        <v>102984.375</v>
      </c>
      <c r="Q59">
        <f t="shared" si="32"/>
        <v>101582.8125</v>
      </c>
      <c r="R59">
        <f t="shared" si="32"/>
        <v>100181.25</v>
      </c>
      <c r="S59">
        <f t="shared" si="32"/>
        <v>82326.5625</v>
      </c>
      <c r="T59">
        <f t="shared" si="32"/>
        <v>81534.375</v>
      </c>
      <c r="U59">
        <f t="shared" si="32"/>
        <v>80742.1875</v>
      </c>
      <c r="V59">
        <f t="shared" si="32"/>
        <v>79950</v>
      </c>
      <c r="W59">
        <f t="shared" si="32"/>
        <v>79157.8125</v>
      </c>
      <c r="X59">
        <f t="shared" si="32"/>
        <v>78365.625</v>
      </c>
      <c r="Y59">
        <f t="shared" si="32"/>
        <v>77573.4375</v>
      </c>
      <c r="Z59">
        <f t="shared" si="32"/>
        <v>76781.25</v>
      </c>
      <c r="AA59">
        <f t="shared" si="32"/>
        <v>75989.0625</v>
      </c>
      <c r="AB59">
        <f t="shared" si="32"/>
        <v>75196.875</v>
      </c>
      <c r="AC59">
        <f t="shared" si="32"/>
        <v>74404.6875</v>
      </c>
      <c r="AD59">
        <f t="shared" si="32"/>
        <v>73612.5</v>
      </c>
      <c r="AE59">
        <f t="shared" si="32"/>
        <v>72820.3125</v>
      </c>
      <c r="AF59">
        <f t="shared" si="32"/>
        <v>72028.125</v>
      </c>
      <c r="AG59">
        <f t="shared" si="32"/>
        <v>71235.9375</v>
      </c>
      <c r="AH59">
        <f t="shared" si="32"/>
        <v>70443.75</v>
      </c>
      <c r="AI59">
        <f t="shared" si="32"/>
        <v>69651.5625</v>
      </c>
      <c r="AJ59">
        <f t="shared" si="32"/>
        <v>68859.375</v>
      </c>
      <c r="AK59">
        <f t="shared" si="32"/>
        <v>68067.1875</v>
      </c>
      <c r="AL59">
        <f t="shared" si="32"/>
        <v>67275</v>
      </c>
      <c r="AM59">
        <f t="shared" si="32"/>
        <v>66482.8125</v>
      </c>
      <c r="AN59">
        <f t="shared" si="32"/>
        <v>65690.625</v>
      </c>
      <c r="AO59">
        <f t="shared" si="32"/>
        <v>64898.4375</v>
      </c>
      <c r="AP59">
        <f t="shared" si="32"/>
        <v>64106.25</v>
      </c>
      <c r="AQ59">
        <f t="shared" si="32"/>
        <v>63314.0625</v>
      </c>
      <c r="AR59">
        <f t="shared" si="32"/>
        <v>62521.875</v>
      </c>
      <c r="AS59">
        <f t="shared" si="32"/>
        <v>61729.6875</v>
      </c>
      <c r="AT59">
        <f t="shared" si="32"/>
        <v>0</v>
      </c>
      <c r="AU59">
        <f t="shared" si="32"/>
        <v>0</v>
      </c>
    </row>
    <row r="60" spans="1:50" ht="15" thickBot="1" x14ac:dyDescent="0.4">
      <c r="D60" s="217" t="s">
        <v>408</v>
      </c>
      <c r="F60">
        <f>F56-F58</f>
        <v>2376562.5</v>
      </c>
      <c r="G60">
        <f>G56-G58</f>
        <v>2315625</v>
      </c>
      <c r="H60">
        <f t="shared" ref="H60:AU60" si="33">H56-H58</f>
        <v>2254687.5</v>
      </c>
      <c r="I60">
        <f t="shared" si="33"/>
        <v>2193750</v>
      </c>
      <c r="J60">
        <f t="shared" si="33"/>
        <v>2132812.5</v>
      </c>
      <c r="K60">
        <f t="shared" si="33"/>
        <v>2071875</v>
      </c>
      <c r="L60">
        <f t="shared" si="33"/>
        <v>2010937.5</v>
      </c>
      <c r="M60">
        <f t="shared" si="33"/>
        <v>1950000</v>
      </c>
      <c r="N60">
        <f t="shared" si="33"/>
        <v>1889062.5</v>
      </c>
      <c r="O60">
        <f t="shared" si="33"/>
        <v>1828125</v>
      </c>
      <c r="P60">
        <f t="shared" si="33"/>
        <v>1767187.5</v>
      </c>
      <c r="Q60">
        <f t="shared" si="33"/>
        <v>1706250</v>
      </c>
      <c r="R60">
        <f t="shared" si="33"/>
        <v>1645312.5</v>
      </c>
      <c r="S60">
        <f t="shared" si="33"/>
        <v>1584375</v>
      </c>
      <c r="T60">
        <f t="shared" si="33"/>
        <v>1523437.5</v>
      </c>
      <c r="U60">
        <f t="shared" si="33"/>
        <v>1462500</v>
      </c>
      <c r="V60">
        <f t="shared" si="33"/>
        <v>1401562.5</v>
      </c>
      <c r="W60">
        <f t="shared" si="33"/>
        <v>1340625</v>
      </c>
      <c r="X60">
        <f t="shared" si="33"/>
        <v>1279687.5</v>
      </c>
      <c r="Y60">
        <f t="shared" si="33"/>
        <v>1218750</v>
      </c>
      <c r="Z60">
        <f t="shared" si="33"/>
        <v>1157812.5</v>
      </c>
      <c r="AA60">
        <f t="shared" si="33"/>
        <v>1096875</v>
      </c>
      <c r="AB60">
        <f t="shared" si="33"/>
        <v>1035937.5</v>
      </c>
      <c r="AC60">
        <f t="shared" si="33"/>
        <v>975000</v>
      </c>
      <c r="AD60">
        <f t="shared" si="33"/>
        <v>914062.5</v>
      </c>
      <c r="AE60">
        <f t="shared" si="33"/>
        <v>853125</v>
      </c>
      <c r="AF60">
        <f t="shared" si="33"/>
        <v>792187.5</v>
      </c>
      <c r="AG60">
        <f t="shared" si="33"/>
        <v>731250</v>
      </c>
      <c r="AH60">
        <f t="shared" si="33"/>
        <v>670312.5</v>
      </c>
      <c r="AI60">
        <f t="shared" si="33"/>
        <v>609375</v>
      </c>
      <c r="AJ60">
        <f t="shared" si="33"/>
        <v>548437.5</v>
      </c>
      <c r="AK60">
        <f t="shared" si="33"/>
        <v>487500</v>
      </c>
      <c r="AL60">
        <f t="shared" si="33"/>
        <v>426562.5</v>
      </c>
      <c r="AM60">
        <f t="shared" si="33"/>
        <v>365625</v>
      </c>
      <c r="AN60">
        <f t="shared" si="33"/>
        <v>304687.5</v>
      </c>
      <c r="AO60">
        <f t="shared" si="33"/>
        <v>243750</v>
      </c>
      <c r="AP60">
        <f t="shared" si="33"/>
        <v>182812.5</v>
      </c>
      <c r="AQ60">
        <f t="shared" si="33"/>
        <v>121875</v>
      </c>
      <c r="AR60">
        <f t="shared" si="33"/>
        <v>60937.5</v>
      </c>
      <c r="AS60">
        <f t="shared" si="33"/>
        <v>0</v>
      </c>
      <c r="AT60">
        <f t="shared" si="33"/>
        <v>0</v>
      </c>
      <c r="AU60">
        <f t="shared" si="33"/>
        <v>0</v>
      </c>
    </row>
    <row r="62" spans="1:50" x14ac:dyDescent="0.35">
      <c r="D62" s="209"/>
      <c r="E62" s="209">
        <v>2021</v>
      </c>
      <c r="F62" s="209">
        <v>2022</v>
      </c>
      <c r="G62" s="209">
        <v>2023</v>
      </c>
      <c r="H62" s="209">
        <v>2024</v>
      </c>
      <c r="I62" s="209">
        <v>2025</v>
      </c>
      <c r="J62" s="209">
        <v>2026</v>
      </c>
      <c r="K62" s="209">
        <v>2027</v>
      </c>
      <c r="L62" s="209">
        <v>2028</v>
      </c>
      <c r="M62" s="209">
        <v>2029</v>
      </c>
      <c r="N62" s="209">
        <v>2030</v>
      </c>
      <c r="O62" s="209">
        <v>2031</v>
      </c>
      <c r="P62" s="209">
        <v>2032</v>
      </c>
    </row>
    <row r="63" spans="1:50" x14ac:dyDescent="0.35">
      <c r="D63" s="208" t="s">
        <v>404</v>
      </c>
      <c r="E63" s="209"/>
      <c r="F63" s="209">
        <f>F56</f>
        <v>2437500</v>
      </c>
      <c r="G63" s="209">
        <f>F67</f>
        <v>2376562.5</v>
      </c>
      <c r="H63" s="209">
        <f t="shared" ref="H63:P63" si="34">G67</f>
        <v>2132812.5</v>
      </c>
      <c r="I63" s="209">
        <f t="shared" si="34"/>
        <v>1889062.5</v>
      </c>
      <c r="J63" s="209">
        <f t="shared" si="34"/>
        <v>1645312.5</v>
      </c>
      <c r="K63" s="209">
        <f t="shared" si="34"/>
        <v>1401562.5</v>
      </c>
      <c r="L63" s="209">
        <f t="shared" si="34"/>
        <v>1157812.5</v>
      </c>
      <c r="M63" s="209">
        <f t="shared" si="34"/>
        <v>914062.5</v>
      </c>
      <c r="N63" s="209">
        <f t="shared" si="34"/>
        <v>670312.5</v>
      </c>
      <c r="O63" s="209">
        <f t="shared" si="34"/>
        <v>426562.5</v>
      </c>
      <c r="P63" s="209">
        <f t="shared" si="34"/>
        <v>182812.5</v>
      </c>
    </row>
    <row r="64" spans="1:50" x14ac:dyDescent="0.35">
      <c r="D64" s="208" t="s">
        <v>405</v>
      </c>
      <c r="E64" s="209"/>
      <c r="F64" s="209">
        <f>E57+F57</f>
        <v>104812.50000000001</v>
      </c>
      <c r="G64" s="209">
        <f>SUM(G57:J57)</f>
        <v>530156.25</v>
      </c>
      <c r="H64" s="209">
        <f>SUM(K57:N57)</f>
        <v>330707.8125</v>
      </c>
      <c r="I64" s="209">
        <f>SUM(O57:R57)</f>
        <v>165384.375</v>
      </c>
      <c r="J64" s="209">
        <f>SUM(S57:V57)</f>
        <v>80803.125</v>
      </c>
      <c r="K64" s="209">
        <f>SUM(W57:Z57)</f>
        <v>68128.125</v>
      </c>
      <c r="L64" s="209">
        <f>SUM(AA57:AD57)</f>
        <v>55453.125000000007</v>
      </c>
      <c r="M64" s="209">
        <f>SUM(AE57:AH57)</f>
        <v>42778.125</v>
      </c>
      <c r="N64" s="209">
        <f>SUM(AI57:AL57)</f>
        <v>30103.125</v>
      </c>
      <c r="O64" s="209">
        <f>SUM(AM57:AP57)</f>
        <v>17428.125</v>
      </c>
      <c r="P64" s="209">
        <f>SUM(AQ57:AT57)</f>
        <v>4753.125</v>
      </c>
    </row>
    <row r="65" spans="1:74" x14ac:dyDescent="0.35">
      <c r="D65" s="208" t="s">
        <v>406</v>
      </c>
      <c r="E65" s="209"/>
      <c r="F65" s="209">
        <f t="shared" ref="F65:F66" si="35">E58+F58</f>
        <v>60937.5</v>
      </c>
      <c r="G65" s="209">
        <f t="shared" ref="G65:G66" si="36">SUM(G58:J58)</f>
        <v>243750</v>
      </c>
      <c r="H65" s="209">
        <f t="shared" ref="H65:H66" si="37">SUM(K58:N58)</f>
        <v>243750</v>
      </c>
      <c r="I65" s="209">
        <f t="shared" ref="I65:I66" si="38">SUM(O58:R58)</f>
        <v>243750</v>
      </c>
      <c r="J65" s="209">
        <f t="shared" ref="J65:J66" si="39">SUM(S58:V58)</f>
        <v>243750</v>
      </c>
      <c r="K65" s="209">
        <f t="shared" ref="K65:K66" si="40">SUM(W58:Z58)</f>
        <v>243750</v>
      </c>
      <c r="L65" s="209">
        <f t="shared" ref="L65:L66" si="41">SUM(AA58:AD58)</f>
        <v>243750</v>
      </c>
      <c r="M65" s="209">
        <f t="shared" ref="M65:M66" si="42">SUM(AE58:AH58)</f>
        <v>243750</v>
      </c>
      <c r="N65" s="209">
        <f t="shared" ref="N65:N66" si="43">SUM(AI58:AL58)</f>
        <v>243750</v>
      </c>
      <c r="O65" s="209">
        <f t="shared" ref="O65:O66" si="44">SUM(AM58:AP58)</f>
        <v>243750</v>
      </c>
      <c r="P65" s="209">
        <f t="shared" ref="P65:P66" si="45">SUM(AQ58:AT58)</f>
        <v>182812.5</v>
      </c>
    </row>
    <row r="66" spans="1:74" x14ac:dyDescent="0.35">
      <c r="D66" s="208" t="s">
        <v>407</v>
      </c>
      <c r="E66" s="209"/>
      <c r="F66" s="209">
        <f t="shared" si="35"/>
        <v>165750</v>
      </c>
      <c r="G66" s="209">
        <f t="shared" si="36"/>
        <v>773906.25</v>
      </c>
      <c r="H66" s="209">
        <f t="shared" si="37"/>
        <v>574457.8125</v>
      </c>
      <c r="I66" s="209">
        <f t="shared" si="38"/>
        <v>409134.375</v>
      </c>
      <c r="J66" s="209">
        <f t="shared" si="39"/>
        <v>324553.125</v>
      </c>
      <c r="K66" s="209">
        <f t="shared" si="40"/>
        <v>311878.125</v>
      </c>
      <c r="L66" s="209">
        <f t="shared" si="41"/>
        <v>299203.125</v>
      </c>
      <c r="M66" s="209">
        <f t="shared" si="42"/>
        <v>286528.125</v>
      </c>
      <c r="N66" s="209">
        <f t="shared" si="43"/>
        <v>273853.125</v>
      </c>
      <c r="O66" s="209">
        <f t="shared" si="44"/>
        <v>261178.125</v>
      </c>
      <c r="P66" s="209">
        <f t="shared" si="45"/>
        <v>187565.625</v>
      </c>
    </row>
    <row r="67" spans="1:74" x14ac:dyDescent="0.35">
      <c r="D67" s="208" t="s">
        <v>523</v>
      </c>
      <c r="E67" s="209"/>
      <c r="F67" s="209">
        <f>F63-F65</f>
        <v>2376562.5</v>
      </c>
      <c r="G67" s="209">
        <f t="shared" ref="G67:P67" si="46">G63-G65</f>
        <v>2132812.5</v>
      </c>
      <c r="H67" s="209">
        <f t="shared" si="46"/>
        <v>1889062.5</v>
      </c>
      <c r="I67" s="209">
        <f t="shared" si="46"/>
        <v>1645312.5</v>
      </c>
      <c r="J67" s="209">
        <f t="shared" si="46"/>
        <v>1401562.5</v>
      </c>
      <c r="K67" s="209">
        <f t="shared" si="46"/>
        <v>1157812.5</v>
      </c>
      <c r="L67" s="209">
        <f t="shared" si="46"/>
        <v>914062.5</v>
      </c>
      <c r="M67" s="209">
        <f t="shared" si="46"/>
        <v>670312.5</v>
      </c>
      <c r="N67" s="209">
        <f t="shared" si="46"/>
        <v>426562.5</v>
      </c>
      <c r="O67" s="209">
        <f t="shared" si="46"/>
        <v>182812.5</v>
      </c>
      <c r="P67" s="209">
        <f t="shared" si="46"/>
        <v>0</v>
      </c>
    </row>
    <row r="70" spans="1:74" x14ac:dyDescent="0.35">
      <c r="A70" s="436" t="s">
        <v>423</v>
      </c>
      <c r="B70" s="436"/>
      <c r="C70" s="436"/>
      <c r="D70" s="436"/>
      <c r="E70" s="436"/>
      <c r="F70" s="436"/>
      <c r="G70" s="436"/>
      <c r="H70" s="436"/>
      <c r="I70" s="436"/>
      <c r="J70" s="436"/>
      <c r="K70" s="436"/>
      <c r="L70" s="43"/>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row>
    <row r="71" spans="1:74" x14ac:dyDescent="0.35">
      <c r="A71" s="436"/>
      <c r="B71" s="436"/>
      <c r="C71" s="436"/>
      <c r="D71" s="436"/>
      <c r="E71" s="436"/>
      <c r="F71" s="436"/>
      <c r="G71" s="436"/>
      <c r="H71" s="436"/>
      <c r="I71" s="436"/>
      <c r="J71" s="436"/>
      <c r="K71" s="436"/>
      <c r="L71" s="43"/>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row>
    <row r="72" spans="1:74" x14ac:dyDescent="0.35">
      <c r="A72" s="436"/>
      <c r="B72" s="436"/>
      <c r="C72" s="436"/>
      <c r="D72" s="436"/>
      <c r="E72" s="436"/>
      <c r="F72" s="436"/>
      <c r="G72" s="436"/>
      <c r="H72" s="436"/>
      <c r="I72" s="436"/>
      <c r="J72" s="436"/>
      <c r="K72" s="57"/>
      <c r="L72" s="43"/>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row>
    <row r="73" spans="1:74" x14ac:dyDescent="0.35">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row>
    <row r="74" spans="1:74" ht="15" thickBot="1" x14ac:dyDescent="0.4">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row>
    <row r="75" spans="1:74" x14ac:dyDescent="0.35">
      <c r="A75">
        <v>18.399999999999999</v>
      </c>
      <c r="C75" s="42"/>
      <c r="D75" s="175" t="s">
        <v>400</v>
      </c>
      <c r="E75" s="176"/>
      <c r="F75" s="177">
        <f>B77</f>
        <v>4.0000000000000001E-3</v>
      </c>
      <c r="G75" s="177">
        <f t="shared" ref="G75:O75" si="47">F75</f>
        <v>4.0000000000000001E-3</v>
      </c>
      <c r="H75" s="177">
        <f t="shared" si="47"/>
        <v>4.0000000000000001E-3</v>
      </c>
      <c r="I75" s="177">
        <f t="shared" si="47"/>
        <v>4.0000000000000001E-3</v>
      </c>
      <c r="J75" s="177">
        <f t="shared" si="47"/>
        <v>4.0000000000000001E-3</v>
      </c>
      <c r="K75" s="177">
        <f t="shared" si="47"/>
        <v>4.0000000000000001E-3</v>
      </c>
      <c r="L75" s="177">
        <f t="shared" si="47"/>
        <v>4.0000000000000001E-3</v>
      </c>
      <c r="M75" s="177">
        <f t="shared" si="47"/>
        <v>4.0000000000000001E-3</v>
      </c>
      <c r="N75" s="177">
        <f t="shared" si="47"/>
        <v>4.0000000000000001E-3</v>
      </c>
      <c r="O75" s="178">
        <f t="shared" si="47"/>
        <v>4.0000000000000001E-3</v>
      </c>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row>
    <row r="76" spans="1:74" x14ac:dyDescent="0.35">
      <c r="A76" s="179" t="s">
        <v>395</v>
      </c>
      <c r="B76" s="180">
        <v>400000</v>
      </c>
      <c r="C76" s="42"/>
      <c r="D76" s="179" t="s">
        <v>416</v>
      </c>
      <c r="E76" s="181"/>
      <c r="F76" s="169">
        <v>0.2266</v>
      </c>
      <c r="G76" s="169">
        <v>0.21199999999999999</v>
      </c>
      <c r="H76" s="169">
        <v>0.19989999999999999</v>
      </c>
      <c r="I76" s="169">
        <f>15%-0.6%</f>
        <v>0.14399999999999999</v>
      </c>
      <c r="J76" s="169">
        <f>8%-0.6%</f>
        <v>7.3999999999999996E-2</v>
      </c>
      <c r="K76" s="169">
        <f>8%-0.6%</f>
        <v>7.3999999999999996E-2</v>
      </c>
      <c r="L76" s="169">
        <f>4%+0.225%</f>
        <v>4.2250000000000003E-2</v>
      </c>
      <c r="M76" s="169">
        <f>4%+0.225%</f>
        <v>4.2250000000000003E-2</v>
      </c>
      <c r="N76" s="169">
        <f>4%+0.225%</f>
        <v>4.2250000000000003E-2</v>
      </c>
      <c r="O76" s="182">
        <f>4%+0.225%</f>
        <v>4.2250000000000003E-2</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row>
    <row r="77" spans="1:74" x14ac:dyDescent="0.35">
      <c r="A77" s="179" t="s">
        <v>396</v>
      </c>
      <c r="B77" s="183">
        <v>4.0000000000000001E-3</v>
      </c>
      <c r="C77" s="42"/>
      <c r="D77" s="179" t="s">
        <v>402</v>
      </c>
      <c r="E77" s="184"/>
      <c r="F77" s="49">
        <v>1</v>
      </c>
      <c r="G77" s="49">
        <v>2</v>
      </c>
      <c r="H77" s="49">
        <v>3</v>
      </c>
      <c r="I77" s="49">
        <v>4</v>
      </c>
      <c r="J77" s="49">
        <v>5</v>
      </c>
      <c r="K77" s="49">
        <v>6</v>
      </c>
      <c r="L77" s="49">
        <v>7</v>
      </c>
      <c r="M77" s="49">
        <v>8</v>
      </c>
      <c r="N77" s="49">
        <v>9</v>
      </c>
      <c r="O77" s="185">
        <v>10</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row>
    <row r="78" spans="1:74" x14ac:dyDescent="0.35">
      <c r="A78" s="179" t="s">
        <v>397</v>
      </c>
      <c r="B78" s="185">
        <v>2</v>
      </c>
      <c r="C78" s="42"/>
      <c r="D78" s="179" t="s">
        <v>410</v>
      </c>
      <c r="E78" s="186">
        <v>44923</v>
      </c>
      <c r="F78" s="187">
        <f t="shared" ref="F78:O78" si="48">EDATE(E78,6)</f>
        <v>45105</v>
      </c>
      <c r="G78" s="187">
        <f t="shared" si="48"/>
        <v>45288</v>
      </c>
      <c r="H78" s="187">
        <f t="shared" si="48"/>
        <v>45471</v>
      </c>
      <c r="I78" s="187">
        <f t="shared" si="48"/>
        <v>45654</v>
      </c>
      <c r="J78" s="187">
        <f t="shared" si="48"/>
        <v>45836</v>
      </c>
      <c r="K78" s="187">
        <f t="shared" si="48"/>
        <v>46019</v>
      </c>
      <c r="L78" s="187">
        <f t="shared" si="48"/>
        <v>46201</v>
      </c>
      <c r="M78" s="187">
        <f t="shared" si="48"/>
        <v>46384</v>
      </c>
      <c r="N78" s="187">
        <f t="shared" si="48"/>
        <v>46566</v>
      </c>
      <c r="O78" s="188">
        <f t="shared" si="48"/>
        <v>46749</v>
      </c>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row>
    <row r="79" spans="1:74" x14ac:dyDescent="0.35">
      <c r="A79" s="179" t="s">
        <v>398</v>
      </c>
      <c r="B79" s="185">
        <v>4</v>
      </c>
      <c r="C79" s="42"/>
      <c r="D79" s="179" t="s">
        <v>403</v>
      </c>
      <c r="E79" s="184"/>
      <c r="F79" s="189">
        <f t="shared" ref="F79:O79" si="49">(F75+F76)/2</f>
        <v>0.1153</v>
      </c>
      <c r="G79" s="189">
        <f t="shared" si="49"/>
        <v>0.108</v>
      </c>
      <c r="H79" s="189">
        <f t="shared" si="49"/>
        <v>0.10195</v>
      </c>
      <c r="I79" s="189">
        <f t="shared" si="49"/>
        <v>7.3999999999999996E-2</v>
      </c>
      <c r="J79" s="189">
        <f t="shared" si="49"/>
        <v>3.9E-2</v>
      </c>
      <c r="K79" s="189">
        <f t="shared" si="49"/>
        <v>3.9E-2</v>
      </c>
      <c r="L79" s="189">
        <f t="shared" si="49"/>
        <v>2.3125E-2</v>
      </c>
      <c r="M79" s="189">
        <f t="shared" si="49"/>
        <v>2.3125E-2</v>
      </c>
      <c r="N79" s="189">
        <f t="shared" si="49"/>
        <v>2.3125E-2</v>
      </c>
      <c r="O79" s="183">
        <f t="shared" si="49"/>
        <v>2.3125E-2</v>
      </c>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row>
    <row r="80" spans="1:74" ht="15" thickBot="1" x14ac:dyDescent="0.4">
      <c r="A80" s="190" t="s">
        <v>399</v>
      </c>
      <c r="B80" s="191">
        <f>B78*B79</f>
        <v>8</v>
      </c>
      <c r="C80" s="42"/>
      <c r="D80" s="179" t="s">
        <v>404</v>
      </c>
      <c r="E80" s="184"/>
      <c r="F80" s="192">
        <f>B76</f>
        <v>400000</v>
      </c>
      <c r="G80" s="192">
        <f t="shared" ref="G80:O80" si="50">F84</f>
        <v>350000</v>
      </c>
      <c r="H80" s="192">
        <f t="shared" si="50"/>
        <v>300000</v>
      </c>
      <c r="I80" s="192">
        <f t="shared" si="50"/>
        <v>250000</v>
      </c>
      <c r="J80" s="192">
        <f t="shared" si="50"/>
        <v>200000</v>
      </c>
      <c r="K80" s="192">
        <f t="shared" si="50"/>
        <v>150000</v>
      </c>
      <c r="L80" s="192">
        <f t="shared" si="50"/>
        <v>100000</v>
      </c>
      <c r="M80" s="192">
        <f t="shared" si="50"/>
        <v>50000</v>
      </c>
      <c r="N80" s="192">
        <f t="shared" si="50"/>
        <v>0</v>
      </c>
      <c r="O80" s="180">
        <f t="shared" si="50"/>
        <v>0</v>
      </c>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row>
    <row r="81" spans="1:74" ht="87.5" thickBot="1" x14ac:dyDescent="0.4">
      <c r="A81" s="190" t="s">
        <v>417</v>
      </c>
      <c r="B81" s="218" t="s">
        <v>418</v>
      </c>
      <c r="C81" s="42"/>
      <c r="D81" s="179" t="s">
        <v>405</v>
      </c>
      <c r="E81" s="184"/>
      <c r="F81" s="193">
        <f t="shared" ref="F81:O81" si="51">IF(F77&lt;=$B$80,F80*F79,0)</f>
        <v>46120</v>
      </c>
      <c r="G81" s="193">
        <f t="shared" si="51"/>
        <v>37800</v>
      </c>
      <c r="H81" s="193">
        <f t="shared" si="51"/>
        <v>30585</v>
      </c>
      <c r="I81" s="193">
        <f t="shared" si="51"/>
        <v>18500</v>
      </c>
      <c r="J81" s="193">
        <f t="shared" si="51"/>
        <v>7800</v>
      </c>
      <c r="K81" s="193">
        <f t="shared" si="51"/>
        <v>5850</v>
      </c>
      <c r="L81" s="193">
        <f t="shared" si="51"/>
        <v>2312.5</v>
      </c>
      <c r="M81" s="193">
        <f t="shared" si="51"/>
        <v>1156.25</v>
      </c>
      <c r="N81" s="193">
        <f t="shared" si="51"/>
        <v>0</v>
      </c>
      <c r="O81" s="194">
        <f t="shared" si="51"/>
        <v>0</v>
      </c>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row>
    <row r="82" spans="1:74" x14ac:dyDescent="0.35">
      <c r="A82" s="42"/>
      <c r="B82" s="42"/>
      <c r="C82" s="42"/>
      <c r="D82" s="179" t="s">
        <v>406</v>
      </c>
      <c r="E82" s="184"/>
      <c r="F82" s="192">
        <f t="shared" ref="F82:O82" si="52">IF(F77&lt;=$B$80,$B$76/$B$80,0)</f>
        <v>50000</v>
      </c>
      <c r="G82" s="192">
        <f t="shared" si="52"/>
        <v>50000</v>
      </c>
      <c r="H82" s="192">
        <f t="shared" si="52"/>
        <v>50000</v>
      </c>
      <c r="I82" s="192">
        <f t="shared" si="52"/>
        <v>50000</v>
      </c>
      <c r="J82" s="192">
        <f t="shared" si="52"/>
        <v>50000</v>
      </c>
      <c r="K82" s="192">
        <f t="shared" si="52"/>
        <v>50000</v>
      </c>
      <c r="L82" s="192">
        <f t="shared" si="52"/>
        <v>50000</v>
      </c>
      <c r="M82" s="192">
        <f t="shared" si="52"/>
        <v>50000</v>
      </c>
      <c r="N82" s="192">
        <f t="shared" si="52"/>
        <v>0</v>
      </c>
      <c r="O82" s="180">
        <f t="shared" si="52"/>
        <v>0</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row>
    <row r="83" spans="1:74" x14ac:dyDescent="0.35">
      <c r="A83" s="42"/>
      <c r="B83" s="42"/>
      <c r="C83" s="42"/>
      <c r="D83" s="179" t="s">
        <v>407</v>
      </c>
      <c r="E83" s="184"/>
      <c r="F83" s="192">
        <f t="shared" ref="F83:O83" si="53">SUM(F81+F82)</f>
        <v>96120</v>
      </c>
      <c r="G83" s="192">
        <f t="shared" si="53"/>
        <v>87800</v>
      </c>
      <c r="H83" s="192">
        <f t="shared" si="53"/>
        <v>80585</v>
      </c>
      <c r="I83" s="192">
        <f t="shared" si="53"/>
        <v>68500</v>
      </c>
      <c r="J83" s="192">
        <f t="shared" si="53"/>
        <v>57800</v>
      </c>
      <c r="K83" s="192">
        <f t="shared" si="53"/>
        <v>55850</v>
      </c>
      <c r="L83" s="192">
        <f t="shared" si="53"/>
        <v>52312.5</v>
      </c>
      <c r="M83" s="192">
        <f t="shared" si="53"/>
        <v>51156.25</v>
      </c>
      <c r="N83" s="192">
        <f t="shared" si="53"/>
        <v>0</v>
      </c>
      <c r="O83" s="180">
        <f t="shared" si="53"/>
        <v>0</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row>
    <row r="84" spans="1:74" ht="15" thickBot="1" x14ac:dyDescent="0.4">
      <c r="A84" s="42"/>
      <c r="B84" s="42"/>
      <c r="C84" s="42"/>
      <c r="D84" s="190" t="s">
        <v>408</v>
      </c>
      <c r="E84" s="195"/>
      <c r="F84" s="196">
        <f t="shared" ref="F84:O84" si="54">F80-F82</f>
        <v>350000</v>
      </c>
      <c r="G84" s="196">
        <f t="shared" si="54"/>
        <v>300000</v>
      </c>
      <c r="H84" s="196">
        <f t="shared" si="54"/>
        <v>250000</v>
      </c>
      <c r="I84" s="196">
        <f t="shared" si="54"/>
        <v>200000</v>
      </c>
      <c r="J84" s="196">
        <f t="shared" si="54"/>
        <v>150000</v>
      </c>
      <c r="K84" s="196">
        <f t="shared" si="54"/>
        <v>100000</v>
      </c>
      <c r="L84" s="196">
        <f t="shared" si="54"/>
        <v>50000</v>
      </c>
      <c r="M84" s="196">
        <f t="shared" si="54"/>
        <v>0</v>
      </c>
      <c r="N84" s="196">
        <f t="shared" si="54"/>
        <v>0</v>
      </c>
      <c r="O84" s="197">
        <f t="shared" si="54"/>
        <v>0</v>
      </c>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row>
    <row r="85" spans="1:74" x14ac:dyDescent="0.35">
      <c r="A85" s="42"/>
      <c r="B85" s="42"/>
      <c r="C85" s="42"/>
      <c r="D85" s="42"/>
      <c r="E85" s="44"/>
      <c r="F85" s="42"/>
      <c r="G85" s="45"/>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row>
    <row r="86" spans="1:74" x14ac:dyDescent="0.3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row>
    <row r="87" spans="1:74" ht="15" thickBot="1" x14ac:dyDescent="0.4">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row>
    <row r="88" spans="1:74" ht="15" thickBot="1" x14ac:dyDescent="0.4">
      <c r="A88" s="42"/>
      <c r="B88" s="42"/>
      <c r="C88" s="42"/>
      <c r="D88" s="198"/>
      <c r="E88" s="219">
        <v>2021</v>
      </c>
      <c r="F88" s="219">
        <v>2022</v>
      </c>
      <c r="G88" s="219">
        <v>2023</v>
      </c>
      <c r="H88" s="219">
        <v>2024</v>
      </c>
      <c r="I88" s="219">
        <v>2025</v>
      </c>
      <c r="J88" s="219">
        <v>2026</v>
      </c>
      <c r="K88" s="219">
        <v>2027</v>
      </c>
      <c r="L88" s="219">
        <v>2028</v>
      </c>
      <c r="M88" s="220">
        <v>2029</v>
      </c>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row>
    <row r="89" spans="1:74" ht="15" thickBot="1" x14ac:dyDescent="0.4">
      <c r="A89" s="42"/>
      <c r="B89" s="42"/>
      <c r="C89" s="42"/>
      <c r="D89" s="175" t="s">
        <v>404</v>
      </c>
      <c r="E89" s="202"/>
      <c r="F89" s="202"/>
      <c r="G89" s="202">
        <f>F80</f>
        <v>400000</v>
      </c>
      <c r="H89" s="202">
        <f t="shared" ref="H89:M89" si="55">G93</f>
        <v>300000</v>
      </c>
      <c r="I89" s="202">
        <f t="shared" si="55"/>
        <v>200000</v>
      </c>
      <c r="J89" s="202">
        <f t="shared" si="55"/>
        <v>100000</v>
      </c>
      <c r="K89" s="202">
        <f t="shared" si="55"/>
        <v>0</v>
      </c>
      <c r="L89" s="202">
        <f t="shared" si="55"/>
        <v>0</v>
      </c>
      <c r="M89" s="203">
        <f t="shared" si="55"/>
        <v>0</v>
      </c>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row>
    <row r="90" spans="1:74" ht="15" thickBot="1" x14ac:dyDescent="0.4">
      <c r="A90" s="42"/>
      <c r="B90" s="42"/>
      <c r="C90" s="42"/>
      <c r="D90" s="175" t="s">
        <v>405</v>
      </c>
      <c r="E90" s="202"/>
      <c r="F90" s="202"/>
      <c r="G90" s="202">
        <f>SUM(F81:G81)</f>
        <v>83920</v>
      </c>
      <c r="H90" s="202">
        <f>SUM(H81:I81)</f>
        <v>49085</v>
      </c>
      <c r="I90" s="202">
        <f>SUM(J81:K81)</f>
        <v>13650</v>
      </c>
      <c r="J90" s="202">
        <f>SUM(L81:M81)</f>
        <v>3468.75</v>
      </c>
      <c r="K90" s="202">
        <f t="shared" ref="K90:M91" si="56">N81+O81</f>
        <v>0</v>
      </c>
      <c r="L90" s="202">
        <f t="shared" si="56"/>
        <v>0</v>
      </c>
      <c r="M90" s="203">
        <f t="shared" si="56"/>
        <v>0</v>
      </c>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row>
    <row r="91" spans="1:74" ht="15" thickBot="1" x14ac:dyDescent="0.4">
      <c r="A91" s="42"/>
      <c r="B91" s="42"/>
      <c r="C91" s="42"/>
      <c r="D91" s="175" t="s">
        <v>406</v>
      </c>
      <c r="E91" s="202"/>
      <c r="F91" s="202"/>
      <c r="G91" s="202">
        <f>SUM(F82:G82)</f>
        <v>100000</v>
      </c>
      <c r="H91" s="202">
        <f>SUM(H82:I82)</f>
        <v>100000</v>
      </c>
      <c r="I91" s="202">
        <f>SUM(J82:K82)</f>
        <v>100000</v>
      </c>
      <c r="J91" s="202">
        <f>SUM(L82:M82)</f>
        <v>100000</v>
      </c>
      <c r="K91" s="202">
        <f t="shared" si="56"/>
        <v>0</v>
      </c>
      <c r="L91" s="202">
        <f t="shared" si="56"/>
        <v>0</v>
      </c>
      <c r="M91" s="203">
        <f t="shared" si="56"/>
        <v>0</v>
      </c>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row>
    <row r="92" spans="1:74" ht="15" thickBot="1" x14ac:dyDescent="0.4">
      <c r="A92" s="42"/>
      <c r="B92" s="42"/>
      <c r="C92" s="42"/>
      <c r="D92" s="175" t="s">
        <v>407</v>
      </c>
      <c r="E92" s="202"/>
      <c r="F92" s="202"/>
      <c r="G92" s="202">
        <f t="shared" ref="G92:M92" si="57">G90+G91</f>
        <v>183920</v>
      </c>
      <c r="H92" s="202">
        <f t="shared" si="57"/>
        <v>149085</v>
      </c>
      <c r="I92" s="202">
        <f t="shared" si="57"/>
        <v>113650</v>
      </c>
      <c r="J92" s="202">
        <f t="shared" si="57"/>
        <v>103468.75</v>
      </c>
      <c r="K92" s="202">
        <f t="shared" si="57"/>
        <v>0</v>
      </c>
      <c r="L92" s="202">
        <f t="shared" si="57"/>
        <v>0</v>
      </c>
      <c r="M92" s="203">
        <f t="shared" si="57"/>
        <v>0</v>
      </c>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row>
    <row r="93" spans="1:74" ht="15" thickBot="1" x14ac:dyDescent="0.4">
      <c r="A93" s="42"/>
      <c r="B93" s="42"/>
      <c r="C93" s="42"/>
      <c r="D93" s="204" t="s">
        <v>408</v>
      </c>
      <c r="E93" s="206"/>
      <c r="F93" s="206"/>
      <c r="G93" s="206">
        <f t="shared" ref="G93:M93" si="58">G89-G91</f>
        <v>300000</v>
      </c>
      <c r="H93" s="206">
        <f t="shared" si="58"/>
        <v>200000</v>
      </c>
      <c r="I93" s="206">
        <f t="shared" si="58"/>
        <v>100000</v>
      </c>
      <c r="J93" s="206">
        <f t="shared" si="58"/>
        <v>0</v>
      </c>
      <c r="K93" s="206">
        <f t="shared" si="58"/>
        <v>0</v>
      </c>
      <c r="L93" s="206">
        <f t="shared" si="58"/>
        <v>0</v>
      </c>
      <c r="M93" s="207">
        <f t="shared" si="58"/>
        <v>0</v>
      </c>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row>
    <row r="94" spans="1:74" x14ac:dyDescent="0.3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row>
    <row r="95" spans="1:74" x14ac:dyDescent="0.35">
      <c r="A95" s="436" t="s">
        <v>424</v>
      </c>
      <c r="B95" s="436"/>
      <c r="C95" s="436"/>
      <c r="D95" s="436"/>
      <c r="E95" s="436"/>
      <c r="F95" s="436"/>
      <c r="G95" s="436"/>
      <c r="H95" s="436"/>
      <c r="I95" s="436"/>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row>
    <row r="96" spans="1:74" x14ac:dyDescent="0.35">
      <c r="A96" s="436"/>
      <c r="B96" s="436"/>
      <c r="C96" s="436"/>
      <c r="D96" s="436"/>
      <c r="E96" s="436"/>
      <c r="F96" s="436"/>
      <c r="G96" s="436"/>
      <c r="H96" s="436"/>
      <c r="I96" s="436"/>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row>
    <row r="97" spans="1:74" x14ac:dyDescent="0.35">
      <c r="A97" s="436"/>
      <c r="B97" s="436"/>
      <c r="C97" s="436"/>
      <c r="D97" s="436"/>
      <c r="E97" s="436"/>
      <c r="F97" s="436"/>
      <c r="G97" s="436"/>
      <c r="H97" s="436"/>
      <c r="I97" s="436"/>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row>
    <row r="98" spans="1:74" x14ac:dyDescent="0.35">
      <c r="A98" s="436"/>
      <c r="B98" s="436"/>
      <c r="C98" s="436"/>
      <c r="D98" s="436"/>
      <c r="E98" s="436"/>
      <c r="F98" s="436"/>
      <c r="G98" s="436"/>
      <c r="H98" s="436"/>
      <c r="I98" s="436"/>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row>
    <row r="99" spans="1:74" ht="19" thickBot="1" x14ac:dyDescent="0.5">
      <c r="A99" s="441">
        <v>18.5</v>
      </c>
      <c r="B99" s="441"/>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row>
    <row r="100" spans="1:74" x14ac:dyDescent="0.35">
      <c r="A100" s="442"/>
      <c r="B100" s="442"/>
      <c r="C100" s="42"/>
      <c r="D100" s="210" t="s">
        <v>400</v>
      </c>
      <c r="E100" s="221"/>
      <c r="F100" s="177">
        <f>B102</f>
        <v>3.0000000000000001E-3</v>
      </c>
      <c r="G100" s="177">
        <f t="shared" ref="G100:S100" si="59">F100</f>
        <v>3.0000000000000001E-3</v>
      </c>
      <c r="H100" s="177">
        <f t="shared" si="59"/>
        <v>3.0000000000000001E-3</v>
      </c>
      <c r="I100" s="177">
        <f t="shared" si="59"/>
        <v>3.0000000000000001E-3</v>
      </c>
      <c r="J100" s="177">
        <f t="shared" si="59"/>
        <v>3.0000000000000001E-3</v>
      </c>
      <c r="K100" s="177">
        <f t="shared" si="59"/>
        <v>3.0000000000000001E-3</v>
      </c>
      <c r="L100" s="177">
        <f t="shared" si="59"/>
        <v>3.0000000000000001E-3</v>
      </c>
      <c r="M100" s="177">
        <f t="shared" si="59"/>
        <v>3.0000000000000001E-3</v>
      </c>
      <c r="N100" s="177">
        <f t="shared" si="59"/>
        <v>3.0000000000000001E-3</v>
      </c>
      <c r="O100" s="177">
        <f t="shared" si="59"/>
        <v>3.0000000000000001E-3</v>
      </c>
      <c r="P100" s="177">
        <f t="shared" si="59"/>
        <v>3.0000000000000001E-3</v>
      </c>
      <c r="Q100" s="177">
        <f t="shared" si="59"/>
        <v>3.0000000000000001E-3</v>
      </c>
      <c r="R100" s="177">
        <f t="shared" si="59"/>
        <v>3.0000000000000001E-3</v>
      </c>
      <c r="S100" s="178">
        <f t="shared" si="59"/>
        <v>3.0000000000000001E-3</v>
      </c>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row>
    <row r="101" spans="1:74" x14ac:dyDescent="0.35">
      <c r="A101" s="179" t="s">
        <v>395</v>
      </c>
      <c r="B101" s="222">
        <v>8750000</v>
      </c>
      <c r="C101" s="42"/>
      <c r="D101" s="212" t="s">
        <v>416</v>
      </c>
      <c r="E101" s="169"/>
      <c r="F101" s="169">
        <f t="shared" ref="F101:S101" si="60">4%+0.225%</f>
        <v>4.2250000000000003E-2</v>
      </c>
      <c r="G101" s="169">
        <f t="shared" si="60"/>
        <v>4.2250000000000003E-2</v>
      </c>
      <c r="H101" s="169">
        <f t="shared" si="60"/>
        <v>4.2250000000000003E-2</v>
      </c>
      <c r="I101" s="169">
        <f t="shared" si="60"/>
        <v>4.2250000000000003E-2</v>
      </c>
      <c r="J101" s="169">
        <f t="shared" si="60"/>
        <v>4.2250000000000003E-2</v>
      </c>
      <c r="K101" s="169">
        <f t="shared" si="60"/>
        <v>4.2250000000000003E-2</v>
      </c>
      <c r="L101" s="169">
        <f t="shared" si="60"/>
        <v>4.2250000000000003E-2</v>
      </c>
      <c r="M101" s="169">
        <f t="shared" si="60"/>
        <v>4.2250000000000003E-2</v>
      </c>
      <c r="N101" s="169">
        <f t="shared" si="60"/>
        <v>4.2250000000000003E-2</v>
      </c>
      <c r="O101" s="169">
        <f t="shared" si="60"/>
        <v>4.2250000000000003E-2</v>
      </c>
      <c r="P101" s="169">
        <f t="shared" si="60"/>
        <v>4.2250000000000003E-2</v>
      </c>
      <c r="Q101" s="169">
        <f t="shared" si="60"/>
        <v>4.2250000000000003E-2</v>
      </c>
      <c r="R101" s="169">
        <f t="shared" si="60"/>
        <v>4.2250000000000003E-2</v>
      </c>
      <c r="S101" s="182">
        <f t="shared" si="60"/>
        <v>4.2250000000000003E-2</v>
      </c>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row>
    <row r="102" spans="1:74" x14ac:dyDescent="0.35">
      <c r="A102" s="179" t="s">
        <v>396</v>
      </c>
      <c r="B102" s="183">
        <v>3.0000000000000001E-3</v>
      </c>
      <c r="C102" s="42"/>
      <c r="D102" s="212" t="s">
        <v>402</v>
      </c>
      <c r="E102" s="49"/>
      <c r="F102" s="49">
        <v>1</v>
      </c>
      <c r="G102" s="49">
        <v>2</v>
      </c>
      <c r="H102" s="49">
        <v>3</v>
      </c>
      <c r="I102" s="49">
        <v>4</v>
      </c>
      <c r="J102" s="49">
        <v>5</v>
      </c>
      <c r="K102" s="49">
        <v>6</v>
      </c>
      <c r="L102" s="49">
        <v>7</v>
      </c>
      <c r="M102" s="49">
        <v>8</v>
      </c>
      <c r="N102" s="49">
        <v>9</v>
      </c>
      <c r="O102" s="49">
        <v>10</v>
      </c>
      <c r="P102" s="49">
        <v>11</v>
      </c>
      <c r="Q102" s="49">
        <v>12</v>
      </c>
      <c r="R102" s="49">
        <v>13</v>
      </c>
      <c r="S102" s="185">
        <v>14</v>
      </c>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row>
    <row r="103" spans="1:74" x14ac:dyDescent="0.35">
      <c r="A103" s="179" t="s">
        <v>397</v>
      </c>
      <c r="B103" s="185">
        <v>4</v>
      </c>
      <c r="C103" s="42"/>
      <c r="D103" s="212" t="s">
        <v>410</v>
      </c>
      <c r="E103" s="187">
        <v>46748</v>
      </c>
      <c r="F103" s="187">
        <f t="shared" ref="F103:S103" si="61">EDATE(E103,3)</f>
        <v>46839</v>
      </c>
      <c r="G103" s="187">
        <f t="shared" si="61"/>
        <v>46931</v>
      </c>
      <c r="H103" s="187">
        <f t="shared" si="61"/>
        <v>47023</v>
      </c>
      <c r="I103" s="187">
        <f t="shared" si="61"/>
        <v>47114</v>
      </c>
      <c r="J103" s="187">
        <f t="shared" si="61"/>
        <v>47204</v>
      </c>
      <c r="K103" s="187">
        <f t="shared" si="61"/>
        <v>47296</v>
      </c>
      <c r="L103" s="187">
        <f t="shared" si="61"/>
        <v>47388</v>
      </c>
      <c r="M103" s="187">
        <f t="shared" si="61"/>
        <v>47479</v>
      </c>
      <c r="N103" s="187">
        <f t="shared" si="61"/>
        <v>47569</v>
      </c>
      <c r="O103" s="187">
        <f t="shared" si="61"/>
        <v>47661</v>
      </c>
      <c r="P103" s="187">
        <f t="shared" si="61"/>
        <v>47753</v>
      </c>
      <c r="Q103" s="187">
        <f t="shared" si="61"/>
        <v>47844</v>
      </c>
      <c r="R103" s="187">
        <f t="shared" si="61"/>
        <v>47934</v>
      </c>
      <c r="S103" s="188">
        <f t="shared" si="61"/>
        <v>48026</v>
      </c>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row>
    <row r="104" spans="1:74" x14ac:dyDescent="0.35">
      <c r="A104" s="179" t="s">
        <v>398</v>
      </c>
      <c r="B104" s="185">
        <v>3</v>
      </c>
      <c r="C104" s="42"/>
      <c r="D104" s="212" t="s">
        <v>403</v>
      </c>
      <c r="E104" s="49"/>
      <c r="F104" s="189">
        <f t="shared" ref="F104:S104" si="62">(F100+F101)/4</f>
        <v>1.1312500000000001E-2</v>
      </c>
      <c r="G104" s="189">
        <f t="shared" si="62"/>
        <v>1.1312500000000001E-2</v>
      </c>
      <c r="H104" s="189">
        <f t="shared" si="62"/>
        <v>1.1312500000000001E-2</v>
      </c>
      <c r="I104" s="189">
        <f t="shared" si="62"/>
        <v>1.1312500000000001E-2</v>
      </c>
      <c r="J104" s="189">
        <f t="shared" si="62"/>
        <v>1.1312500000000001E-2</v>
      </c>
      <c r="K104" s="189">
        <f t="shared" si="62"/>
        <v>1.1312500000000001E-2</v>
      </c>
      <c r="L104" s="189">
        <f t="shared" si="62"/>
        <v>1.1312500000000001E-2</v>
      </c>
      <c r="M104" s="189">
        <f t="shared" si="62"/>
        <v>1.1312500000000001E-2</v>
      </c>
      <c r="N104" s="189">
        <f t="shared" si="62"/>
        <v>1.1312500000000001E-2</v>
      </c>
      <c r="O104" s="189">
        <f t="shared" si="62"/>
        <v>1.1312500000000001E-2</v>
      </c>
      <c r="P104" s="189">
        <f t="shared" si="62"/>
        <v>1.1312500000000001E-2</v>
      </c>
      <c r="Q104" s="189">
        <f t="shared" si="62"/>
        <v>1.1312500000000001E-2</v>
      </c>
      <c r="R104" s="189">
        <f t="shared" si="62"/>
        <v>1.1312500000000001E-2</v>
      </c>
      <c r="S104" s="183">
        <f t="shared" si="62"/>
        <v>1.1312500000000001E-2</v>
      </c>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row>
    <row r="105" spans="1:74" ht="15" thickBot="1" x14ac:dyDescent="0.4">
      <c r="A105" s="190" t="s">
        <v>399</v>
      </c>
      <c r="B105" s="191">
        <f>B103*B104</f>
        <v>12</v>
      </c>
      <c r="C105" s="42"/>
      <c r="D105" s="212" t="s">
        <v>404</v>
      </c>
      <c r="E105" s="49"/>
      <c r="F105" s="192">
        <f>B101</f>
        <v>8750000</v>
      </c>
      <c r="G105" s="192">
        <f t="shared" ref="G105:S105" si="63">F109</f>
        <v>8020833.333333333</v>
      </c>
      <c r="H105" s="192">
        <f t="shared" si="63"/>
        <v>7291666.666666666</v>
      </c>
      <c r="I105" s="192">
        <f t="shared" si="63"/>
        <v>6562499.9999999991</v>
      </c>
      <c r="J105" s="192">
        <f t="shared" si="63"/>
        <v>5833333.3333333321</v>
      </c>
      <c r="K105" s="192">
        <f t="shared" si="63"/>
        <v>5104166.6666666651</v>
      </c>
      <c r="L105" s="192">
        <f t="shared" si="63"/>
        <v>4374999.9999999981</v>
      </c>
      <c r="M105" s="192">
        <f t="shared" si="63"/>
        <v>3645833.3333333316</v>
      </c>
      <c r="N105" s="192">
        <f t="shared" si="63"/>
        <v>2916666.6666666651</v>
      </c>
      <c r="O105" s="192">
        <f t="shared" si="63"/>
        <v>2187499.9999999986</v>
      </c>
      <c r="P105" s="192">
        <f t="shared" si="63"/>
        <v>1458333.3333333321</v>
      </c>
      <c r="Q105" s="192">
        <f t="shared" si="63"/>
        <v>729166.66666666546</v>
      </c>
      <c r="R105" s="192">
        <f t="shared" si="63"/>
        <v>-1.1641532182693481E-9</v>
      </c>
      <c r="S105" s="180">
        <f t="shared" si="63"/>
        <v>-1.1641532182693481E-9</v>
      </c>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row>
    <row r="106" spans="1:74" ht="87.5" thickBot="1" x14ac:dyDescent="0.4">
      <c r="A106" s="190" t="s">
        <v>417</v>
      </c>
      <c r="B106" s="218" t="s">
        <v>418</v>
      </c>
      <c r="C106" s="42"/>
      <c r="D106" s="212" t="s">
        <v>405</v>
      </c>
      <c r="E106" s="49"/>
      <c r="F106" s="193">
        <f t="shared" ref="F106:S106" si="64">IF(F102&lt;=$B$105,F105*F104,0)</f>
        <v>98984.375000000015</v>
      </c>
      <c r="G106" s="193">
        <f t="shared" si="64"/>
        <v>90735.677083333343</v>
      </c>
      <c r="H106" s="193">
        <f t="shared" si="64"/>
        <v>82486.979166666672</v>
      </c>
      <c r="I106" s="193">
        <f t="shared" si="64"/>
        <v>74238.28125</v>
      </c>
      <c r="J106" s="193">
        <f t="shared" si="64"/>
        <v>65989.583333333328</v>
      </c>
      <c r="K106" s="193">
        <f t="shared" si="64"/>
        <v>57740.885416666657</v>
      </c>
      <c r="L106" s="193">
        <f t="shared" si="64"/>
        <v>49492.187499999985</v>
      </c>
      <c r="M106" s="193">
        <f t="shared" si="64"/>
        <v>41243.489583333321</v>
      </c>
      <c r="N106" s="193">
        <f t="shared" si="64"/>
        <v>32994.79166666665</v>
      </c>
      <c r="O106" s="193">
        <f t="shared" si="64"/>
        <v>24746.093749999985</v>
      </c>
      <c r="P106" s="193">
        <f t="shared" si="64"/>
        <v>16497.395833333321</v>
      </c>
      <c r="Q106" s="193">
        <f t="shared" si="64"/>
        <v>8248.6979166666533</v>
      </c>
      <c r="R106" s="193">
        <f t="shared" si="64"/>
        <v>0</v>
      </c>
      <c r="S106" s="194">
        <f t="shared" si="64"/>
        <v>0</v>
      </c>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row>
    <row r="107" spans="1:74" x14ac:dyDescent="0.35">
      <c r="A107" s="42"/>
      <c r="B107" s="42"/>
      <c r="C107" s="42"/>
      <c r="D107" s="212" t="s">
        <v>406</v>
      </c>
      <c r="E107" s="49"/>
      <c r="F107" s="192">
        <f t="shared" ref="F107:S107" si="65">IF(F102&lt;=$B$105,$B$101/$B$105,0)</f>
        <v>729166.66666666663</v>
      </c>
      <c r="G107" s="192">
        <f t="shared" si="65"/>
        <v>729166.66666666663</v>
      </c>
      <c r="H107" s="192">
        <f t="shared" si="65"/>
        <v>729166.66666666663</v>
      </c>
      <c r="I107" s="192">
        <f t="shared" si="65"/>
        <v>729166.66666666663</v>
      </c>
      <c r="J107" s="192">
        <f t="shared" si="65"/>
        <v>729166.66666666663</v>
      </c>
      <c r="K107" s="192">
        <f t="shared" si="65"/>
        <v>729166.66666666663</v>
      </c>
      <c r="L107" s="192">
        <f t="shared" si="65"/>
        <v>729166.66666666663</v>
      </c>
      <c r="M107" s="192">
        <f t="shared" si="65"/>
        <v>729166.66666666663</v>
      </c>
      <c r="N107" s="192">
        <f t="shared" si="65"/>
        <v>729166.66666666663</v>
      </c>
      <c r="O107" s="192">
        <f t="shared" si="65"/>
        <v>729166.66666666663</v>
      </c>
      <c r="P107" s="192">
        <f t="shared" si="65"/>
        <v>729166.66666666663</v>
      </c>
      <c r="Q107" s="192">
        <f t="shared" si="65"/>
        <v>729166.66666666663</v>
      </c>
      <c r="R107" s="192">
        <f t="shared" si="65"/>
        <v>0</v>
      </c>
      <c r="S107" s="180">
        <f t="shared" si="65"/>
        <v>0</v>
      </c>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row>
    <row r="108" spans="1:74" x14ac:dyDescent="0.35">
      <c r="A108" s="42"/>
      <c r="B108" s="42"/>
      <c r="C108" s="42"/>
      <c r="D108" s="212" t="s">
        <v>407</v>
      </c>
      <c r="E108" s="49"/>
      <c r="F108" s="192">
        <f t="shared" ref="F108:S108" si="66">SUM(F106+F107)</f>
        <v>828151.04166666663</v>
      </c>
      <c r="G108" s="192">
        <f t="shared" si="66"/>
        <v>819902.34375</v>
      </c>
      <c r="H108" s="192">
        <f t="shared" si="66"/>
        <v>811653.64583333326</v>
      </c>
      <c r="I108" s="192">
        <f t="shared" si="66"/>
        <v>803404.94791666663</v>
      </c>
      <c r="J108" s="192">
        <f t="shared" si="66"/>
        <v>795156.25</v>
      </c>
      <c r="K108" s="192">
        <f t="shared" si="66"/>
        <v>786907.55208333326</v>
      </c>
      <c r="L108" s="192">
        <f t="shared" si="66"/>
        <v>778658.85416666663</v>
      </c>
      <c r="M108" s="192">
        <f t="shared" si="66"/>
        <v>770410.15625</v>
      </c>
      <c r="N108" s="192">
        <f t="shared" si="66"/>
        <v>762161.45833333326</v>
      </c>
      <c r="O108" s="192">
        <f t="shared" si="66"/>
        <v>753912.76041666663</v>
      </c>
      <c r="P108" s="192">
        <f t="shared" si="66"/>
        <v>745664.0625</v>
      </c>
      <c r="Q108" s="192">
        <f t="shared" si="66"/>
        <v>737415.36458333326</v>
      </c>
      <c r="R108" s="192">
        <f t="shared" si="66"/>
        <v>0</v>
      </c>
      <c r="S108" s="180">
        <f t="shared" si="66"/>
        <v>0</v>
      </c>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row>
    <row r="109" spans="1:74" ht="15" thickBot="1" x14ac:dyDescent="0.4">
      <c r="A109" s="42"/>
      <c r="B109" s="42"/>
      <c r="C109" s="42"/>
      <c r="D109" s="217" t="s">
        <v>408</v>
      </c>
      <c r="E109" s="50"/>
      <c r="F109" s="196">
        <f t="shared" ref="F109:S109" si="67">F105-F107</f>
        <v>8020833.333333333</v>
      </c>
      <c r="G109" s="196">
        <f t="shared" si="67"/>
        <v>7291666.666666666</v>
      </c>
      <c r="H109" s="196">
        <f t="shared" si="67"/>
        <v>6562499.9999999991</v>
      </c>
      <c r="I109" s="196">
        <f t="shared" si="67"/>
        <v>5833333.3333333321</v>
      </c>
      <c r="J109" s="196">
        <f t="shared" si="67"/>
        <v>5104166.6666666651</v>
      </c>
      <c r="K109" s="196">
        <f t="shared" si="67"/>
        <v>4374999.9999999981</v>
      </c>
      <c r="L109" s="196">
        <f t="shared" si="67"/>
        <v>3645833.3333333316</v>
      </c>
      <c r="M109" s="196">
        <f t="shared" si="67"/>
        <v>2916666.6666666651</v>
      </c>
      <c r="N109" s="196">
        <f t="shared" si="67"/>
        <v>2187499.9999999986</v>
      </c>
      <c r="O109" s="196">
        <f t="shared" si="67"/>
        <v>1458333.3333333321</v>
      </c>
      <c r="P109" s="196">
        <f t="shared" si="67"/>
        <v>729166.66666666546</v>
      </c>
      <c r="Q109" s="196">
        <f t="shared" si="67"/>
        <v>-1.1641532182693481E-9</v>
      </c>
      <c r="R109" s="196">
        <f t="shared" si="67"/>
        <v>-1.1641532182693481E-9</v>
      </c>
      <c r="S109" s="197">
        <f t="shared" si="67"/>
        <v>-1.1641532182693481E-9</v>
      </c>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row>
    <row r="110" spans="1:74" ht="15" thickBot="1" x14ac:dyDescent="0.4">
      <c r="A110" s="42"/>
      <c r="B110" s="42"/>
      <c r="C110" s="42"/>
      <c r="D110" s="42"/>
      <c r="E110" s="44"/>
      <c r="F110" s="42"/>
      <c r="G110" s="45"/>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row>
    <row r="111" spans="1:74" x14ac:dyDescent="0.35">
      <c r="A111" s="42"/>
      <c r="B111" s="42"/>
      <c r="C111" s="42"/>
      <c r="D111" s="176"/>
      <c r="E111" s="223">
        <v>2021</v>
      </c>
      <c r="F111" s="223">
        <v>2022</v>
      </c>
      <c r="G111" s="223">
        <v>2023</v>
      </c>
      <c r="H111" s="223">
        <v>2024</v>
      </c>
      <c r="I111" s="223">
        <v>2025</v>
      </c>
      <c r="J111" s="223">
        <v>2026</v>
      </c>
      <c r="K111" s="223">
        <v>2027</v>
      </c>
      <c r="L111" s="223">
        <v>2028</v>
      </c>
      <c r="M111" s="223">
        <v>2029</v>
      </c>
      <c r="N111" s="223">
        <v>2030</v>
      </c>
      <c r="O111" s="224">
        <v>2031</v>
      </c>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row>
    <row r="112" spans="1:74" x14ac:dyDescent="0.35">
      <c r="A112" s="42"/>
      <c r="B112" s="42"/>
      <c r="C112" s="42"/>
      <c r="D112" s="212" t="s">
        <v>404</v>
      </c>
      <c r="E112" s="202"/>
      <c r="F112" s="202"/>
      <c r="G112" s="202"/>
      <c r="H112" s="202"/>
      <c r="I112" s="202"/>
      <c r="J112" s="202"/>
      <c r="K112" s="202"/>
      <c r="L112" s="202">
        <f>F105</f>
        <v>8750000</v>
      </c>
      <c r="M112" s="202">
        <f>L116</f>
        <v>5833333.333333334</v>
      </c>
      <c r="N112" s="202">
        <f>M116</f>
        <v>2916666.6666666674</v>
      </c>
      <c r="O112" s="203">
        <f>N116</f>
        <v>0</v>
      </c>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row>
    <row r="113" spans="1:74" x14ac:dyDescent="0.35">
      <c r="A113" s="42"/>
      <c r="B113" s="42"/>
      <c r="C113" s="42"/>
      <c r="D113" s="212" t="s">
        <v>405</v>
      </c>
      <c r="E113" s="202"/>
      <c r="F113" s="202"/>
      <c r="G113" s="202"/>
      <c r="H113" s="202"/>
      <c r="I113" s="202"/>
      <c r="J113" s="202"/>
      <c r="K113" s="202"/>
      <c r="L113" s="202">
        <f>SUM(F106:I106)</f>
        <v>346445.31250000006</v>
      </c>
      <c r="M113" s="202">
        <f>SUM(J106:M106)</f>
        <v>214466.14583333328</v>
      </c>
      <c r="N113" s="202">
        <f>SUM(N106:Q106)</f>
        <v>82486.979166666613</v>
      </c>
      <c r="O113" s="203">
        <f>SUM(R106:U106)</f>
        <v>0</v>
      </c>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row>
    <row r="114" spans="1:74" x14ac:dyDescent="0.35">
      <c r="A114" s="42"/>
      <c r="B114" s="42"/>
      <c r="C114" s="42"/>
      <c r="D114" s="212" t="s">
        <v>406</v>
      </c>
      <c r="E114" s="202"/>
      <c r="F114" s="202"/>
      <c r="G114" s="202"/>
      <c r="H114" s="202"/>
      <c r="I114" s="202"/>
      <c r="J114" s="202"/>
      <c r="K114" s="202"/>
      <c r="L114" s="202">
        <f>SUM(F107:I107)</f>
        <v>2916666.6666666665</v>
      </c>
      <c r="M114" s="202">
        <f>SUM(J107:M107)</f>
        <v>2916666.6666666665</v>
      </c>
      <c r="N114" s="202">
        <f>SUM(N107:Q107)</f>
        <v>2916666.6666666665</v>
      </c>
      <c r="O114" s="203">
        <f>SUM(R107:U107)</f>
        <v>0</v>
      </c>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row>
    <row r="115" spans="1:74" x14ac:dyDescent="0.35">
      <c r="A115" s="42"/>
      <c r="B115" s="42"/>
      <c r="C115" s="42"/>
      <c r="D115" s="212" t="s">
        <v>407</v>
      </c>
      <c r="E115" s="202"/>
      <c r="F115" s="202"/>
      <c r="G115" s="202"/>
      <c r="H115" s="202"/>
      <c r="I115" s="202"/>
      <c r="J115" s="202"/>
      <c r="K115" s="202"/>
      <c r="L115" s="202">
        <f>SUM(L113:L114)</f>
        <v>3263111.9791666665</v>
      </c>
      <c r="M115" s="202">
        <f>SUM(M113:M114)</f>
        <v>3131132.8125</v>
      </c>
      <c r="N115" s="202">
        <f>SUM(N113:N114)</f>
        <v>2999153.645833333</v>
      </c>
      <c r="O115" s="203">
        <f>SUM(O113:O114)</f>
        <v>0</v>
      </c>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row>
    <row r="116" spans="1:74" ht="15" thickBot="1" x14ac:dyDescent="0.4">
      <c r="A116" s="42"/>
      <c r="B116" s="42"/>
      <c r="C116" s="42"/>
      <c r="D116" s="217" t="s">
        <v>408</v>
      </c>
      <c r="E116" s="206"/>
      <c r="F116" s="206"/>
      <c r="G116" s="206"/>
      <c r="H116" s="206"/>
      <c r="I116" s="206"/>
      <c r="J116" s="206"/>
      <c r="K116" s="206"/>
      <c r="L116" s="206">
        <f>L112-L114</f>
        <v>5833333.333333334</v>
      </c>
      <c r="M116" s="206">
        <f>M112-M114</f>
        <v>2916666.6666666674</v>
      </c>
      <c r="N116" s="206">
        <f>N112-N114</f>
        <v>0</v>
      </c>
      <c r="O116" s="207">
        <f>O112-O114</f>
        <v>0</v>
      </c>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row>
    <row r="117" spans="1:74" x14ac:dyDescent="0.3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row>
    <row r="118" spans="1:74" x14ac:dyDescent="0.3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row>
    <row r="119" spans="1:74" x14ac:dyDescent="0.35">
      <c r="A119" s="436" t="s">
        <v>425</v>
      </c>
      <c r="B119" s="436"/>
      <c r="C119" s="436"/>
      <c r="D119" s="436"/>
      <c r="E119" s="436"/>
      <c r="F119" s="436"/>
      <c r="G119" s="436"/>
      <c r="H119" s="436"/>
      <c r="I119" s="436"/>
      <c r="J119" s="436"/>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row>
    <row r="120" spans="1:74" x14ac:dyDescent="0.35">
      <c r="A120" s="436"/>
      <c r="B120" s="436"/>
      <c r="C120" s="436"/>
      <c r="D120" s="436"/>
      <c r="E120" s="436"/>
      <c r="F120" s="436"/>
      <c r="G120" s="436"/>
      <c r="H120" s="436"/>
      <c r="I120" s="436"/>
      <c r="J120" s="436"/>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row>
    <row r="121" spans="1:74" x14ac:dyDescent="0.35">
      <c r="A121" s="436"/>
      <c r="B121" s="436"/>
      <c r="C121" s="436"/>
      <c r="D121" s="436"/>
      <c r="E121" s="436"/>
      <c r="F121" s="436"/>
      <c r="G121" s="436"/>
      <c r="H121" s="436"/>
      <c r="I121" s="436"/>
      <c r="J121" s="436"/>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row>
    <row r="122" spans="1:74" x14ac:dyDescent="0.3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row>
    <row r="123" spans="1:74" ht="19" thickBot="1" x14ac:dyDescent="0.5">
      <c r="A123" s="441">
        <v>18.600000000000001</v>
      </c>
      <c r="B123" s="441"/>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row>
    <row r="124" spans="1:74" x14ac:dyDescent="0.35">
      <c r="A124" s="442"/>
      <c r="B124" s="442"/>
      <c r="C124" s="42"/>
      <c r="D124" s="210" t="s">
        <v>400</v>
      </c>
      <c r="E124" s="221"/>
      <c r="F124" s="177">
        <f>B126</f>
        <v>3.0000000000000001E-3</v>
      </c>
      <c r="G124" s="177">
        <f t="shared" ref="G124:V124" si="68">F124</f>
        <v>3.0000000000000001E-3</v>
      </c>
      <c r="H124" s="177">
        <f t="shared" si="68"/>
        <v>3.0000000000000001E-3</v>
      </c>
      <c r="I124" s="177">
        <f t="shared" si="68"/>
        <v>3.0000000000000001E-3</v>
      </c>
      <c r="J124" s="177">
        <f t="shared" si="68"/>
        <v>3.0000000000000001E-3</v>
      </c>
      <c r="K124" s="177">
        <f t="shared" si="68"/>
        <v>3.0000000000000001E-3</v>
      </c>
      <c r="L124" s="177">
        <f t="shared" si="68"/>
        <v>3.0000000000000001E-3</v>
      </c>
      <c r="M124" s="177">
        <f t="shared" si="68"/>
        <v>3.0000000000000001E-3</v>
      </c>
      <c r="N124" s="177">
        <f t="shared" si="68"/>
        <v>3.0000000000000001E-3</v>
      </c>
      <c r="O124" s="177">
        <f t="shared" si="68"/>
        <v>3.0000000000000001E-3</v>
      </c>
      <c r="P124" s="177">
        <f t="shared" si="68"/>
        <v>3.0000000000000001E-3</v>
      </c>
      <c r="Q124" s="177">
        <f t="shared" si="68"/>
        <v>3.0000000000000001E-3</v>
      </c>
      <c r="R124" s="177">
        <f t="shared" si="68"/>
        <v>3.0000000000000001E-3</v>
      </c>
      <c r="S124" s="177">
        <f t="shared" si="68"/>
        <v>3.0000000000000001E-3</v>
      </c>
      <c r="T124" s="177">
        <f t="shared" si="68"/>
        <v>3.0000000000000001E-3</v>
      </c>
      <c r="U124" s="177">
        <f t="shared" si="68"/>
        <v>3.0000000000000001E-3</v>
      </c>
      <c r="V124" s="178">
        <f t="shared" si="68"/>
        <v>3.0000000000000001E-3</v>
      </c>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row>
    <row r="125" spans="1:74" x14ac:dyDescent="0.35">
      <c r="A125" s="179" t="s">
        <v>395</v>
      </c>
      <c r="B125" s="222">
        <v>6000000</v>
      </c>
      <c r="C125" s="42"/>
      <c r="D125" s="212" t="s">
        <v>416</v>
      </c>
      <c r="E125" s="169"/>
      <c r="F125" s="169">
        <f t="shared" ref="F125:V125" si="69">4%+0.225%</f>
        <v>4.2250000000000003E-2</v>
      </c>
      <c r="G125" s="169">
        <f t="shared" si="69"/>
        <v>4.2250000000000003E-2</v>
      </c>
      <c r="H125" s="169">
        <f t="shared" si="69"/>
        <v>4.2250000000000003E-2</v>
      </c>
      <c r="I125" s="169">
        <f t="shared" si="69"/>
        <v>4.2250000000000003E-2</v>
      </c>
      <c r="J125" s="169">
        <f t="shared" si="69"/>
        <v>4.2250000000000003E-2</v>
      </c>
      <c r="K125" s="169">
        <f t="shared" si="69"/>
        <v>4.2250000000000003E-2</v>
      </c>
      <c r="L125" s="169">
        <f t="shared" si="69"/>
        <v>4.2250000000000003E-2</v>
      </c>
      <c r="M125" s="169">
        <f t="shared" si="69"/>
        <v>4.2250000000000003E-2</v>
      </c>
      <c r="N125" s="169">
        <f t="shared" si="69"/>
        <v>4.2250000000000003E-2</v>
      </c>
      <c r="O125" s="169">
        <f t="shared" si="69"/>
        <v>4.2250000000000003E-2</v>
      </c>
      <c r="P125" s="169">
        <f t="shared" si="69"/>
        <v>4.2250000000000003E-2</v>
      </c>
      <c r="Q125" s="169">
        <f t="shared" si="69"/>
        <v>4.2250000000000003E-2</v>
      </c>
      <c r="R125" s="169">
        <f t="shared" si="69"/>
        <v>4.2250000000000003E-2</v>
      </c>
      <c r="S125" s="169">
        <f t="shared" si="69"/>
        <v>4.2250000000000003E-2</v>
      </c>
      <c r="T125" s="169">
        <f t="shared" si="69"/>
        <v>4.2250000000000003E-2</v>
      </c>
      <c r="U125" s="169">
        <f t="shared" si="69"/>
        <v>4.2250000000000003E-2</v>
      </c>
      <c r="V125" s="182">
        <f t="shared" si="69"/>
        <v>4.2250000000000003E-2</v>
      </c>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row>
    <row r="126" spans="1:74" x14ac:dyDescent="0.35">
      <c r="A126" s="179" t="s">
        <v>396</v>
      </c>
      <c r="B126" s="183">
        <v>3.0000000000000001E-3</v>
      </c>
      <c r="C126" s="42"/>
      <c r="D126" s="212" t="s">
        <v>402</v>
      </c>
      <c r="E126" s="49"/>
      <c r="F126" s="49">
        <v>1</v>
      </c>
      <c r="G126" s="49">
        <v>2</v>
      </c>
      <c r="H126" s="49">
        <v>3</v>
      </c>
      <c r="I126" s="49">
        <v>4</v>
      </c>
      <c r="J126" s="49">
        <v>5</v>
      </c>
      <c r="K126" s="49">
        <v>6</v>
      </c>
      <c r="L126" s="49">
        <v>7</v>
      </c>
      <c r="M126" s="49">
        <v>8</v>
      </c>
      <c r="N126" s="49">
        <v>9</v>
      </c>
      <c r="O126" s="49">
        <v>10</v>
      </c>
      <c r="P126" s="49">
        <v>11</v>
      </c>
      <c r="Q126" s="49">
        <v>12</v>
      </c>
      <c r="R126" s="49">
        <v>13</v>
      </c>
      <c r="S126" s="49">
        <v>14</v>
      </c>
      <c r="T126" s="49">
        <v>15</v>
      </c>
      <c r="U126" s="49">
        <v>16</v>
      </c>
      <c r="V126" s="185">
        <v>17</v>
      </c>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row>
    <row r="127" spans="1:74" x14ac:dyDescent="0.35">
      <c r="A127" s="179" t="s">
        <v>397</v>
      </c>
      <c r="B127" s="185">
        <v>4</v>
      </c>
      <c r="C127" s="42"/>
      <c r="D127" s="212" t="s">
        <v>410</v>
      </c>
      <c r="E127" s="187">
        <v>46021</v>
      </c>
      <c r="F127" s="187">
        <f t="shared" ref="F127:V127" si="70">EDATE(E127,3)</f>
        <v>46111</v>
      </c>
      <c r="G127" s="187">
        <f t="shared" si="70"/>
        <v>46203</v>
      </c>
      <c r="H127" s="187">
        <f t="shared" si="70"/>
        <v>46295</v>
      </c>
      <c r="I127" s="187">
        <f t="shared" si="70"/>
        <v>46386</v>
      </c>
      <c r="J127" s="187">
        <f t="shared" si="70"/>
        <v>46476</v>
      </c>
      <c r="K127" s="187">
        <f t="shared" si="70"/>
        <v>46568</v>
      </c>
      <c r="L127" s="187">
        <f t="shared" si="70"/>
        <v>46660</v>
      </c>
      <c r="M127" s="187">
        <f t="shared" si="70"/>
        <v>46751</v>
      </c>
      <c r="N127" s="187">
        <f t="shared" si="70"/>
        <v>46842</v>
      </c>
      <c r="O127" s="187">
        <f t="shared" si="70"/>
        <v>46934</v>
      </c>
      <c r="P127" s="187">
        <f t="shared" si="70"/>
        <v>47026</v>
      </c>
      <c r="Q127" s="187">
        <f t="shared" si="70"/>
        <v>47117</v>
      </c>
      <c r="R127" s="187">
        <f t="shared" si="70"/>
        <v>47207</v>
      </c>
      <c r="S127" s="187">
        <f t="shared" si="70"/>
        <v>47299</v>
      </c>
      <c r="T127" s="187">
        <f t="shared" si="70"/>
        <v>47391</v>
      </c>
      <c r="U127" s="187">
        <f t="shared" si="70"/>
        <v>47482</v>
      </c>
      <c r="V127" s="188">
        <f t="shared" si="70"/>
        <v>47572</v>
      </c>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row>
    <row r="128" spans="1:74" x14ac:dyDescent="0.35">
      <c r="A128" s="179" t="s">
        <v>398</v>
      </c>
      <c r="B128" s="185">
        <v>4</v>
      </c>
      <c r="C128" s="42"/>
      <c r="D128" s="212" t="s">
        <v>403</v>
      </c>
      <c r="E128" s="49"/>
      <c r="F128" s="189">
        <f t="shared" ref="F128:V128" si="71">(F124+F125)/4</f>
        <v>1.1312500000000001E-2</v>
      </c>
      <c r="G128" s="189">
        <f t="shared" si="71"/>
        <v>1.1312500000000001E-2</v>
      </c>
      <c r="H128" s="189">
        <f t="shared" si="71"/>
        <v>1.1312500000000001E-2</v>
      </c>
      <c r="I128" s="189">
        <f t="shared" si="71"/>
        <v>1.1312500000000001E-2</v>
      </c>
      <c r="J128" s="189">
        <f t="shared" si="71"/>
        <v>1.1312500000000001E-2</v>
      </c>
      <c r="K128" s="189">
        <f t="shared" si="71"/>
        <v>1.1312500000000001E-2</v>
      </c>
      <c r="L128" s="189">
        <f t="shared" si="71"/>
        <v>1.1312500000000001E-2</v>
      </c>
      <c r="M128" s="189">
        <f t="shared" si="71"/>
        <v>1.1312500000000001E-2</v>
      </c>
      <c r="N128" s="189">
        <f t="shared" si="71"/>
        <v>1.1312500000000001E-2</v>
      </c>
      <c r="O128" s="189">
        <f t="shared" si="71"/>
        <v>1.1312500000000001E-2</v>
      </c>
      <c r="P128" s="189">
        <f t="shared" si="71"/>
        <v>1.1312500000000001E-2</v>
      </c>
      <c r="Q128" s="189">
        <f t="shared" si="71"/>
        <v>1.1312500000000001E-2</v>
      </c>
      <c r="R128" s="189">
        <f t="shared" si="71"/>
        <v>1.1312500000000001E-2</v>
      </c>
      <c r="S128" s="189">
        <f t="shared" si="71"/>
        <v>1.1312500000000001E-2</v>
      </c>
      <c r="T128" s="189">
        <f t="shared" si="71"/>
        <v>1.1312500000000001E-2</v>
      </c>
      <c r="U128" s="189">
        <f t="shared" si="71"/>
        <v>1.1312500000000001E-2</v>
      </c>
      <c r="V128" s="183">
        <f t="shared" si="71"/>
        <v>1.1312500000000001E-2</v>
      </c>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row>
    <row r="129" spans="1:74" ht="15" thickBot="1" x14ac:dyDescent="0.4">
      <c r="A129" s="190" t="s">
        <v>399</v>
      </c>
      <c r="B129" s="191">
        <f>B127*B128</f>
        <v>16</v>
      </c>
      <c r="C129" s="42"/>
      <c r="D129" s="212" t="s">
        <v>404</v>
      </c>
      <c r="E129" s="49"/>
      <c r="F129" s="192">
        <f>B125</f>
        <v>6000000</v>
      </c>
      <c r="G129" s="192">
        <f t="shared" ref="G129:V129" si="72">F133</f>
        <v>5625000</v>
      </c>
      <c r="H129" s="192">
        <f t="shared" si="72"/>
        <v>5250000</v>
      </c>
      <c r="I129" s="192">
        <f t="shared" si="72"/>
        <v>4875000</v>
      </c>
      <c r="J129" s="192">
        <f t="shared" si="72"/>
        <v>4500000</v>
      </c>
      <c r="K129" s="192">
        <f t="shared" si="72"/>
        <v>4125000</v>
      </c>
      <c r="L129" s="192">
        <f t="shared" si="72"/>
        <v>3750000</v>
      </c>
      <c r="M129" s="192">
        <f t="shared" si="72"/>
        <v>3375000</v>
      </c>
      <c r="N129" s="192">
        <f t="shared" si="72"/>
        <v>3000000</v>
      </c>
      <c r="O129" s="192">
        <f t="shared" si="72"/>
        <v>2625000</v>
      </c>
      <c r="P129" s="192">
        <f t="shared" si="72"/>
        <v>2250000</v>
      </c>
      <c r="Q129" s="192">
        <f t="shared" si="72"/>
        <v>1875000</v>
      </c>
      <c r="R129" s="192">
        <f t="shared" si="72"/>
        <v>1500000</v>
      </c>
      <c r="S129" s="192">
        <f t="shared" si="72"/>
        <v>1125000</v>
      </c>
      <c r="T129" s="192">
        <f t="shared" si="72"/>
        <v>750000</v>
      </c>
      <c r="U129" s="192">
        <f t="shared" si="72"/>
        <v>375000</v>
      </c>
      <c r="V129" s="180">
        <f t="shared" si="72"/>
        <v>0</v>
      </c>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row>
    <row r="130" spans="1:74" ht="87.5" thickBot="1" x14ac:dyDescent="0.4">
      <c r="A130" s="190" t="s">
        <v>417</v>
      </c>
      <c r="B130" s="218" t="s">
        <v>418</v>
      </c>
      <c r="C130" s="42"/>
      <c r="D130" s="212" t="s">
        <v>405</v>
      </c>
      <c r="E130" s="49"/>
      <c r="F130" s="193">
        <f t="shared" ref="F130:V130" si="73">IF(F126&lt;=$B$129,F129*F128,0)</f>
        <v>67875.000000000015</v>
      </c>
      <c r="G130" s="193">
        <f t="shared" si="73"/>
        <v>63632.812500000007</v>
      </c>
      <c r="H130" s="193">
        <f t="shared" si="73"/>
        <v>59390.625000000007</v>
      </c>
      <c r="I130" s="193">
        <f t="shared" si="73"/>
        <v>55148.437500000007</v>
      </c>
      <c r="J130" s="193">
        <f t="shared" si="73"/>
        <v>50906.250000000007</v>
      </c>
      <c r="K130" s="193">
        <f t="shared" si="73"/>
        <v>46664.062500000007</v>
      </c>
      <c r="L130" s="193">
        <f t="shared" si="73"/>
        <v>42421.875000000007</v>
      </c>
      <c r="M130" s="193">
        <f t="shared" si="73"/>
        <v>38179.687500000007</v>
      </c>
      <c r="N130" s="193">
        <f t="shared" si="73"/>
        <v>33937.500000000007</v>
      </c>
      <c r="O130" s="193">
        <f t="shared" si="73"/>
        <v>29695.312500000004</v>
      </c>
      <c r="P130" s="193">
        <f t="shared" si="73"/>
        <v>25453.125000000004</v>
      </c>
      <c r="Q130" s="193">
        <f t="shared" si="73"/>
        <v>21210.937500000004</v>
      </c>
      <c r="R130" s="193">
        <f t="shared" si="73"/>
        <v>16968.750000000004</v>
      </c>
      <c r="S130" s="193">
        <f t="shared" si="73"/>
        <v>12726.562500000002</v>
      </c>
      <c r="T130" s="193">
        <f t="shared" si="73"/>
        <v>8484.3750000000018</v>
      </c>
      <c r="U130" s="193">
        <f t="shared" si="73"/>
        <v>4242.1875000000009</v>
      </c>
      <c r="V130" s="194">
        <f t="shared" si="73"/>
        <v>0</v>
      </c>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row>
    <row r="131" spans="1:74" x14ac:dyDescent="0.35">
      <c r="A131" s="42"/>
      <c r="B131" s="42"/>
      <c r="C131" s="42"/>
      <c r="D131" s="212" t="s">
        <v>406</v>
      </c>
      <c r="E131" s="49"/>
      <c r="F131" s="192">
        <f t="shared" ref="F131:V131" si="74">IF(F126&lt;=$B$129,$B$125/$B$129,0)</f>
        <v>375000</v>
      </c>
      <c r="G131" s="192">
        <f t="shared" si="74"/>
        <v>375000</v>
      </c>
      <c r="H131" s="192">
        <f t="shared" si="74"/>
        <v>375000</v>
      </c>
      <c r="I131" s="192">
        <f t="shared" si="74"/>
        <v>375000</v>
      </c>
      <c r="J131" s="192">
        <f t="shared" si="74"/>
        <v>375000</v>
      </c>
      <c r="K131" s="192">
        <f t="shared" si="74"/>
        <v>375000</v>
      </c>
      <c r="L131" s="192">
        <f t="shared" si="74"/>
        <v>375000</v>
      </c>
      <c r="M131" s="192">
        <f t="shared" si="74"/>
        <v>375000</v>
      </c>
      <c r="N131" s="192">
        <f t="shared" si="74"/>
        <v>375000</v>
      </c>
      <c r="O131" s="192">
        <f t="shared" si="74"/>
        <v>375000</v>
      </c>
      <c r="P131" s="192">
        <f t="shared" si="74"/>
        <v>375000</v>
      </c>
      <c r="Q131" s="192">
        <f t="shared" si="74"/>
        <v>375000</v>
      </c>
      <c r="R131" s="192">
        <f t="shared" si="74"/>
        <v>375000</v>
      </c>
      <c r="S131" s="192">
        <f t="shared" si="74"/>
        <v>375000</v>
      </c>
      <c r="T131" s="192">
        <f t="shared" si="74"/>
        <v>375000</v>
      </c>
      <c r="U131" s="192">
        <f t="shared" si="74"/>
        <v>375000</v>
      </c>
      <c r="V131" s="180">
        <f t="shared" si="74"/>
        <v>0</v>
      </c>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row>
    <row r="132" spans="1:74" x14ac:dyDescent="0.35">
      <c r="A132" s="42"/>
      <c r="B132" s="42"/>
      <c r="C132" s="42"/>
      <c r="D132" s="212" t="s">
        <v>407</v>
      </c>
      <c r="E132" s="49"/>
      <c r="F132" s="192">
        <f t="shared" ref="F132:V132" si="75">SUM(F130+F131)</f>
        <v>442875</v>
      </c>
      <c r="G132" s="192">
        <f t="shared" si="75"/>
        <v>438632.8125</v>
      </c>
      <c r="H132" s="192">
        <f t="shared" si="75"/>
        <v>434390.625</v>
      </c>
      <c r="I132" s="192">
        <f t="shared" si="75"/>
        <v>430148.4375</v>
      </c>
      <c r="J132" s="192">
        <f t="shared" si="75"/>
        <v>425906.25</v>
      </c>
      <c r="K132" s="192">
        <f t="shared" si="75"/>
        <v>421664.0625</v>
      </c>
      <c r="L132" s="192">
        <f t="shared" si="75"/>
        <v>417421.875</v>
      </c>
      <c r="M132" s="192">
        <f t="shared" si="75"/>
        <v>413179.6875</v>
      </c>
      <c r="N132" s="192">
        <f t="shared" si="75"/>
        <v>408937.5</v>
      </c>
      <c r="O132" s="192">
        <f t="shared" si="75"/>
        <v>404695.3125</v>
      </c>
      <c r="P132" s="192">
        <f t="shared" si="75"/>
        <v>400453.125</v>
      </c>
      <c r="Q132" s="192">
        <f t="shared" si="75"/>
        <v>396210.9375</v>
      </c>
      <c r="R132" s="192">
        <f t="shared" si="75"/>
        <v>391968.75</v>
      </c>
      <c r="S132" s="192">
        <f t="shared" si="75"/>
        <v>387726.5625</v>
      </c>
      <c r="T132" s="192">
        <f t="shared" si="75"/>
        <v>383484.375</v>
      </c>
      <c r="U132" s="192">
        <f t="shared" si="75"/>
        <v>379242.1875</v>
      </c>
      <c r="V132" s="180">
        <f t="shared" si="75"/>
        <v>0</v>
      </c>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row>
    <row r="133" spans="1:74" ht="15" thickBot="1" x14ac:dyDescent="0.4">
      <c r="A133" s="42"/>
      <c r="B133" s="42"/>
      <c r="C133" s="42"/>
      <c r="D133" s="217" t="s">
        <v>408</v>
      </c>
      <c r="E133" s="50"/>
      <c r="F133" s="196">
        <f t="shared" ref="F133:V133" si="76">F129-F131</f>
        <v>5625000</v>
      </c>
      <c r="G133" s="196">
        <f t="shared" si="76"/>
        <v>5250000</v>
      </c>
      <c r="H133" s="196">
        <f t="shared" si="76"/>
        <v>4875000</v>
      </c>
      <c r="I133" s="196">
        <f t="shared" si="76"/>
        <v>4500000</v>
      </c>
      <c r="J133" s="196">
        <f t="shared" si="76"/>
        <v>4125000</v>
      </c>
      <c r="K133" s="196">
        <f t="shared" si="76"/>
        <v>3750000</v>
      </c>
      <c r="L133" s="196">
        <f t="shared" si="76"/>
        <v>3375000</v>
      </c>
      <c r="M133" s="196">
        <f t="shared" si="76"/>
        <v>3000000</v>
      </c>
      <c r="N133" s="196">
        <f t="shared" si="76"/>
        <v>2625000</v>
      </c>
      <c r="O133" s="196">
        <f t="shared" si="76"/>
        <v>2250000</v>
      </c>
      <c r="P133" s="196">
        <f t="shared" si="76"/>
        <v>1875000</v>
      </c>
      <c r="Q133" s="196">
        <f t="shared" si="76"/>
        <v>1500000</v>
      </c>
      <c r="R133" s="196">
        <f t="shared" si="76"/>
        <v>1125000</v>
      </c>
      <c r="S133" s="196">
        <f t="shared" si="76"/>
        <v>750000</v>
      </c>
      <c r="T133" s="196">
        <f t="shared" si="76"/>
        <v>375000</v>
      </c>
      <c r="U133" s="196">
        <f t="shared" si="76"/>
        <v>0</v>
      </c>
      <c r="V133" s="197">
        <f t="shared" si="76"/>
        <v>0</v>
      </c>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row>
    <row r="134" spans="1:74" ht="15" thickBot="1" x14ac:dyDescent="0.4">
      <c r="A134" s="42"/>
      <c r="B134" s="42"/>
      <c r="C134" s="42"/>
      <c r="D134" s="42"/>
      <c r="E134" s="44"/>
      <c r="F134" s="42"/>
      <c r="G134" s="45"/>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row>
    <row r="135" spans="1:74" x14ac:dyDescent="0.35">
      <c r="A135" s="42"/>
      <c r="B135" s="42"/>
      <c r="C135" s="42"/>
      <c r="D135" s="176"/>
      <c r="E135" s="223">
        <v>2021</v>
      </c>
      <c r="F135" s="223">
        <v>2022</v>
      </c>
      <c r="G135" s="223">
        <v>2023</v>
      </c>
      <c r="H135" s="223">
        <v>2024</v>
      </c>
      <c r="I135" s="223">
        <v>2025</v>
      </c>
      <c r="J135" s="223">
        <v>2026</v>
      </c>
      <c r="K135" s="223">
        <v>2027</v>
      </c>
      <c r="L135" s="223">
        <v>2028</v>
      </c>
      <c r="M135" s="223">
        <v>2029</v>
      </c>
      <c r="N135" s="223">
        <v>2030</v>
      </c>
      <c r="O135" s="224">
        <v>2031</v>
      </c>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row>
    <row r="136" spans="1:74" x14ac:dyDescent="0.35">
      <c r="A136" s="42"/>
      <c r="B136" s="42"/>
      <c r="C136" s="42"/>
      <c r="D136" s="212" t="s">
        <v>404</v>
      </c>
      <c r="E136" s="202"/>
      <c r="F136" s="202"/>
      <c r="G136" s="202"/>
      <c r="H136" s="202"/>
      <c r="I136" s="202"/>
      <c r="J136" s="202">
        <f>F129</f>
        <v>6000000</v>
      </c>
      <c r="K136" s="202">
        <f>J140</f>
        <v>4500000</v>
      </c>
      <c r="L136" s="202">
        <f>K140</f>
        <v>3000000</v>
      </c>
      <c r="M136" s="202">
        <f>L140</f>
        <v>1500000</v>
      </c>
      <c r="N136" s="202">
        <f>M140</f>
        <v>0</v>
      </c>
      <c r="O136" s="203">
        <f>N140</f>
        <v>0</v>
      </c>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row>
    <row r="137" spans="1:74" x14ac:dyDescent="0.35">
      <c r="A137" s="42"/>
      <c r="B137" s="42"/>
      <c r="C137" s="42"/>
      <c r="D137" s="212" t="s">
        <v>405</v>
      </c>
      <c r="E137" s="202"/>
      <c r="F137" s="202"/>
      <c r="G137" s="202"/>
      <c r="H137" s="202"/>
      <c r="I137" s="202"/>
      <c r="J137" s="202">
        <f>SUM(F130:I130)</f>
        <v>246046.87500000003</v>
      </c>
      <c r="K137" s="202">
        <f>SUM(J130:M130)</f>
        <v>178171.87500000003</v>
      </c>
      <c r="L137" s="202">
        <f>SUM(N130:Q130)</f>
        <v>110296.87500000001</v>
      </c>
      <c r="M137" s="202">
        <f>SUM(R130:U130)</f>
        <v>42421.875000000007</v>
      </c>
      <c r="N137" s="202">
        <f>SUM(V130:Y130)</f>
        <v>0</v>
      </c>
      <c r="O137" s="203">
        <f>SUM(W130:Z130)</f>
        <v>0</v>
      </c>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row>
    <row r="138" spans="1:74" x14ac:dyDescent="0.35">
      <c r="A138" s="42"/>
      <c r="B138" s="42"/>
      <c r="C138" s="42"/>
      <c r="D138" s="212" t="s">
        <v>406</v>
      </c>
      <c r="E138" s="202"/>
      <c r="F138" s="202"/>
      <c r="G138" s="202"/>
      <c r="H138" s="202"/>
      <c r="I138" s="202"/>
      <c r="J138" s="202">
        <f>SUM(F131:I131)</f>
        <v>1500000</v>
      </c>
      <c r="K138" s="202">
        <f>SUM(J131:M131)</f>
        <v>1500000</v>
      </c>
      <c r="L138" s="202">
        <f>SUM(N131:Q131)</f>
        <v>1500000</v>
      </c>
      <c r="M138" s="202">
        <f>SUM(R131:U131)</f>
        <v>1500000</v>
      </c>
      <c r="N138" s="202">
        <f>SUM(V131:Y131)</f>
        <v>0</v>
      </c>
      <c r="O138" s="203">
        <f>SUM(W131:Z131)</f>
        <v>0</v>
      </c>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row>
    <row r="139" spans="1:74" x14ac:dyDescent="0.35">
      <c r="A139" s="42"/>
      <c r="B139" s="42"/>
      <c r="C139" s="42"/>
      <c r="D139" s="212" t="s">
        <v>407</v>
      </c>
      <c r="E139" s="202"/>
      <c r="F139" s="202"/>
      <c r="G139" s="202"/>
      <c r="H139" s="202"/>
      <c r="I139" s="202"/>
      <c r="J139" s="202">
        <f t="shared" ref="J139:O139" si="77">SUM(J137:J138)</f>
        <v>1746046.875</v>
      </c>
      <c r="K139" s="202">
        <f t="shared" si="77"/>
        <v>1678171.875</v>
      </c>
      <c r="L139" s="202">
        <f t="shared" si="77"/>
        <v>1610296.875</v>
      </c>
      <c r="M139" s="202">
        <f t="shared" si="77"/>
        <v>1542421.875</v>
      </c>
      <c r="N139" s="202">
        <f t="shared" si="77"/>
        <v>0</v>
      </c>
      <c r="O139" s="203">
        <f t="shared" si="77"/>
        <v>0</v>
      </c>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row>
    <row r="140" spans="1:74" ht="15" thickBot="1" x14ac:dyDescent="0.4">
      <c r="A140" s="42"/>
      <c r="B140" s="42"/>
      <c r="C140" s="42"/>
      <c r="D140" s="217" t="s">
        <v>408</v>
      </c>
      <c r="E140" s="206"/>
      <c r="F140" s="206"/>
      <c r="G140" s="206"/>
      <c r="H140" s="206"/>
      <c r="I140" s="206"/>
      <c r="J140" s="206">
        <f t="shared" ref="J140:O140" si="78">J136-J138</f>
        <v>4500000</v>
      </c>
      <c r="K140" s="206">
        <f t="shared" si="78"/>
        <v>3000000</v>
      </c>
      <c r="L140" s="206">
        <f t="shared" si="78"/>
        <v>1500000</v>
      </c>
      <c r="M140" s="206">
        <f t="shared" si="78"/>
        <v>0</v>
      </c>
      <c r="N140" s="206">
        <f t="shared" si="78"/>
        <v>0</v>
      </c>
      <c r="O140" s="207">
        <f t="shared" si="78"/>
        <v>0</v>
      </c>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row>
    <row r="141" spans="1:74" x14ac:dyDescent="0.35">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row>
    <row r="142" spans="1:74" x14ac:dyDescent="0.35">
      <c r="A142" s="436" t="s">
        <v>426</v>
      </c>
      <c r="B142" s="436"/>
      <c r="C142" s="436"/>
      <c r="D142" s="436"/>
      <c r="E142" s="436"/>
      <c r="F142" s="436"/>
      <c r="G142" s="436"/>
      <c r="H142" s="436"/>
      <c r="I142" s="436"/>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row>
    <row r="143" spans="1:74" x14ac:dyDescent="0.35">
      <c r="A143" s="436"/>
      <c r="B143" s="436"/>
      <c r="C143" s="436"/>
      <c r="D143" s="436"/>
      <c r="E143" s="436"/>
      <c r="F143" s="436"/>
      <c r="G143" s="436"/>
      <c r="H143" s="436"/>
      <c r="I143" s="436"/>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row>
    <row r="144" spans="1:74" x14ac:dyDescent="0.35">
      <c r="A144" s="436"/>
      <c r="B144" s="436"/>
      <c r="C144" s="436"/>
      <c r="D144" s="436"/>
      <c r="E144" s="436"/>
      <c r="F144" s="436"/>
      <c r="G144" s="436"/>
      <c r="H144" s="436"/>
      <c r="I144" s="436"/>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row>
    <row r="145" spans="1:74" x14ac:dyDescent="0.35">
      <c r="A145" s="436"/>
      <c r="B145" s="436"/>
      <c r="C145" s="436"/>
      <c r="D145" s="436"/>
      <c r="E145" s="436"/>
      <c r="F145" s="436"/>
      <c r="G145" s="436"/>
      <c r="H145" s="436"/>
      <c r="I145" s="436"/>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row>
    <row r="146" spans="1:74" x14ac:dyDescent="0.35">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row>
    <row r="147" spans="1:74" ht="19" thickBot="1" x14ac:dyDescent="0.5">
      <c r="A147" s="441">
        <v>18.7</v>
      </c>
      <c r="B147" s="441"/>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row>
    <row r="148" spans="1:74" x14ac:dyDescent="0.35">
      <c r="A148" s="442"/>
      <c r="B148" s="442"/>
      <c r="C148" s="42"/>
      <c r="D148" s="175" t="s">
        <v>400</v>
      </c>
      <c r="E148" s="225"/>
      <c r="F148" s="177">
        <f>B150</f>
        <v>3.6799999999999999E-2</v>
      </c>
      <c r="G148" s="177">
        <f t="shared" ref="G148:O148" si="79">F148</f>
        <v>3.6799999999999999E-2</v>
      </c>
      <c r="H148" s="177">
        <f t="shared" si="79"/>
        <v>3.6799999999999999E-2</v>
      </c>
      <c r="I148" s="177">
        <f t="shared" si="79"/>
        <v>3.6799999999999999E-2</v>
      </c>
      <c r="J148" s="177">
        <f t="shared" si="79"/>
        <v>3.6799999999999999E-2</v>
      </c>
      <c r="K148" s="177">
        <f t="shared" si="79"/>
        <v>3.6799999999999999E-2</v>
      </c>
      <c r="L148" s="177">
        <f t="shared" si="79"/>
        <v>3.6799999999999999E-2</v>
      </c>
      <c r="M148" s="177">
        <f t="shared" si="79"/>
        <v>3.6799999999999999E-2</v>
      </c>
      <c r="N148" s="177">
        <f t="shared" si="79"/>
        <v>3.6799999999999999E-2</v>
      </c>
      <c r="O148" s="178">
        <f t="shared" si="79"/>
        <v>3.6799999999999999E-2</v>
      </c>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row>
    <row r="149" spans="1:74" x14ac:dyDescent="0.35">
      <c r="A149" s="179" t="s">
        <v>395</v>
      </c>
      <c r="B149" s="222">
        <v>4112422</v>
      </c>
      <c r="C149" s="42"/>
      <c r="D149" s="179" t="s">
        <v>419</v>
      </c>
      <c r="E149" s="169"/>
      <c r="F149" s="226">
        <v>3.9800000000000002E-2</v>
      </c>
      <c r="G149" s="169">
        <v>3.8699999999999998E-2</v>
      </c>
      <c r="H149" s="169">
        <v>3.8300000000000001E-2</v>
      </c>
      <c r="I149" s="169">
        <v>3.8300000000000001E-2</v>
      </c>
      <c r="J149" s="169">
        <v>3.8300000000000001E-2</v>
      </c>
      <c r="K149" s="169">
        <v>3.8199999999999998E-2</v>
      </c>
      <c r="L149" s="169">
        <v>3.8300000000000001E-2</v>
      </c>
      <c r="M149" s="169"/>
      <c r="N149" s="169"/>
      <c r="O149" s="18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row>
    <row r="150" spans="1:74" x14ac:dyDescent="0.35">
      <c r="A150" s="179" t="s">
        <v>396</v>
      </c>
      <c r="B150" s="183">
        <v>3.6799999999999999E-2</v>
      </c>
      <c r="C150" s="42"/>
      <c r="D150" s="179" t="s">
        <v>402</v>
      </c>
      <c r="E150" s="227"/>
      <c r="F150" s="49">
        <v>1</v>
      </c>
      <c r="G150" s="49">
        <v>2</v>
      </c>
      <c r="H150" s="49">
        <v>3</v>
      </c>
      <c r="I150" s="49">
        <v>4</v>
      </c>
      <c r="J150" s="49">
        <v>5</v>
      </c>
      <c r="K150" s="49">
        <v>6</v>
      </c>
      <c r="L150" s="49">
        <v>7</v>
      </c>
      <c r="M150" s="49">
        <v>8</v>
      </c>
      <c r="N150" s="49">
        <v>9</v>
      </c>
      <c r="O150" s="185">
        <v>10</v>
      </c>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row>
    <row r="151" spans="1:74" x14ac:dyDescent="0.35">
      <c r="A151" s="179" t="s">
        <v>397</v>
      </c>
      <c r="B151" s="185">
        <v>2</v>
      </c>
      <c r="C151" s="42"/>
      <c r="D151" s="179" t="s">
        <v>410</v>
      </c>
      <c r="E151" s="186">
        <v>45672</v>
      </c>
      <c r="F151" s="187">
        <f t="shared" ref="F151:O151" si="80">EDATE(E151,6)</f>
        <v>45853</v>
      </c>
      <c r="G151" s="187">
        <f t="shared" si="80"/>
        <v>46037</v>
      </c>
      <c r="H151" s="187">
        <f t="shared" si="80"/>
        <v>46218</v>
      </c>
      <c r="I151" s="187">
        <f t="shared" si="80"/>
        <v>46402</v>
      </c>
      <c r="J151" s="187">
        <f t="shared" si="80"/>
        <v>46583</v>
      </c>
      <c r="K151" s="187">
        <f t="shared" si="80"/>
        <v>46767</v>
      </c>
      <c r="L151" s="187">
        <f t="shared" si="80"/>
        <v>46949</v>
      </c>
      <c r="M151" s="187">
        <f t="shared" si="80"/>
        <v>47133</v>
      </c>
      <c r="N151" s="187">
        <f t="shared" si="80"/>
        <v>47314</v>
      </c>
      <c r="O151" s="188">
        <f t="shared" si="80"/>
        <v>47498</v>
      </c>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row>
    <row r="152" spans="1:74" x14ac:dyDescent="0.35">
      <c r="A152" s="179" t="s">
        <v>398</v>
      </c>
      <c r="B152" s="185">
        <v>3.5</v>
      </c>
      <c r="C152" s="42"/>
      <c r="D152" s="179" t="s">
        <v>403</v>
      </c>
      <c r="E152" s="184"/>
      <c r="F152" s="189">
        <f t="shared" ref="F152:O152" si="81">(F148+F149)/2</f>
        <v>3.8300000000000001E-2</v>
      </c>
      <c r="G152" s="189">
        <f t="shared" si="81"/>
        <v>3.7749999999999999E-2</v>
      </c>
      <c r="H152" s="189">
        <f t="shared" si="81"/>
        <v>3.755E-2</v>
      </c>
      <c r="I152" s="189">
        <f t="shared" si="81"/>
        <v>3.755E-2</v>
      </c>
      <c r="J152" s="189">
        <f t="shared" si="81"/>
        <v>3.755E-2</v>
      </c>
      <c r="K152" s="189">
        <f t="shared" si="81"/>
        <v>3.7499999999999999E-2</v>
      </c>
      <c r="L152" s="189">
        <f t="shared" si="81"/>
        <v>3.755E-2</v>
      </c>
      <c r="M152" s="189">
        <f t="shared" si="81"/>
        <v>1.84E-2</v>
      </c>
      <c r="N152" s="189">
        <f t="shared" si="81"/>
        <v>1.84E-2</v>
      </c>
      <c r="O152" s="183">
        <f t="shared" si="81"/>
        <v>1.84E-2</v>
      </c>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row>
    <row r="153" spans="1:74" ht="15" thickBot="1" x14ac:dyDescent="0.4">
      <c r="A153" s="190" t="s">
        <v>399</v>
      </c>
      <c r="B153" s="191">
        <f>B151*B152</f>
        <v>7</v>
      </c>
      <c r="C153" s="42"/>
      <c r="D153" s="179" t="s">
        <v>404</v>
      </c>
      <c r="E153" s="184"/>
      <c r="F153" s="192">
        <f>B149</f>
        <v>4112422</v>
      </c>
      <c r="G153" s="192">
        <f t="shared" ref="G153:O153" si="82">F157</f>
        <v>3524933.1428571427</v>
      </c>
      <c r="H153" s="192">
        <f t="shared" si="82"/>
        <v>2937444.2857142854</v>
      </c>
      <c r="I153" s="192">
        <f t="shared" si="82"/>
        <v>2349955.4285714282</v>
      </c>
      <c r="J153" s="192">
        <f t="shared" si="82"/>
        <v>1762466.5714285709</v>
      </c>
      <c r="K153" s="192">
        <f t="shared" si="82"/>
        <v>1174977.7142857136</v>
      </c>
      <c r="L153" s="192">
        <f t="shared" si="82"/>
        <v>587488.85714285646</v>
      </c>
      <c r="M153" s="192">
        <f t="shared" si="82"/>
        <v>0</v>
      </c>
      <c r="N153" s="192">
        <f t="shared" si="82"/>
        <v>0</v>
      </c>
      <c r="O153" s="180">
        <f t="shared" si="82"/>
        <v>0</v>
      </c>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row>
    <row r="154" spans="1:74" x14ac:dyDescent="0.35">
      <c r="A154" s="42"/>
      <c r="B154" s="42"/>
      <c r="C154" s="42"/>
      <c r="D154" s="179" t="s">
        <v>405</v>
      </c>
      <c r="E154" s="184"/>
      <c r="F154" s="193">
        <f t="shared" ref="F154:O154" si="83">IF(F150&lt;=$B$153,F153*F152,0)</f>
        <v>157505.76260000002</v>
      </c>
      <c r="G154" s="193">
        <f t="shared" si="83"/>
        <v>133066.22614285714</v>
      </c>
      <c r="H154" s="193">
        <f t="shared" si="83"/>
        <v>110301.03292857143</v>
      </c>
      <c r="I154" s="193">
        <f t="shared" si="83"/>
        <v>88240.826342857123</v>
      </c>
      <c r="J154" s="193">
        <f t="shared" si="83"/>
        <v>66180.619757142835</v>
      </c>
      <c r="K154" s="193">
        <f t="shared" si="83"/>
        <v>44061.664285714258</v>
      </c>
      <c r="L154" s="193">
        <f t="shared" si="83"/>
        <v>22060.206585714259</v>
      </c>
      <c r="M154" s="193">
        <f t="shared" si="83"/>
        <v>0</v>
      </c>
      <c r="N154" s="193">
        <f t="shared" si="83"/>
        <v>0</v>
      </c>
      <c r="O154" s="193">
        <f t="shared" si="83"/>
        <v>0</v>
      </c>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row>
    <row r="155" spans="1:74" x14ac:dyDescent="0.35">
      <c r="A155" s="42"/>
      <c r="B155" s="42"/>
      <c r="C155" s="42"/>
      <c r="D155" s="179" t="s">
        <v>406</v>
      </c>
      <c r="E155" s="184"/>
      <c r="F155" s="192">
        <f t="shared" ref="F155:O155" si="84">IF(F150&lt;=$B$153,$B$149/$B$153,0)</f>
        <v>587488.85714285716</v>
      </c>
      <c r="G155" s="192">
        <f t="shared" si="84"/>
        <v>587488.85714285716</v>
      </c>
      <c r="H155" s="192">
        <f t="shared" si="84"/>
        <v>587488.85714285716</v>
      </c>
      <c r="I155" s="192">
        <f t="shared" si="84"/>
        <v>587488.85714285716</v>
      </c>
      <c r="J155" s="192">
        <f t="shared" si="84"/>
        <v>587488.85714285716</v>
      </c>
      <c r="K155" s="192">
        <f t="shared" si="84"/>
        <v>587488.85714285716</v>
      </c>
      <c r="L155" s="192">
        <f t="shared" si="84"/>
        <v>587488.85714285716</v>
      </c>
      <c r="M155" s="192">
        <f t="shared" si="84"/>
        <v>0</v>
      </c>
      <c r="N155" s="192">
        <f t="shared" si="84"/>
        <v>0</v>
      </c>
      <c r="O155" s="192">
        <f t="shared" si="84"/>
        <v>0</v>
      </c>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row>
    <row r="156" spans="1:74" x14ac:dyDescent="0.35">
      <c r="A156" s="42"/>
      <c r="B156" s="42"/>
      <c r="C156" s="42"/>
      <c r="D156" s="179" t="s">
        <v>407</v>
      </c>
      <c r="E156" s="184"/>
      <c r="F156" s="192">
        <f t="shared" ref="F156:O156" si="85">SUM(F154+F155)</f>
        <v>744994.61974285718</v>
      </c>
      <c r="G156" s="192">
        <f t="shared" si="85"/>
        <v>720555.08328571427</v>
      </c>
      <c r="H156" s="192">
        <f t="shared" si="85"/>
        <v>697789.89007142861</v>
      </c>
      <c r="I156" s="192">
        <f t="shared" si="85"/>
        <v>675729.68348571425</v>
      </c>
      <c r="J156" s="192">
        <f t="shared" si="85"/>
        <v>653669.47690000001</v>
      </c>
      <c r="K156" s="192">
        <f t="shared" si="85"/>
        <v>631550.52142857143</v>
      </c>
      <c r="L156" s="192">
        <f t="shared" si="85"/>
        <v>609549.0637285714</v>
      </c>
      <c r="M156" s="192">
        <f t="shared" si="85"/>
        <v>0</v>
      </c>
      <c r="N156" s="192">
        <f t="shared" si="85"/>
        <v>0</v>
      </c>
      <c r="O156" s="180">
        <f t="shared" si="85"/>
        <v>0</v>
      </c>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row>
    <row r="157" spans="1:74" ht="15" thickBot="1" x14ac:dyDescent="0.4">
      <c r="A157" s="42"/>
      <c r="B157" s="42"/>
      <c r="C157" s="42"/>
      <c r="D157" s="190" t="s">
        <v>408</v>
      </c>
      <c r="E157" s="195"/>
      <c r="F157" s="196">
        <f t="shared" ref="F157:O157" si="86">F153-F155</f>
        <v>3524933.1428571427</v>
      </c>
      <c r="G157" s="196">
        <f t="shared" si="86"/>
        <v>2937444.2857142854</v>
      </c>
      <c r="H157" s="196">
        <f t="shared" si="86"/>
        <v>2349955.4285714282</v>
      </c>
      <c r="I157" s="196">
        <f t="shared" si="86"/>
        <v>1762466.5714285709</v>
      </c>
      <c r="J157" s="196">
        <f t="shared" si="86"/>
        <v>1174977.7142857136</v>
      </c>
      <c r="K157" s="196">
        <f t="shared" si="86"/>
        <v>587488.85714285646</v>
      </c>
      <c r="L157" s="196">
        <f t="shared" si="86"/>
        <v>0</v>
      </c>
      <c r="M157" s="196">
        <f t="shared" si="86"/>
        <v>0</v>
      </c>
      <c r="N157" s="196">
        <f t="shared" si="86"/>
        <v>0</v>
      </c>
      <c r="O157" s="197">
        <f t="shared" si="86"/>
        <v>0</v>
      </c>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row>
    <row r="158" spans="1:74" x14ac:dyDescent="0.35">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row>
    <row r="159" spans="1:74" ht="15" thickBot="1" x14ac:dyDescent="0.4">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row>
    <row r="160" spans="1:74" x14ac:dyDescent="0.35">
      <c r="A160" s="42"/>
      <c r="B160" s="42"/>
      <c r="C160" s="42"/>
      <c r="D160" s="176"/>
      <c r="E160" s="223">
        <v>2021</v>
      </c>
      <c r="F160" s="223">
        <v>2022</v>
      </c>
      <c r="G160" s="223">
        <v>2023</v>
      </c>
      <c r="H160" s="223">
        <v>2024</v>
      </c>
      <c r="I160" s="223">
        <v>2025</v>
      </c>
      <c r="J160" s="223">
        <v>2026</v>
      </c>
      <c r="K160" s="223">
        <v>2027</v>
      </c>
      <c r="L160" s="223">
        <v>2028</v>
      </c>
      <c r="M160" s="223">
        <v>2029</v>
      </c>
      <c r="N160" s="223">
        <v>2030</v>
      </c>
      <c r="O160" s="224">
        <v>2031</v>
      </c>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row>
    <row r="161" spans="1:74" x14ac:dyDescent="0.35">
      <c r="A161" s="42"/>
      <c r="B161" s="42"/>
      <c r="C161" s="42"/>
      <c r="D161" s="212" t="s">
        <v>404</v>
      </c>
      <c r="E161" s="202"/>
      <c r="F161" s="202"/>
      <c r="G161" s="202"/>
      <c r="H161" s="202"/>
      <c r="I161" s="202">
        <f>F153</f>
        <v>4112422</v>
      </c>
      <c r="J161" s="202">
        <f t="shared" ref="J161:O161" si="87">I165</f>
        <v>3524933.1428571427</v>
      </c>
      <c r="K161" s="202">
        <f t="shared" si="87"/>
        <v>2349955.4285714282</v>
      </c>
      <c r="L161" s="202">
        <f t="shared" si="87"/>
        <v>1174977.7142857139</v>
      </c>
      <c r="M161" s="202">
        <f t="shared" si="87"/>
        <v>0</v>
      </c>
      <c r="N161" s="202">
        <f t="shared" si="87"/>
        <v>0</v>
      </c>
      <c r="O161" s="203">
        <f t="shared" si="87"/>
        <v>0</v>
      </c>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row>
    <row r="162" spans="1:74" x14ac:dyDescent="0.35">
      <c r="A162" s="42"/>
      <c r="B162" s="42"/>
      <c r="C162" s="42"/>
      <c r="D162" s="212" t="s">
        <v>405</v>
      </c>
      <c r="E162" s="202"/>
      <c r="F162" s="202"/>
      <c r="G162" s="202"/>
      <c r="H162" s="202"/>
      <c r="I162" s="202">
        <f>SUM(E154:F154)</f>
        <v>157505.76260000002</v>
      </c>
      <c r="J162" s="202">
        <f>SUM(G154:H154)</f>
        <v>243367.25907142856</v>
      </c>
      <c r="K162" s="202">
        <f>SUM(I154:J154)</f>
        <v>154421.44609999994</v>
      </c>
      <c r="L162" s="202">
        <f>SUM(K154:L154)</f>
        <v>66121.870871428517</v>
      </c>
      <c r="M162" s="202">
        <f t="shared" ref="M162:O163" si="88">SUM(M154:N154)</f>
        <v>0</v>
      </c>
      <c r="N162" s="202">
        <f t="shared" si="88"/>
        <v>0</v>
      </c>
      <c r="O162" s="203">
        <f t="shared" si="88"/>
        <v>0</v>
      </c>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row>
    <row r="163" spans="1:74" x14ac:dyDescent="0.35">
      <c r="A163" s="42"/>
      <c r="B163" s="42"/>
      <c r="C163" s="42"/>
      <c r="D163" s="212" t="s">
        <v>406</v>
      </c>
      <c r="E163" s="202"/>
      <c r="F163" s="202"/>
      <c r="G163" s="202"/>
      <c r="H163" s="202"/>
      <c r="I163" s="202">
        <f>SUM(E155:F155)</f>
        <v>587488.85714285716</v>
      </c>
      <c r="J163" s="202">
        <f>SUM(G155:H155)</f>
        <v>1174977.7142857143</v>
      </c>
      <c r="K163" s="202">
        <f>SUM(I155:J155)</f>
        <v>1174977.7142857143</v>
      </c>
      <c r="L163" s="202">
        <f>SUM(K155:L155)</f>
        <v>1174977.7142857143</v>
      </c>
      <c r="M163" s="202">
        <f t="shared" si="88"/>
        <v>0</v>
      </c>
      <c r="N163" s="202">
        <f t="shared" si="88"/>
        <v>0</v>
      </c>
      <c r="O163" s="203">
        <f t="shared" si="88"/>
        <v>0</v>
      </c>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row>
    <row r="164" spans="1:74" x14ac:dyDescent="0.35">
      <c r="A164" s="42"/>
      <c r="B164" s="42"/>
      <c r="C164" s="42"/>
      <c r="D164" s="212" t="s">
        <v>407</v>
      </c>
      <c r="E164" s="202"/>
      <c r="F164" s="202"/>
      <c r="G164" s="202"/>
      <c r="H164" s="202"/>
      <c r="I164" s="202">
        <f t="shared" ref="I164:O164" si="89">SUM(I162:I163)</f>
        <v>744994.61974285718</v>
      </c>
      <c r="J164" s="202">
        <f t="shared" si="89"/>
        <v>1418344.9733571429</v>
      </c>
      <c r="K164" s="202">
        <f t="shared" si="89"/>
        <v>1329399.1603857144</v>
      </c>
      <c r="L164" s="202">
        <f t="shared" si="89"/>
        <v>1241099.585157143</v>
      </c>
      <c r="M164" s="202">
        <f t="shared" si="89"/>
        <v>0</v>
      </c>
      <c r="N164" s="202">
        <f t="shared" si="89"/>
        <v>0</v>
      </c>
      <c r="O164" s="203">
        <f t="shared" si="89"/>
        <v>0</v>
      </c>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row>
    <row r="165" spans="1:74" ht="15" thickBot="1" x14ac:dyDescent="0.4">
      <c r="A165" s="42"/>
      <c r="B165" s="42"/>
      <c r="C165" s="42"/>
      <c r="D165" s="217" t="s">
        <v>408</v>
      </c>
      <c r="E165" s="206"/>
      <c r="F165" s="206"/>
      <c r="G165" s="206"/>
      <c r="H165" s="206"/>
      <c r="I165" s="206">
        <f t="shared" ref="I165:O165" si="90">I161-I163</f>
        <v>3524933.1428571427</v>
      </c>
      <c r="J165" s="206">
        <f t="shared" si="90"/>
        <v>2349955.4285714282</v>
      </c>
      <c r="K165" s="206">
        <f t="shared" si="90"/>
        <v>1174977.7142857139</v>
      </c>
      <c r="L165" s="206">
        <f t="shared" si="90"/>
        <v>0</v>
      </c>
      <c r="M165" s="206">
        <f t="shared" si="90"/>
        <v>0</v>
      </c>
      <c r="N165" s="206">
        <f t="shared" si="90"/>
        <v>0</v>
      </c>
      <c r="O165" s="207">
        <f t="shared" si="90"/>
        <v>0</v>
      </c>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row>
    <row r="166" spans="1:74" x14ac:dyDescent="0.35">
      <c r="A166" s="42"/>
      <c r="B166" s="42"/>
      <c r="C166" s="42"/>
      <c r="D166" s="47"/>
      <c r="E166" s="46"/>
      <c r="F166" s="46"/>
      <c r="G166" s="46"/>
      <c r="H166" s="46"/>
      <c r="I166" s="46"/>
      <c r="J166" s="46"/>
      <c r="K166" s="46"/>
      <c r="L166" s="46"/>
      <c r="M166" s="46"/>
      <c r="N166" s="46"/>
      <c r="O166" s="46"/>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row>
    <row r="167" spans="1:74" x14ac:dyDescent="0.35">
      <c r="A167" s="436" t="s">
        <v>427</v>
      </c>
      <c r="B167" s="436"/>
      <c r="C167" s="436"/>
      <c r="D167" s="436"/>
      <c r="E167" s="436"/>
      <c r="F167" s="436"/>
      <c r="G167" s="436"/>
      <c r="H167" s="436"/>
      <c r="I167" s="436"/>
      <c r="J167" s="436"/>
      <c r="K167" s="436"/>
      <c r="L167" s="46"/>
      <c r="M167" s="46"/>
      <c r="N167" s="46"/>
      <c r="O167" s="46"/>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row>
    <row r="168" spans="1:74" x14ac:dyDescent="0.35">
      <c r="A168" s="436"/>
      <c r="B168" s="436"/>
      <c r="C168" s="436"/>
      <c r="D168" s="436"/>
      <c r="E168" s="436"/>
      <c r="F168" s="436"/>
      <c r="G168" s="436"/>
      <c r="H168" s="436"/>
      <c r="I168" s="436"/>
      <c r="J168" s="436"/>
      <c r="K168" s="436"/>
      <c r="L168" s="46"/>
      <c r="M168" s="46"/>
      <c r="N168" s="46"/>
      <c r="O168" s="46"/>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row>
    <row r="169" spans="1:74" x14ac:dyDescent="0.35">
      <c r="A169" s="436"/>
      <c r="B169" s="436"/>
      <c r="C169" s="436"/>
      <c r="D169" s="436"/>
      <c r="E169" s="436"/>
      <c r="F169" s="436"/>
      <c r="G169" s="436"/>
      <c r="H169" s="436"/>
      <c r="I169" s="436"/>
      <c r="J169" s="436"/>
      <c r="K169" s="436"/>
      <c r="L169" s="46"/>
      <c r="M169" s="46"/>
      <c r="N169" s="46"/>
      <c r="O169" s="46"/>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row>
    <row r="170" spans="1:74" x14ac:dyDescent="0.35">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row>
    <row r="171" spans="1:74" ht="18.5" x14ac:dyDescent="0.45">
      <c r="A171" s="441">
        <v>18.8</v>
      </c>
      <c r="B171" s="441"/>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row>
    <row r="172" spans="1:74" ht="15" thickBot="1" x14ac:dyDescent="0.4">
      <c r="A172" s="438"/>
      <c r="B172" s="438"/>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row>
    <row r="173" spans="1:74" x14ac:dyDescent="0.35">
      <c r="A173" s="228" t="s">
        <v>395</v>
      </c>
      <c r="B173" s="229">
        <v>1000000</v>
      </c>
      <c r="C173" s="42"/>
      <c r="D173" s="210" t="s">
        <v>402</v>
      </c>
      <c r="E173" s="221"/>
      <c r="F173" s="221">
        <v>1</v>
      </c>
      <c r="G173" s="221">
        <v>2</v>
      </c>
      <c r="H173" s="221">
        <v>3</v>
      </c>
      <c r="I173" s="221">
        <v>4</v>
      </c>
      <c r="J173" s="221">
        <v>5</v>
      </c>
      <c r="K173" s="221">
        <v>6</v>
      </c>
      <c r="L173" s="221">
        <v>7</v>
      </c>
      <c r="M173" s="221">
        <v>8</v>
      </c>
      <c r="N173" s="221">
        <v>9</v>
      </c>
      <c r="O173" s="221">
        <v>10</v>
      </c>
      <c r="P173" s="221">
        <v>11</v>
      </c>
      <c r="Q173" s="221">
        <v>12</v>
      </c>
      <c r="R173" s="221">
        <v>13</v>
      </c>
      <c r="S173" s="221">
        <v>14</v>
      </c>
      <c r="T173" s="221">
        <v>15</v>
      </c>
      <c r="U173" s="221">
        <v>16</v>
      </c>
      <c r="V173" s="221">
        <v>17</v>
      </c>
      <c r="W173" s="221">
        <v>18</v>
      </c>
      <c r="X173" s="221">
        <v>19</v>
      </c>
      <c r="Y173" s="221">
        <v>20</v>
      </c>
      <c r="Z173" s="221">
        <v>21</v>
      </c>
      <c r="AA173" s="221">
        <v>22</v>
      </c>
      <c r="AB173" s="221">
        <v>23</v>
      </c>
      <c r="AC173" s="221">
        <v>24</v>
      </c>
      <c r="AD173" s="221">
        <v>25</v>
      </c>
      <c r="AE173" s="221">
        <v>26</v>
      </c>
      <c r="AF173" s="221">
        <v>27</v>
      </c>
      <c r="AG173" s="221">
        <v>28</v>
      </c>
      <c r="AH173" s="221">
        <v>29</v>
      </c>
      <c r="AI173" s="221">
        <v>30</v>
      </c>
      <c r="AJ173" s="221">
        <v>31</v>
      </c>
      <c r="AK173" s="221">
        <v>32</v>
      </c>
      <c r="AL173" s="237">
        <v>33</v>
      </c>
      <c r="AM173" s="59"/>
      <c r="AN173" s="59"/>
      <c r="AO173" s="59"/>
      <c r="AP173" s="59"/>
      <c r="AQ173" s="59"/>
      <c r="AR173" s="59"/>
      <c r="AS173" s="59"/>
      <c r="AT173" s="59"/>
      <c r="AU173" s="59"/>
      <c r="AV173" s="59"/>
      <c r="AW173" s="59"/>
      <c r="AX173" s="59"/>
      <c r="AY173" s="59"/>
      <c r="AZ173" s="59"/>
      <c r="BA173" s="59"/>
      <c r="BB173" s="59"/>
      <c r="BC173" s="42"/>
      <c r="BD173" s="42"/>
      <c r="BE173" s="42"/>
      <c r="BF173" s="42"/>
      <c r="BG173" s="42"/>
      <c r="BH173" s="42"/>
      <c r="BI173" s="42"/>
      <c r="BJ173" s="42"/>
      <c r="BK173" s="42"/>
      <c r="BL173" s="42"/>
      <c r="BM173" s="42"/>
      <c r="BN173" s="42"/>
      <c r="BO173" s="42"/>
      <c r="BP173" s="42"/>
      <c r="BQ173" s="42"/>
      <c r="BR173" s="42"/>
      <c r="BS173" s="42"/>
      <c r="BT173" s="42"/>
      <c r="BU173" s="42"/>
      <c r="BV173" s="42"/>
    </row>
    <row r="174" spans="1:74" x14ac:dyDescent="0.35">
      <c r="A174" s="212" t="s">
        <v>396</v>
      </c>
      <c r="B174" s="230">
        <f>AVERAGE(0.75%,1%)</f>
        <v>8.7500000000000008E-3</v>
      </c>
      <c r="C174" s="42"/>
      <c r="D174" s="212" t="s">
        <v>410</v>
      </c>
      <c r="E174" s="187"/>
      <c r="F174" s="187">
        <v>45089</v>
      </c>
      <c r="G174" s="187">
        <f t="shared" ref="G174:AL174" si="91">EDATE(F174,3)</f>
        <v>45181</v>
      </c>
      <c r="H174" s="187">
        <f t="shared" si="91"/>
        <v>45272</v>
      </c>
      <c r="I174" s="187">
        <f t="shared" si="91"/>
        <v>45363</v>
      </c>
      <c r="J174" s="187">
        <f t="shared" si="91"/>
        <v>45455</v>
      </c>
      <c r="K174" s="187">
        <f t="shared" si="91"/>
        <v>45547</v>
      </c>
      <c r="L174" s="187">
        <f t="shared" si="91"/>
        <v>45638</v>
      </c>
      <c r="M174" s="187">
        <f t="shared" si="91"/>
        <v>45728</v>
      </c>
      <c r="N174" s="187">
        <f t="shared" si="91"/>
        <v>45820</v>
      </c>
      <c r="O174" s="187">
        <f t="shared" si="91"/>
        <v>45912</v>
      </c>
      <c r="P174" s="187">
        <f t="shared" si="91"/>
        <v>46003</v>
      </c>
      <c r="Q174" s="187">
        <f t="shared" si="91"/>
        <v>46093</v>
      </c>
      <c r="R174" s="187">
        <f t="shared" si="91"/>
        <v>46185</v>
      </c>
      <c r="S174" s="187">
        <f t="shared" si="91"/>
        <v>46277</v>
      </c>
      <c r="T174" s="187">
        <f t="shared" si="91"/>
        <v>46368</v>
      </c>
      <c r="U174" s="187">
        <f t="shared" si="91"/>
        <v>46458</v>
      </c>
      <c r="V174" s="187">
        <f t="shared" si="91"/>
        <v>46550</v>
      </c>
      <c r="W174" s="187">
        <f t="shared" si="91"/>
        <v>46642</v>
      </c>
      <c r="X174" s="187">
        <f t="shared" si="91"/>
        <v>46733</v>
      </c>
      <c r="Y174" s="187">
        <f t="shared" si="91"/>
        <v>46824</v>
      </c>
      <c r="Z174" s="187">
        <f t="shared" si="91"/>
        <v>46916</v>
      </c>
      <c r="AA174" s="187">
        <f t="shared" si="91"/>
        <v>47008</v>
      </c>
      <c r="AB174" s="187">
        <f t="shared" si="91"/>
        <v>47099</v>
      </c>
      <c r="AC174" s="187">
        <f t="shared" si="91"/>
        <v>47189</v>
      </c>
      <c r="AD174" s="187">
        <f t="shared" si="91"/>
        <v>47281</v>
      </c>
      <c r="AE174" s="187">
        <f t="shared" si="91"/>
        <v>47373</v>
      </c>
      <c r="AF174" s="187">
        <f t="shared" si="91"/>
        <v>47464</v>
      </c>
      <c r="AG174" s="187">
        <f t="shared" si="91"/>
        <v>47554</v>
      </c>
      <c r="AH174" s="187">
        <f t="shared" si="91"/>
        <v>47646</v>
      </c>
      <c r="AI174" s="187">
        <f t="shared" si="91"/>
        <v>47738</v>
      </c>
      <c r="AJ174" s="187">
        <f t="shared" si="91"/>
        <v>47829</v>
      </c>
      <c r="AK174" s="187">
        <f t="shared" si="91"/>
        <v>47919</v>
      </c>
      <c r="AL174" s="238">
        <f t="shared" si="91"/>
        <v>48011</v>
      </c>
      <c r="AM174" s="60"/>
      <c r="AN174" s="60"/>
      <c r="AO174" s="60"/>
      <c r="AP174" s="60"/>
      <c r="AQ174" s="60"/>
      <c r="AR174" s="60"/>
      <c r="AS174" s="60"/>
      <c r="AT174" s="60"/>
      <c r="AU174" s="60"/>
      <c r="AV174" s="60"/>
      <c r="AW174" s="60"/>
      <c r="AX174" s="60"/>
      <c r="AY174" s="60"/>
      <c r="AZ174" s="60"/>
      <c r="BA174" s="60"/>
      <c r="BB174" s="60"/>
      <c r="BC174" s="42"/>
      <c r="BD174" s="42"/>
      <c r="BE174" s="42"/>
      <c r="BF174" s="42"/>
      <c r="BG174" s="42"/>
      <c r="BH174" s="42"/>
      <c r="BI174" s="42"/>
      <c r="BJ174" s="42"/>
      <c r="BK174" s="42"/>
      <c r="BL174" s="42"/>
      <c r="BM174" s="42"/>
      <c r="BN174" s="42"/>
      <c r="BO174" s="42"/>
      <c r="BP174" s="42"/>
      <c r="BQ174" s="42"/>
      <c r="BR174" s="42"/>
      <c r="BS174" s="42"/>
      <c r="BT174" s="42"/>
      <c r="BU174" s="42"/>
      <c r="BV174" s="42"/>
    </row>
    <row r="175" spans="1:74" x14ac:dyDescent="0.35">
      <c r="A175" s="212" t="s">
        <v>397</v>
      </c>
      <c r="B175" s="231">
        <v>4</v>
      </c>
      <c r="C175" s="42"/>
      <c r="D175" s="212" t="s">
        <v>404</v>
      </c>
      <c r="E175" s="49"/>
      <c r="F175" s="192">
        <f>B173</f>
        <v>1000000</v>
      </c>
      <c r="G175" s="192">
        <f t="shared" ref="G175:AL175" si="92">F179</f>
        <v>968750</v>
      </c>
      <c r="H175" s="192">
        <f t="shared" si="92"/>
        <v>937500</v>
      </c>
      <c r="I175" s="192">
        <f t="shared" si="92"/>
        <v>906250</v>
      </c>
      <c r="J175" s="192">
        <f t="shared" si="92"/>
        <v>875000</v>
      </c>
      <c r="K175" s="192">
        <f t="shared" si="92"/>
        <v>843750</v>
      </c>
      <c r="L175" s="192">
        <f t="shared" si="92"/>
        <v>812500</v>
      </c>
      <c r="M175" s="192">
        <f t="shared" si="92"/>
        <v>781250</v>
      </c>
      <c r="N175" s="192">
        <f t="shared" si="92"/>
        <v>750000</v>
      </c>
      <c r="O175" s="192">
        <f t="shared" si="92"/>
        <v>718750</v>
      </c>
      <c r="P175" s="192">
        <f t="shared" si="92"/>
        <v>687500</v>
      </c>
      <c r="Q175" s="192">
        <f t="shared" si="92"/>
        <v>656250</v>
      </c>
      <c r="R175" s="192">
        <f t="shared" si="92"/>
        <v>625000</v>
      </c>
      <c r="S175" s="192">
        <f t="shared" si="92"/>
        <v>593750</v>
      </c>
      <c r="T175" s="192">
        <f t="shared" si="92"/>
        <v>562500</v>
      </c>
      <c r="U175" s="192">
        <f t="shared" si="92"/>
        <v>531250</v>
      </c>
      <c r="V175" s="192">
        <f t="shared" si="92"/>
        <v>500000</v>
      </c>
      <c r="W175" s="192">
        <f t="shared" si="92"/>
        <v>468750</v>
      </c>
      <c r="X175" s="192">
        <f t="shared" si="92"/>
        <v>437500</v>
      </c>
      <c r="Y175" s="192">
        <f t="shared" si="92"/>
        <v>406250</v>
      </c>
      <c r="Z175" s="192">
        <f t="shared" si="92"/>
        <v>375000</v>
      </c>
      <c r="AA175" s="192">
        <f t="shared" si="92"/>
        <v>343750</v>
      </c>
      <c r="AB175" s="192">
        <f t="shared" si="92"/>
        <v>312500</v>
      </c>
      <c r="AC175" s="192">
        <f t="shared" si="92"/>
        <v>281250</v>
      </c>
      <c r="AD175" s="192">
        <f t="shared" si="92"/>
        <v>250000</v>
      </c>
      <c r="AE175" s="192">
        <f t="shared" si="92"/>
        <v>218750</v>
      </c>
      <c r="AF175" s="192">
        <f t="shared" si="92"/>
        <v>187500</v>
      </c>
      <c r="AG175" s="192">
        <f t="shared" si="92"/>
        <v>156250</v>
      </c>
      <c r="AH175" s="192">
        <f t="shared" si="92"/>
        <v>125000</v>
      </c>
      <c r="AI175" s="192">
        <f t="shared" si="92"/>
        <v>93750</v>
      </c>
      <c r="AJ175" s="192">
        <f t="shared" si="92"/>
        <v>62500</v>
      </c>
      <c r="AK175" s="192">
        <f t="shared" si="92"/>
        <v>31250</v>
      </c>
      <c r="AL175" s="239">
        <f t="shared" si="92"/>
        <v>0</v>
      </c>
      <c r="AM175" s="61"/>
      <c r="AN175" s="61"/>
      <c r="AO175" s="61"/>
      <c r="AP175" s="61"/>
      <c r="AQ175" s="61"/>
      <c r="AR175" s="61"/>
      <c r="AS175" s="61"/>
      <c r="AT175" s="61"/>
      <c r="AU175" s="61"/>
      <c r="AV175" s="61"/>
      <c r="AW175" s="61"/>
      <c r="AX175" s="61"/>
      <c r="AY175" s="61"/>
      <c r="AZ175" s="61"/>
      <c r="BA175" s="61"/>
      <c r="BB175" s="61"/>
      <c r="BC175" s="42"/>
      <c r="BD175" s="42"/>
      <c r="BE175" s="42"/>
      <c r="BF175" s="42"/>
      <c r="BG175" s="42"/>
      <c r="BH175" s="42"/>
      <c r="BI175" s="42"/>
      <c r="BJ175" s="42"/>
      <c r="BK175" s="42"/>
      <c r="BL175" s="42"/>
      <c r="BM175" s="42"/>
      <c r="BN175" s="42"/>
      <c r="BO175" s="42"/>
      <c r="BP175" s="42"/>
      <c r="BQ175" s="42"/>
      <c r="BR175" s="42"/>
      <c r="BS175" s="42"/>
      <c r="BT175" s="42"/>
      <c r="BU175" s="42"/>
      <c r="BV175" s="42"/>
    </row>
    <row r="176" spans="1:74" x14ac:dyDescent="0.35">
      <c r="A176" s="212" t="s">
        <v>398</v>
      </c>
      <c r="B176" s="231">
        <v>8</v>
      </c>
      <c r="C176" s="42"/>
      <c r="D176" s="212" t="s">
        <v>405</v>
      </c>
      <c r="E176" s="49"/>
      <c r="F176" s="193">
        <f t="shared" ref="F176:AL176" si="93">IF(F173&lt;=$B$177,F175*F182,0)</f>
        <v>14687.5</v>
      </c>
      <c r="G176" s="193">
        <f t="shared" si="93"/>
        <v>14228.515625</v>
      </c>
      <c r="H176" s="193">
        <f t="shared" si="93"/>
        <v>13769.53125</v>
      </c>
      <c r="I176" s="193">
        <f t="shared" si="93"/>
        <v>13310.546875</v>
      </c>
      <c r="J176" s="193">
        <f t="shared" si="93"/>
        <v>12851.5625</v>
      </c>
      <c r="K176" s="193">
        <f t="shared" si="93"/>
        <v>12392.578125</v>
      </c>
      <c r="L176" s="193">
        <f t="shared" si="93"/>
        <v>11933.59375</v>
      </c>
      <c r="M176" s="193">
        <f t="shared" si="93"/>
        <v>11474.609375</v>
      </c>
      <c r="N176" s="193">
        <f t="shared" si="93"/>
        <v>11015.625</v>
      </c>
      <c r="O176" s="193">
        <f t="shared" si="93"/>
        <v>10556.640625</v>
      </c>
      <c r="P176" s="193">
        <f t="shared" si="93"/>
        <v>10097.65625</v>
      </c>
      <c r="Q176" s="193">
        <f t="shared" si="93"/>
        <v>9638.671875</v>
      </c>
      <c r="R176" s="193">
        <f t="shared" si="93"/>
        <v>9179.6875</v>
      </c>
      <c r="S176" s="193">
        <f t="shared" si="93"/>
        <v>8720.703125</v>
      </c>
      <c r="T176" s="193">
        <f t="shared" si="93"/>
        <v>8261.71875</v>
      </c>
      <c r="U176" s="193">
        <f t="shared" si="93"/>
        <v>7802.7343750000009</v>
      </c>
      <c r="V176" s="193">
        <f t="shared" si="93"/>
        <v>7343.75</v>
      </c>
      <c r="W176" s="193">
        <f t="shared" si="93"/>
        <v>6884.765625</v>
      </c>
      <c r="X176" s="193">
        <f t="shared" si="93"/>
        <v>6425.78125</v>
      </c>
      <c r="Y176" s="193">
        <f t="shared" si="93"/>
        <v>5966.796875</v>
      </c>
      <c r="Z176" s="193">
        <f t="shared" si="93"/>
        <v>5507.8125</v>
      </c>
      <c r="AA176" s="193">
        <f t="shared" si="93"/>
        <v>5048.828125</v>
      </c>
      <c r="AB176" s="193">
        <f t="shared" si="93"/>
        <v>4589.84375</v>
      </c>
      <c r="AC176" s="193">
        <f t="shared" si="93"/>
        <v>4130.859375</v>
      </c>
      <c r="AD176" s="193">
        <f t="shared" si="93"/>
        <v>3671.875</v>
      </c>
      <c r="AE176" s="193">
        <f t="shared" si="93"/>
        <v>3212.890625</v>
      </c>
      <c r="AF176" s="193">
        <f t="shared" si="93"/>
        <v>2753.90625</v>
      </c>
      <c r="AG176" s="193">
        <f t="shared" si="93"/>
        <v>2294.921875</v>
      </c>
      <c r="AH176" s="193">
        <f t="shared" si="93"/>
        <v>1835.9375</v>
      </c>
      <c r="AI176" s="193">
        <f t="shared" si="93"/>
        <v>1376.953125</v>
      </c>
      <c r="AJ176" s="193">
        <f t="shared" si="93"/>
        <v>917.96875</v>
      </c>
      <c r="AK176" s="193">
        <f t="shared" si="93"/>
        <v>458.984375</v>
      </c>
      <c r="AL176" s="240">
        <f t="shared" si="93"/>
        <v>0</v>
      </c>
      <c r="AM176" s="62"/>
      <c r="AN176" s="62"/>
      <c r="AO176" s="62"/>
      <c r="AP176" s="62"/>
      <c r="AQ176" s="62"/>
      <c r="AR176" s="62"/>
      <c r="AS176" s="62"/>
      <c r="AT176" s="62"/>
      <c r="AU176" s="62"/>
      <c r="AV176" s="62"/>
      <c r="AW176" s="62"/>
      <c r="AX176" s="62"/>
      <c r="AY176" s="62"/>
      <c r="AZ176" s="62"/>
      <c r="BA176" s="62"/>
      <c r="BB176" s="62"/>
      <c r="BC176" s="42"/>
      <c r="BD176" s="42"/>
      <c r="BE176" s="42"/>
      <c r="BF176" s="42"/>
      <c r="BG176" s="42"/>
      <c r="BH176" s="42"/>
      <c r="BI176" s="42"/>
      <c r="BJ176" s="42"/>
      <c r="BK176" s="42"/>
      <c r="BL176" s="42"/>
      <c r="BM176" s="42"/>
      <c r="BN176" s="42"/>
      <c r="BO176" s="42"/>
      <c r="BP176" s="42"/>
      <c r="BQ176" s="42"/>
      <c r="BR176" s="42"/>
      <c r="BS176" s="42"/>
      <c r="BT176" s="42"/>
      <c r="BU176" s="42"/>
      <c r="BV176" s="42"/>
    </row>
    <row r="177" spans="1:74" x14ac:dyDescent="0.35">
      <c r="A177" s="212" t="s">
        <v>399</v>
      </c>
      <c r="B177" s="231">
        <f>B175*B176</f>
        <v>32</v>
      </c>
      <c r="C177" s="42"/>
      <c r="D177" s="212" t="s">
        <v>406</v>
      </c>
      <c r="E177" s="49"/>
      <c r="F177" s="192">
        <f t="shared" ref="F177:AL177" si="94">IF(F173&lt;=$B$177,$B$173/$B$177,0)</f>
        <v>31250</v>
      </c>
      <c r="G177" s="192">
        <f t="shared" si="94"/>
        <v>31250</v>
      </c>
      <c r="H177" s="192">
        <f t="shared" si="94"/>
        <v>31250</v>
      </c>
      <c r="I177" s="192">
        <f t="shared" si="94"/>
        <v>31250</v>
      </c>
      <c r="J177" s="192">
        <f t="shared" si="94"/>
        <v>31250</v>
      </c>
      <c r="K177" s="192">
        <f t="shared" si="94"/>
        <v>31250</v>
      </c>
      <c r="L177" s="192">
        <f t="shared" si="94"/>
        <v>31250</v>
      </c>
      <c r="M177" s="192">
        <f t="shared" si="94"/>
        <v>31250</v>
      </c>
      <c r="N177" s="192">
        <f t="shared" si="94"/>
        <v>31250</v>
      </c>
      <c r="O177" s="192">
        <f t="shared" si="94"/>
        <v>31250</v>
      </c>
      <c r="P177" s="192">
        <f t="shared" si="94"/>
        <v>31250</v>
      </c>
      <c r="Q177" s="192">
        <f t="shared" si="94"/>
        <v>31250</v>
      </c>
      <c r="R177" s="192">
        <f t="shared" si="94"/>
        <v>31250</v>
      </c>
      <c r="S177" s="192">
        <f t="shared" si="94"/>
        <v>31250</v>
      </c>
      <c r="T177" s="192">
        <f t="shared" si="94"/>
        <v>31250</v>
      </c>
      <c r="U177" s="192">
        <f t="shared" si="94"/>
        <v>31250</v>
      </c>
      <c r="V177" s="192">
        <f t="shared" si="94"/>
        <v>31250</v>
      </c>
      <c r="W177" s="192">
        <f t="shared" si="94"/>
        <v>31250</v>
      </c>
      <c r="X177" s="192">
        <f t="shared" si="94"/>
        <v>31250</v>
      </c>
      <c r="Y177" s="192">
        <f t="shared" si="94"/>
        <v>31250</v>
      </c>
      <c r="Z177" s="192">
        <f t="shared" si="94"/>
        <v>31250</v>
      </c>
      <c r="AA177" s="192">
        <f t="shared" si="94"/>
        <v>31250</v>
      </c>
      <c r="AB177" s="192">
        <f t="shared" si="94"/>
        <v>31250</v>
      </c>
      <c r="AC177" s="192">
        <f t="shared" si="94"/>
        <v>31250</v>
      </c>
      <c r="AD177" s="192">
        <f t="shared" si="94"/>
        <v>31250</v>
      </c>
      <c r="AE177" s="192">
        <f t="shared" si="94"/>
        <v>31250</v>
      </c>
      <c r="AF177" s="192">
        <f t="shared" si="94"/>
        <v>31250</v>
      </c>
      <c r="AG177" s="192">
        <f t="shared" si="94"/>
        <v>31250</v>
      </c>
      <c r="AH177" s="192">
        <f t="shared" si="94"/>
        <v>31250</v>
      </c>
      <c r="AI177" s="192">
        <f t="shared" si="94"/>
        <v>31250</v>
      </c>
      <c r="AJ177" s="192">
        <f t="shared" si="94"/>
        <v>31250</v>
      </c>
      <c r="AK177" s="192">
        <f t="shared" si="94"/>
        <v>31250</v>
      </c>
      <c r="AL177" s="239">
        <f t="shared" si="94"/>
        <v>0</v>
      </c>
      <c r="AM177" s="61"/>
      <c r="AN177" s="61"/>
      <c r="AO177" s="61"/>
      <c r="AP177" s="61"/>
      <c r="AQ177" s="61"/>
      <c r="AR177" s="61"/>
      <c r="AS177" s="61"/>
      <c r="AT177" s="61"/>
      <c r="AU177" s="61"/>
      <c r="AV177" s="61"/>
      <c r="AW177" s="61"/>
      <c r="AX177" s="61"/>
      <c r="AY177" s="61"/>
      <c r="AZ177" s="61"/>
      <c r="BA177" s="61"/>
      <c r="BB177" s="61"/>
      <c r="BC177" s="42"/>
      <c r="BD177" s="42"/>
      <c r="BE177" s="42"/>
      <c r="BF177" s="42"/>
      <c r="BG177" s="42"/>
      <c r="BH177" s="42"/>
      <c r="BI177" s="42"/>
      <c r="BJ177" s="42"/>
      <c r="BK177" s="42"/>
      <c r="BL177" s="42"/>
      <c r="BM177" s="42"/>
      <c r="BN177" s="42"/>
      <c r="BO177" s="42"/>
      <c r="BP177" s="42"/>
      <c r="BQ177" s="42"/>
      <c r="BR177" s="42"/>
      <c r="BS177" s="42"/>
      <c r="BT177" s="42"/>
      <c r="BU177" s="42"/>
      <c r="BV177" s="42"/>
    </row>
    <row r="178" spans="1:74" ht="15" thickBot="1" x14ac:dyDescent="0.4">
      <c r="A178" s="217" t="s">
        <v>421</v>
      </c>
      <c r="B178" s="232">
        <v>0.05</v>
      </c>
      <c r="C178" s="42"/>
      <c r="D178" s="212" t="s">
        <v>407</v>
      </c>
      <c r="E178" s="49"/>
      <c r="F178" s="192">
        <f t="shared" ref="F178:AL178" si="95">SUM(F176:F177)</f>
        <v>45937.5</v>
      </c>
      <c r="G178" s="192">
        <f t="shared" si="95"/>
        <v>45478.515625</v>
      </c>
      <c r="H178" s="192">
        <f t="shared" si="95"/>
        <v>45019.53125</v>
      </c>
      <c r="I178" s="192">
        <f t="shared" si="95"/>
        <v>44560.546875</v>
      </c>
      <c r="J178" s="192">
        <f t="shared" si="95"/>
        <v>44101.5625</v>
      </c>
      <c r="K178" s="192">
        <f t="shared" si="95"/>
        <v>43642.578125</v>
      </c>
      <c r="L178" s="192">
        <f t="shared" si="95"/>
        <v>43183.59375</v>
      </c>
      <c r="M178" s="192">
        <f t="shared" si="95"/>
        <v>42724.609375</v>
      </c>
      <c r="N178" s="192">
        <f t="shared" si="95"/>
        <v>42265.625</v>
      </c>
      <c r="O178" s="192">
        <f t="shared" si="95"/>
        <v>41806.640625</v>
      </c>
      <c r="P178" s="192">
        <f t="shared" si="95"/>
        <v>41347.65625</v>
      </c>
      <c r="Q178" s="192">
        <f t="shared" si="95"/>
        <v>40888.671875</v>
      </c>
      <c r="R178" s="192">
        <f t="shared" si="95"/>
        <v>40429.6875</v>
      </c>
      <c r="S178" s="192">
        <f t="shared" si="95"/>
        <v>39970.703125</v>
      </c>
      <c r="T178" s="192">
        <f t="shared" si="95"/>
        <v>39511.71875</v>
      </c>
      <c r="U178" s="192">
        <f t="shared" si="95"/>
        <v>39052.734375</v>
      </c>
      <c r="V178" s="192">
        <f t="shared" si="95"/>
        <v>38593.75</v>
      </c>
      <c r="W178" s="192">
        <f t="shared" si="95"/>
        <v>38134.765625</v>
      </c>
      <c r="X178" s="192">
        <f t="shared" si="95"/>
        <v>37675.78125</v>
      </c>
      <c r="Y178" s="192">
        <f t="shared" si="95"/>
        <v>37216.796875</v>
      </c>
      <c r="Z178" s="192">
        <f t="shared" si="95"/>
        <v>36757.8125</v>
      </c>
      <c r="AA178" s="192">
        <f t="shared" si="95"/>
        <v>36298.828125</v>
      </c>
      <c r="AB178" s="192">
        <f t="shared" si="95"/>
        <v>35839.84375</v>
      </c>
      <c r="AC178" s="192">
        <f t="shared" si="95"/>
        <v>35380.859375</v>
      </c>
      <c r="AD178" s="192">
        <f t="shared" si="95"/>
        <v>34921.875</v>
      </c>
      <c r="AE178" s="192">
        <f t="shared" si="95"/>
        <v>34462.890625</v>
      </c>
      <c r="AF178" s="192">
        <f t="shared" si="95"/>
        <v>34003.90625</v>
      </c>
      <c r="AG178" s="192">
        <f t="shared" si="95"/>
        <v>33544.921875</v>
      </c>
      <c r="AH178" s="192">
        <f t="shared" si="95"/>
        <v>33085.9375</v>
      </c>
      <c r="AI178" s="192">
        <f t="shared" si="95"/>
        <v>32626.953125</v>
      </c>
      <c r="AJ178" s="192">
        <f t="shared" si="95"/>
        <v>32167.96875</v>
      </c>
      <c r="AK178" s="192">
        <f t="shared" si="95"/>
        <v>31708.984375</v>
      </c>
      <c r="AL178" s="239">
        <f t="shared" si="95"/>
        <v>0</v>
      </c>
      <c r="AM178" s="61"/>
      <c r="AN178" s="61"/>
      <c r="AO178" s="61"/>
      <c r="AP178" s="61"/>
      <c r="AQ178" s="61"/>
      <c r="AR178" s="61"/>
      <c r="AS178" s="61"/>
      <c r="AT178" s="61"/>
      <c r="AU178" s="61"/>
      <c r="AV178" s="61"/>
      <c r="AW178" s="61"/>
      <c r="AX178" s="61"/>
      <c r="AY178" s="61"/>
      <c r="AZ178" s="61"/>
      <c r="BA178" s="61"/>
      <c r="BB178" s="61"/>
      <c r="BC178" s="42"/>
      <c r="BD178" s="42"/>
      <c r="BE178" s="42"/>
      <c r="BF178" s="42"/>
      <c r="BG178" s="42"/>
      <c r="BH178" s="42"/>
      <c r="BI178" s="42"/>
      <c r="BJ178" s="42"/>
      <c r="BK178" s="42"/>
      <c r="BL178" s="42"/>
      <c r="BM178" s="42"/>
      <c r="BN178" s="42"/>
      <c r="BO178" s="42"/>
      <c r="BP178" s="42"/>
      <c r="BQ178" s="42"/>
      <c r="BR178" s="42"/>
      <c r="BS178" s="42"/>
      <c r="BT178" s="42"/>
      <c r="BU178" s="42"/>
      <c r="BV178" s="42"/>
    </row>
    <row r="179" spans="1:74" x14ac:dyDescent="0.35">
      <c r="A179" s="42"/>
      <c r="B179" s="42"/>
      <c r="C179" s="42"/>
      <c r="D179" s="212" t="s">
        <v>408</v>
      </c>
      <c r="E179" s="49"/>
      <c r="F179" s="192">
        <f t="shared" ref="F179:AL179" si="96">F175-F177</f>
        <v>968750</v>
      </c>
      <c r="G179" s="192">
        <f t="shared" si="96"/>
        <v>937500</v>
      </c>
      <c r="H179" s="192">
        <f t="shared" si="96"/>
        <v>906250</v>
      </c>
      <c r="I179" s="192">
        <f t="shared" si="96"/>
        <v>875000</v>
      </c>
      <c r="J179" s="192">
        <f t="shared" si="96"/>
        <v>843750</v>
      </c>
      <c r="K179" s="192">
        <f t="shared" si="96"/>
        <v>812500</v>
      </c>
      <c r="L179" s="192">
        <f t="shared" si="96"/>
        <v>781250</v>
      </c>
      <c r="M179" s="192">
        <f t="shared" si="96"/>
        <v>750000</v>
      </c>
      <c r="N179" s="192">
        <f t="shared" si="96"/>
        <v>718750</v>
      </c>
      <c r="O179" s="192">
        <f t="shared" si="96"/>
        <v>687500</v>
      </c>
      <c r="P179" s="192">
        <f t="shared" si="96"/>
        <v>656250</v>
      </c>
      <c r="Q179" s="192">
        <f t="shared" si="96"/>
        <v>625000</v>
      </c>
      <c r="R179" s="192">
        <f t="shared" si="96"/>
        <v>593750</v>
      </c>
      <c r="S179" s="192">
        <f t="shared" si="96"/>
        <v>562500</v>
      </c>
      <c r="T179" s="192">
        <f t="shared" si="96"/>
        <v>531250</v>
      </c>
      <c r="U179" s="192">
        <f t="shared" si="96"/>
        <v>500000</v>
      </c>
      <c r="V179" s="192">
        <f t="shared" si="96"/>
        <v>468750</v>
      </c>
      <c r="W179" s="192">
        <f t="shared" si="96"/>
        <v>437500</v>
      </c>
      <c r="X179" s="192">
        <f t="shared" si="96"/>
        <v>406250</v>
      </c>
      <c r="Y179" s="192">
        <f t="shared" si="96"/>
        <v>375000</v>
      </c>
      <c r="Z179" s="192">
        <f t="shared" si="96"/>
        <v>343750</v>
      </c>
      <c r="AA179" s="192">
        <f t="shared" si="96"/>
        <v>312500</v>
      </c>
      <c r="AB179" s="192">
        <f t="shared" si="96"/>
        <v>281250</v>
      </c>
      <c r="AC179" s="192">
        <f t="shared" si="96"/>
        <v>250000</v>
      </c>
      <c r="AD179" s="192">
        <f t="shared" si="96"/>
        <v>218750</v>
      </c>
      <c r="AE179" s="192">
        <f t="shared" si="96"/>
        <v>187500</v>
      </c>
      <c r="AF179" s="192">
        <f t="shared" si="96"/>
        <v>156250</v>
      </c>
      <c r="AG179" s="192">
        <f t="shared" si="96"/>
        <v>125000</v>
      </c>
      <c r="AH179" s="192">
        <f t="shared" si="96"/>
        <v>93750</v>
      </c>
      <c r="AI179" s="192">
        <f t="shared" si="96"/>
        <v>62500</v>
      </c>
      <c r="AJ179" s="192">
        <f t="shared" si="96"/>
        <v>31250</v>
      </c>
      <c r="AK179" s="192">
        <f t="shared" si="96"/>
        <v>0</v>
      </c>
      <c r="AL179" s="239">
        <f t="shared" si="96"/>
        <v>0</v>
      </c>
      <c r="AM179" s="61"/>
      <c r="AN179" s="61"/>
      <c r="AO179" s="61"/>
      <c r="AP179" s="61"/>
      <c r="AQ179" s="61"/>
      <c r="AR179" s="61"/>
      <c r="AS179" s="61"/>
      <c r="AT179" s="61"/>
      <c r="AU179" s="61"/>
      <c r="AV179" s="61"/>
      <c r="AW179" s="61"/>
      <c r="AX179" s="61"/>
      <c r="AY179" s="61"/>
      <c r="AZ179" s="61"/>
      <c r="BA179" s="61"/>
      <c r="BB179" s="61"/>
      <c r="BC179" s="42"/>
      <c r="BD179" s="42"/>
      <c r="BE179" s="42"/>
      <c r="BF179" s="42"/>
      <c r="BG179" s="42"/>
      <c r="BH179" s="42"/>
      <c r="BI179" s="42"/>
      <c r="BJ179" s="42"/>
      <c r="BK179" s="42"/>
      <c r="BL179" s="42"/>
      <c r="BM179" s="42"/>
      <c r="BN179" s="42"/>
      <c r="BO179" s="42"/>
      <c r="BP179" s="42"/>
      <c r="BQ179" s="42"/>
      <c r="BR179" s="42"/>
      <c r="BS179" s="42"/>
      <c r="BT179" s="42"/>
      <c r="BU179" s="42"/>
      <c r="BV179" s="42"/>
    </row>
    <row r="180" spans="1:74" x14ac:dyDescent="0.35">
      <c r="A180" s="42"/>
      <c r="B180" s="42"/>
      <c r="C180" s="42"/>
      <c r="D180" s="212" t="s">
        <v>400</v>
      </c>
      <c r="E180" s="189"/>
      <c r="F180" s="189">
        <f t="shared" ref="F180:AL180" si="97">$B$174</f>
        <v>8.7500000000000008E-3</v>
      </c>
      <c r="G180" s="189">
        <f t="shared" si="97"/>
        <v>8.7500000000000008E-3</v>
      </c>
      <c r="H180" s="189">
        <f t="shared" si="97"/>
        <v>8.7500000000000008E-3</v>
      </c>
      <c r="I180" s="189">
        <f t="shared" si="97"/>
        <v>8.7500000000000008E-3</v>
      </c>
      <c r="J180" s="189">
        <f t="shared" si="97"/>
        <v>8.7500000000000008E-3</v>
      </c>
      <c r="K180" s="189">
        <f t="shared" si="97"/>
        <v>8.7500000000000008E-3</v>
      </c>
      <c r="L180" s="189">
        <f t="shared" si="97"/>
        <v>8.7500000000000008E-3</v>
      </c>
      <c r="M180" s="189">
        <f t="shared" si="97"/>
        <v>8.7500000000000008E-3</v>
      </c>
      <c r="N180" s="189">
        <f t="shared" si="97"/>
        <v>8.7500000000000008E-3</v>
      </c>
      <c r="O180" s="189">
        <f t="shared" si="97"/>
        <v>8.7500000000000008E-3</v>
      </c>
      <c r="P180" s="189">
        <f t="shared" si="97"/>
        <v>8.7500000000000008E-3</v>
      </c>
      <c r="Q180" s="189">
        <f t="shared" si="97"/>
        <v>8.7500000000000008E-3</v>
      </c>
      <c r="R180" s="189">
        <f t="shared" si="97"/>
        <v>8.7500000000000008E-3</v>
      </c>
      <c r="S180" s="189">
        <f t="shared" si="97"/>
        <v>8.7500000000000008E-3</v>
      </c>
      <c r="T180" s="189">
        <f t="shared" si="97"/>
        <v>8.7500000000000008E-3</v>
      </c>
      <c r="U180" s="189">
        <f t="shared" si="97"/>
        <v>8.7500000000000008E-3</v>
      </c>
      <c r="V180" s="189">
        <f t="shared" si="97"/>
        <v>8.7500000000000008E-3</v>
      </c>
      <c r="W180" s="189">
        <f t="shared" si="97"/>
        <v>8.7500000000000008E-3</v>
      </c>
      <c r="X180" s="189">
        <f t="shared" si="97"/>
        <v>8.7500000000000008E-3</v>
      </c>
      <c r="Y180" s="189">
        <f t="shared" si="97"/>
        <v>8.7500000000000008E-3</v>
      </c>
      <c r="Z180" s="189">
        <f t="shared" si="97"/>
        <v>8.7500000000000008E-3</v>
      </c>
      <c r="AA180" s="189">
        <f t="shared" si="97"/>
        <v>8.7500000000000008E-3</v>
      </c>
      <c r="AB180" s="189">
        <f t="shared" si="97"/>
        <v>8.7500000000000008E-3</v>
      </c>
      <c r="AC180" s="189">
        <f t="shared" si="97"/>
        <v>8.7500000000000008E-3</v>
      </c>
      <c r="AD180" s="189">
        <f t="shared" si="97"/>
        <v>8.7500000000000008E-3</v>
      </c>
      <c r="AE180" s="189">
        <f t="shared" si="97"/>
        <v>8.7500000000000008E-3</v>
      </c>
      <c r="AF180" s="189">
        <f t="shared" si="97"/>
        <v>8.7500000000000008E-3</v>
      </c>
      <c r="AG180" s="189">
        <f t="shared" si="97"/>
        <v>8.7500000000000008E-3</v>
      </c>
      <c r="AH180" s="189">
        <f t="shared" si="97"/>
        <v>8.7500000000000008E-3</v>
      </c>
      <c r="AI180" s="189">
        <f t="shared" si="97"/>
        <v>8.7500000000000008E-3</v>
      </c>
      <c r="AJ180" s="189">
        <f t="shared" si="97"/>
        <v>8.7500000000000008E-3</v>
      </c>
      <c r="AK180" s="189">
        <f t="shared" si="97"/>
        <v>8.7500000000000008E-3</v>
      </c>
      <c r="AL180" s="241">
        <f t="shared" si="97"/>
        <v>8.7500000000000008E-3</v>
      </c>
      <c r="AM180" s="63"/>
      <c r="AN180" s="63"/>
      <c r="AO180" s="63"/>
      <c r="AP180" s="63"/>
      <c r="AQ180" s="63"/>
      <c r="AR180" s="63"/>
      <c r="AS180" s="63"/>
      <c r="AT180" s="63"/>
      <c r="AU180" s="63"/>
      <c r="AV180" s="63"/>
      <c r="AW180" s="63"/>
      <c r="AX180" s="63"/>
      <c r="AY180" s="63"/>
      <c r="AZ180" s="63"/>
      <c r="BA180" s="63"/>
      <c r="BB180" s="63"/>
      <c r="BC180" s="42"/>
      <c r="BD180" s="42"/>
      <c r="BE180" s="42"/>
      <c r="BF180" s="42"/>
      <c r="BG180" s="42"/>
      <c r="BH180" s="42"/>
      <c r="BI180" s="42"/>
      <c r="BJ180" s="42"/>
      <c r="BK180" s="42"/>
      <c r="BL180" s="42"/>
      <c r="BM180" s="42"/>
      <c r="BN180" s="42"/>
      <c r="BO180" s="42"/>
      <c r="BP180" s="42"/>
      <c r="BQ180" s="42"/>
      <c r="BR180" s="42"/>
      <c r="BS180" s="42"/>
      <c r="BT180" s="42"/>
      <c r="BU180" s="42"/>
      <c r="BV180" s="42"/>
    </row>
    <row r="181" spans="1:74" x14ac:dyDescent="0.35">
      <c r="A181" s="42"/>
      <c r="B181" s="42"/>
      <c r="C181" s="42"/>
      <c r="D181" s="212" t="s">
        <v>422</v>
      </c>
      <c r="E181" s="49"/>
      <c r="F181" s="213">
        <f t="shared" ref="F181:AL181" si="98">$B$178</f>
        <v>0.05</v>
      </c>
      <c r="G181" s="213">
        <f t="shared" si="98"/>
        <v>0.05</v>
      </c>
      <c r="H181" s="213">
        <f t="shared" si="98"/>
        <v>0.05</v>
      </c>
      <c r="I181" s="213">
        <f t="shared" si="98"/>
        <v>0.05</v>
      </c>
      <c r="J181" s="213">
        <f t="shared" si="98"/>
        <v>0.05</v>
      </c>
      <c r="K181" s="213">
        <f t="shared" si="98"/>
        <v>0.05</v>
      </c>
      <c r="L181" s="213">
        <f t="shared" si="98"/>
        <v>0.05</v>
      </c>
      <c r="M181" s="213">
        <f t="shared" si="98"/>
        <v>0.05</v>
      </c>
      <c r="N181" s="213">
        <f t="shared" si="98"/>
        <v>0.05</v>
      </c>
      <c r="O181" s="213">
        <f t="shared" si="98"/>
        <v>0.05</v>
      </c>
      <c r="P181" s="213">
        <f t="shared" si="98"/>
        <v>0.05</v>
      </c>
      <c r="Q181" s="213">
        <f t="shared" si="98"/>
        <v>0.05</v>
      </c>
      <c r="R181" s="213">
        <f t="shared" si="98"/>
        <v>0.05</v>
      </c>
      <c r="S181" s="213">
        <f t="shared" si="98"/>
        <v>0.05</v>
      </c>
      <c r="T181" s="213">
        <f t="shared" si="98"/>
        <v>0.05</v>
      </c>
      <c r="U181" s="213">
        <f t="shared" si="98"/>
        <v>0.05</v>
      </c>
      <c r="V181" s="213">
        <f t="shared" si="98"/>
        <v>0.05</v>
      </c>
      <c r="W181" s="213">
        <f t="shared" si="98"/>
        <v>0.05</v>
      </c>
      <c r="X181" s="213">
        <f t="shared" si="98"/>
        <v>0.05</v>
      </c>
      <c r="Y181" s="213">
        <f t="shared" si="98"/>
        <v>0.05</v>
      </c>
      <c r="Z181" s="213">
        <f t="shared" si="98"/>
        <v>0.05</v>
      </c>
      <c r="AA181" s="213">
        <f t="shared" si="98"/>
        <v>0.05</v>
      </c>
      <c r="AB181" s="213">
        <f t="shared" si="98"/>
        <v>0.05</v>
      </c>
      <c r="AC181" s="213">
        <f t="shared" si="98"/>
        <v>0.05</v>
      </c>
      <c r="AD181" s="213">
        <f t="shared" si="98"/>
        <v>0.05</v>
      </c>
      <c r="AE181" s="213">
        <f t="shared" si="98"/>
        <v>0.05</v>
      </c>
      <c r="AF181" s="213">
        <f t="shared" si="98"/>
        <v>0.05</v>
      </c>
      <c r="AG181" s="213">
        <f t="shared" si="98"/>
        <v>0.05</v>
      </c>
      <c r="AH181" s="213">
        <f t="shared" si="98"/>
        <v>0.05</v>
      </c>
      <c r="AI181" s="213">
        <f t="shared" si="98"/>
        <v>0.05</v>
      </c>
      <c r="AJ181" s="213">
        <f t="shared" si="98"/>
        <v>0.05</v>
      </c>
      <c r="AK181" s="213">
        <f t="shared" si="98"/>
        <v>0.05</v>
      </c>
      <c r="AL181" s="214">
        <f t="shared" si="98"/>
        <v>0.05</v>
      </c>
      <c r="AM181" s="64"/>
      <c r="AN181" s="64"/>
      <c r="AO181" s="64"/>
      <c r="AP181" s="64"/>
      <c r="AQ181" s="64"/>
      <c r="AR181" s="64"/>
      <c r="AS181" s="64"/>
      <c r="AT181" s="64"/>
      <c r="AU181" s="64"/>
      <c r="AV181" s="64"/>
      <c r="AW181" s="64"/>
      <c r="AX181" s="64"/>
      <c r="AY181" s="64"/>
      <c r="AZ181" s="64"/>
      <c r="BA181" s="64"/>
      <c r="BB181" s="64"/>
      <c r="BC181" s="42"/>
      <c r="BD181" s="42"/>
      <c r="BE181" s="42"/>
      <c r="BF181" s="42"/>
      <c r="BG181" s="42"/>
      <c r="BH181" s="42"/>
      <c r="BI181" s="42"/>
      <c r="BJ181" s="42"/>
      <c r="BK181" s="42"/>
      <c r="BL181" s="42"/>
      <c r="BM181" s="42"/>
      <c r="BN181" s="42"/>
      <c r="BO181" s="42"/>
      <c r="BP181" s="42"/>
      <c r="BQ181" s="42"/>
      <c r="BR181" s="42"/>
      <c r="BS181" s="42"/>
      <c r="BT181" s="42"/>
      <c r="BU181" s="42"/>
      <c r="BV181" s="42"/>
    </row>
    <row r="182" spans="1:74" ht="15" thickBot="1" x14ac:dyDescent="0.4">
      <c r="A182" s="42"/>
      <c r="B182" s="42"/>
      <c r="C182" s="42"/>
      <c r="D182" s="217" t="s">
        <v>403</v>
      </c>
      <c r="E182" s="50"/>
      <c r="F182" s="233">
        <f t="shared" ref="F182:AL182" si="99">(F180+F181)/4</f>
        <v>1.4687500000000001E-2</v>
      </c>
      <c r="G182" s="233">
        <f t="shared" si="99"/>
        <v>1.4687500000000001E-2</v>
      </c>
      <c r="H182" s="233">
        <f t="shared" si="99"/>
        <v>1.4687500000000001E-2</v>
      </c>
      <c r="I182" s="233">
        <f t="shared" si="99"/>
        <v>1.4687500000000001E-2</v>
      </c>
      <c r="J182" s="233">
        <f t="shared" si="99"/>
        <v>1.4687500000000001E-2</v>
      </c>
      <c r="K182" s="233">
        <f t="shared" si="99"/>
        <v>1.4687500000000001E-2</v>
      </c>
      <c r="L182" s="233">
        <f t="shared" si="99"/>
        <v>1.4687500000000001E-2</v>
      </c>
      <c r="M182" s="233">
        <f t="shared" si="99"/>
        <v>1.4687500000000001E-2</v>
      </c>
      <c r="N182" s="233">
        <f t="shared" si="99"/>
        <v>1.4687500000000001E-2</v>
      </c>
      <c r="O182" s="233">
        <f t="shared" si="99"/>
        <v>1.4687500000000001E-2</v>
      </c>
      <c r="P182" s="233">
        <f t="shared" si="99"/>
        <v>1.4687500000000001E-2</v>
      </c>
      <c r="Q182" s="233">
        <f t="shared" si="99"/>
        <v>1.4687500000000001E-2</v>
      </c>
      <c r="R182" s="233">
        <f t="shared" si="99"/>
        <v>1.4687500000000001E-2</v>
      </c>
      <c r="S182" s="233">
        <f t="shared" si="99"/>
        <v>1.4687500000000001E-2</v>
      </c>
      <c r="T182" s="233">
        <f t="shared" si="99"/>
        <v>1.4687500000000001E-2</v>
      </c>
      <c r="U182" s="233">
        <f t="shared" si="99"/>
        <v>1.4687500000000001E-2</v>
      </c>
      <c r="V182" s="233">
        <f t="shared" si="99"/>
        <v>1.4687500000000001E-2</v>
      </c>
      <c r="W182" s="233">
        <f t="shared" si="99"/>
        <v>1.4687500000000001E-2</v>
      </c>
      <c r="X182" s="233">
        <f t="shared" si="99"/>
        <v>1.4687500000000001E-2</v>
      </c>
      <c r="Y182" s="233">
        <f t="shared" si="99"/>
        <v>1.4687500000000001E-2</v>
      </c>
      <c r="Z182" s="233">
        <f t="shared" si="99"/>
        <v>1.4687500000000001E-2</v>
      </c>
      <c r="AA182" s="233">
        <f t="shared" si="99"/>
        <v>1.4687500000000001E-2</v>
      </c>
      <c r="AB182" s="233">
        <f t="shared" si="99"/>
        <v>1.4687500000000001E-2</v>
      </c>
      <c r="AC182" s="233">
        <f t="shared" si="99"/>
        <v>1.4687500000000001E-2</v>
      </c>
      <c r="AD182" s="233">
        <f t="shared" si="99"/>
        <v>1.4687500000000001E-2</v>
      </c>
      <c r="AE182" s="233">
        <f t="shared" si="99"/>
        <v>1.4687500000000001E-2</v>
      </c>
      <c r="AF182" s="233">
        <f t="shared" si="99"/>
        <v>1.4687500000000001E-2</v>
      </c>
      <c r="AG182" s="233">
        <f t="shared" si="99"/>
        <v>1.4687500000000001E-2</v>
      </c>
      <c r="AH182" s="233">
        <f t="shared" si="99"/>
        <v>1.4687500000000001E-2</v>
      </c>
      <c r="AI182" s="233">
        <f t="shared" si="99"/>
        <v>1.4687500000000001E-2</v>
      </c>
      <c r="AJ182" s="233">
        <f t="shared" si="99"/>
        <v>1.4687500000000001E-2</v>
      </c>
      <c r="AK182" s="233">
        <f t="shared" si="99"/>
        <v>1.4687500000000001E-2</v>
      </c>
      <c r="AL182" s="242">
        <f t="shared" si="99"/>
        <v>1.4687500000000001E-2</v>
      </c>
      <c r="AM182" s="64"/>
      <c r="AN182" s="64"/>
      <c r="AO182" s="64"/>
      <c r="AP182" s="64"/>
      <c r="AQ182" s="64"/>
      <c r="AR182" s="64"/>
      <c r="AS182" s="64"/>
      <c r="AT182" s="64"/>
      <c r="AU182" s="64"/>
      <c r="AV182" s="64"/>
      <c r="AW182" s="64"/>
      <c r="AX182" s="64"/>
      <c r="AY182" s="64"/>
      <c r="AZ182" s="64"/>
      <c r="BA182" s="64"/>
      <c r="BB182" s="64"/>
      <c r="BC182" s="42"/>
      <c r="BD182" s="42"/>
      <c r="BE182" s="42"/>
      <c r="BF182" s="42"/>
      <c r="BG182" s="42"/>
      <c r="BH182" s="42"/>
      <c r="BI182" s="42"/>
      <c r="BJ182" s="42"/>
      <c r="BK182" s="42"/>
      <c r="BL182" s="42"/>
      <c r="BM182" s="42"/>
      <c r="BN182" s="42"/>
      <c r="BO182" s="42"/>
      <c r="BP182" s="42"/>
      <c r="BQ182" s="42"/>
      <c r="BR182" s="42"/>
      <c r="BS182" s="42"/>
      <c r="BT182" s="42"/>
      <c r="BU182" s="42"/>
      <c r="BV182" s="42"/>
    </row>
    <row r="183" spans="1:74" x14ac:dyDescent="0.35">
      <c r="A183" s="42"/>
      <c r="B183" s="42"/>
      <c r="C183" s="42"/>
      <c r="D183" s="42"/>
      <c r="E183" s="44"/>
      <c r="F183" s="42"/>
      <c r="G183" s="45"/>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row>
    <row r="184" spans="1:74" x14ac:dyDescent="0.35">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row>
    <row r="185" spans="1:74" ht="15" thickBot="1" x14ac:dyDescent="0.4">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row>
    <row r="186" spans="1:74" x14ac:dyDescent="0.35">
      <c r="A186" s="42"/>
      <c r="B186" s="42"/>
      <c r="C186" s="42"/>
      <c r="D186" s="176"/>
      <c r="E186" s="223">
        <v>2021</v>
      </c>
      <c r="F186" s="223">
        <v>2022</v>
      </c>
      <c r="G186" s="223">
        <v>2023</v>
      </c>
      <c r="H186" s="223">
        <v>2024</v>
      </c>
      <c r="I186" s="223">
        <v>2025</v>
      </c>
      <c r="J186" s="223">
        <v>2026</v>
      </c>
      <c r="K186" s="223">
        <v>2027</v>
      </c>
      <c r="L186" s="223">
        <v>2028</v>
      </c>
      <c r="M186" s="223">
        <v>2029</v>
      </c>
      <c r="N186" s="223">
        <v>2030</v>
      </c>
      <c r="O186" s="223">
        <v>2031</v>
      </c>
      <c r="P186" s="223">
        <v>2032</v>
      </c>
      <c r="Q186" s="223">
        <v>2033</v>
      </c>
      <c r="R186" s="224">
        <v>2034</v>
      </c>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row>
    <row r="187" spans="1:74" x14ac:dyDescent="0.35">
      <c r="A187" s="42"/>
      <c r="B187" s="42"/>
      <c r="C187" s="42"/>
      <c r="D187" s="212" t="s">
        <v>404</v>
      </c>
      <c r="E187" s="201"/>
      <c r="F187" s="201">
        <f>F175</f>
        <v>1000000</v>
      </c>
      <c r="G187" s="201">
        <f t="shared" ref="G187:R187" si="100">F191</f>
        <v>968750</v>
      </c>
      <c r="H187" s="201">
        <f t="shared" si="100"/>
        <v>843750</v>
      </c>
      <c r="I187" s="201">
        <f t="shared" si="100"/>
        <v>718750</v>
      </c>
      <c r="J187" s="201">
        <f t="shared" si="100"/>
        <v>593750</v>
      </c>
      <c r="K187" s="201">
        <f t="shared" si="100"/>
        <v>468750</v>
      </c>
      <c r="L187" s="201">
        <f t="shared" si="100"/>
        <v>343750</v>
      </c>
      <c r="M187" s="201">
        <f t="shared" si="100"/>
        <v>218750</v>
      </c>
      <c r="N187" s="201">
        <f t="shared" si="100"/>
        <v>93750</v>
      </c>
      <c r="O187" s="201">
        <f t="shared" si="100"/>
        <v>0</v>
      </c>
      <c r="P187" s="201">
        <f t="shared" si="100"/>
        <v>0</v>
      </c>
      <c r="Q187" s="201">
        <f t="shared" si="100"/>
        <v>0</v>
      </c>
      <c r="R187" s="234">
        <f t="shared" si="100"/>
        <v>0</v>
      </c>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row>
    <row r="188" spans="1:74" x14ac:dyDescent="0.35">
      <c r="A188" s="42"/>
      <c r="B188" s="42"/>
      <c r="C188" s="42"/>
      <c r="D188" s="212" t="s">
        <v>405</v>
      </c>
      <c r="E188" s="201"/>
      <c r="F188" s="201">
        <f>SUM(F176)</f>
        <v>14687.5</v>
      </c>
      <c r="G188" s="201">
        <f>SUM(G176:J176)</f>
        <v>54160.15625</v>
      </c>
      <c r="H188" s="201">
        <f>SUM(K176:N176)</f>
        <v>46816.40625</v>
      </c>
      <c r="I188" s="201">
        <f>SUM(O176:R176)</f>
        <v>39472.65625</v>
      </c>
      <c r="J188" s="201">
        <f>SUM(S176:V176)</f>
        <v>32128.90625</v>
      </c>
      <c r="K188" s="201">
        <f>SUM(W176:Z176)</f>
        <v>24785.15625</v>
      </c>
      <c r="L188" s="201">
        <f>SUM(AA176:AD176)</f>
        <v>17441.40625</v>
      </c>
      <c r="M188" s="201">
        <f>SUM(AE176:AH176)</f>
        <v>10097.65625</v>
      </c>
      <c r="N188" s="201">
        <f>SUM(AI176:AL176)</f>
        <v>2753.90625</v>
      </c>
      <c r="O188" s="201">
        <f>SUM(AM176:AP176)</f>
        <v>0</v>
      </c>
      <c r="P188" s="201">
        <f>SUM(AQ176:AT176)</f>
        <v>0</v>
      </c>
      <c r="Q188" s="201">
        <f>SUM(AU176:AX176)</f>
        <v>0</v>
      </c>
      <c r="R188" s="234">
        <f>SUM(AY176:BB176)</f>
        <v>0</v>
      </c>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row>
    <row r="189" spans="1:74" x14ac:dyDescent="0.35">
      <c r="A189" s="42"/>
      <c r="B189" s="42"/>
      <c r="C189" s="42"/>
      <c r="D189" s="212" t="s">
        <v>406</v>
      </c>
      <c r="E189" s="201"/>
      <c r="F189" s="201">
        <f>SUM(F177)</f>
        <v>31250</v>
      </c>
      <c r="G189" s="201">
        <f>SUM(G177:J177)</f>
        <v>125000</v>
      </c>
      <c r="H189" s="201">
        <f>SUM(K177:N177)</f>
        <v>125000</v>
      </c>
      <c r="I189" s="201">
        <f>SUM(O177:R177)</f>
        <v>125000</v>
      </c>
      <c r="J189" s="201">
        <f>SUM(S177:V177)</f>
        <v>125000</v>
      </c>
      <c r="K189" s="201">
        <f>SUM(W177:Z177)</f>
        <v>125000</v>
      </c>
      <c r="L189" s="201">
        <f>SUM(AA177:AD177)</f>
        <v>125000</v>
      </c>
      <c r="M189" s="201">
        <f>SUM(AE177:AH177)</f>
        <v>125000</v>
      </c>
      <c r="N189" s="201">
        <f>SUM(AI177:AL177)</f>
        <v>93750</v>
      </c>
      <c r="O189" s="201">
        <f>SUM(AM177:AP177)</f>
        <v>0</v>
      </c>
      <c r="P189" s="201">
        <f>SUM(AQ177:AT177)</f>
        <v>0</v>
      </c>
      <c r="Q189" s="201">
        <f>SUM(AU177:AX177)</f>
        <v>0</v>
      </c>
      <c r="R189" s="234">
        <f>SUM(AY177:BB177)</f>
        <v>0</v>
      </c>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row>
    <row r="190" spans="1:74" x14ac:dyDescent="0.35">
      <c r="A190" s="42"/>
      <c r="B190" s="42"/>
      <c r="C190" s="42"/>
      <c r="D190" s="212" t="s">
        <v>407</v>
      </c>
      <c r="E190" s="201"/>
      <c r="F190" s="201">
        <f t="shared" ref="F190:R190" si="101">F188+F189</f>
        <v>45937.5</v>
      </c>
      <c r="G190" s="201">
        <f t="shared" si="101"/>
        <v>179160.15625</v>
      </c>
      <c r="H190" s="201">
        <f t="shared" si="101"/>
        <v>171816.40625</v>
      </c>
      <c r="I190" s="201">
        <f t="shared" si="101"/>
        <v>164472.65625</v>
      </c>
      <c r="J190" s="201">
        <f t="shared" si="101"/>
        <v>157128.90625</v>
      </c>
      <c r="K190" s="201">
        <f t="shared" si="101"/>
        <v>149785.15625</v>
      </c>
      <c r="L190" s="201">
        <f t="shared" si="101"/>
        <v>142441.40625</v>
      </c>
      <c r="M190" s="201">
        <f t="shared" si="101"/>
        <v>135097.65625</v>
      </c>
      <c r="N190" s="201">
        <f t="shared" si="101"/>
        <v>96503.90625</v>
      </c>
      <c r="O190" s="201">
        <f t="shared" si="101"/>
        <v>0</v>
      </c>
      <c r="P190" s="201">
        <f t="shared" si="101"/>
        <v>0</v>
      </c>
      <c r="Q190" s="201">
        <f t="shared" si="101"/>
        <v>0</v>
      </c>
      <c r="R190" s="234">
        <f t="shared" si="101"/>
        <v>0</v>
      </c>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row>
    <row r="191" spans="1:74" ht="15" thickBot="1" x14ac:dyDescent="0.4">
      <c r="A191" s="42"/>
      <c r="B191" s="42"/>
      <c r="C191" s="42"/>
      <c r="D191" s="217" t="s">
        <v>408</v>
      </c>
      <c r="E191" s="205"/>
      <c r="F191" s="205">
        <f t="shared" ref="F191:R191" si="102">F187-F189</f>
        <v>968750</v>
      </c>
      <c r="G191" s="205">
        <f t="shared" si="102"/>
        <v>843750</v>
      </c>
      <c r="H191" s="205">
        <f t="shared" si="102"/>
        <v>718750</v>
      </c>
      <c r="I191" s="205">
        <f t="shared" si="102"/>
        <v>593750</v>
      </c>
      <c r="J191" s="205">
        <f t="shared" si="102"/>
        <v>468750</v>
      </c>
      <c r="K191" s="205">
        <f t="shared" si="102"/>
        <v>343750</v>
      </c>
      <c r="L191" s="205">
        <f t="shared" si="102"/>
        <v>218750</v>
      </c>
      <c r="M191" s="205">
        <f t="shared" si="102"/>
        <v>93750</v>
      </c>
      <c r="N191" s="205">
        <f t="shared" si="102"/>
        <v>0</v>
      </c>
      <c r="O191" s="205">
        <f t="shared" si="102"/>
        <v>0</v>
      </c>
      <c r="P191" s="205">
        <f t="shared" si="102"/>
        <v>0</v>
      </c>
      <c r="Q191" s="205">
        <f t="shared" si="102"/>
        <v>0</v>
      </c>
      <c r="R191" s="235">
        <f t="shared" si="102"/>
        <v>0</v>
      </c>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row>
    <row r="192" spans="1:74" x14ac:dyDescent="0.35">
      <c r="A192" s="42"/>
      <c r="B192" s="42"/>
      <c r="C192" s="42"/>
      <c r="D192" s="171"/>
      <c r="E192" s="236"/>
      <c r="F192" s="236"/>
      <c r="G192" s="236"/>
      <c r="H192" s="236"/>
      <c r="I192" s="236"/>
      <c r="J192" s="236"/>
      <c r="K192" s="236"/>
      <c r="L192" s="236"/>
      <c r="M192" s="236"/>
      <c r="N192" s="236"/>
      <c r="O192" s="236"/>
      <c r="P192" s="236"/>
      <c r="Q192" s="236"/>
      <c r="R192" s="236"/>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row>
    <row r="193" spans="1:74" x14ac:dyDescent="0.35">
      <c r="A193" s="436" t="s">
        <v>428</v>
      </c>
      <c r="B193" s="436"/>
      <c r="C193" s="436"/>
      <c r="D193" s="436"/>
      <c r="E193" s="436"/>
      <c r="F193" s="436"/>
      <c r="G193" s="436"/>
      <c r="H193" s="436"/>
      <c r="I193" s="58"/>
      <c r="J193" s="58"/>
      <c r="K193" s="58"/>
      <c r="L193" s="58"/>
      <c r="M193" s="58"/>
      <c r="N193" s="58"/>
      <c r="O193" s="58"/>
      <c r="P193" s="58"/>
      <c r="Q193" s="58"/>
      <c r="R193" s="58"/>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row>
    <row r="194" spans="1:74" x14ac:dyDescent="0.35">
      <c r="A194" s="436"/>
      <c r="B194" s="436"/>
      <c r="C194" s="436"/>
      <c r="D194" s="436"/>
      <c r="E194" s="436"/>
      <c r="F194" s="436"/>
      <c r="G194" s="436"/>
      <c r="H194" s="436"/>
      <c r="I194" s="58"/>
      <c r="J194" s="58"/>
      <c r="K194" s="58"/>
      <c r="L194" s="58"/>
      <c r="M194" s="58"/>
      <c r="N194" s="58"/>
      <c r="O194" s="58"/>
      <c r="P194" s="58"/>
      <c r="Q194" s="58"/>
      <c r="R194" s="58"/>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row>
    <row r="195" spans="1:74" x14ac:dyDescent="0.35">
      <c r="A195" s="436"/>
      <c r="B195" s="436"/>
      <c r="C195" s="436"/>
      <c r="D195" s="436"/>
      <c r="E195" s="436"/>
      <c r="F195" s="436"/>
      <c r="G195" s="436"/>
      <c r="H195" s="436"/>
      <c r="I195" s="58"/>
      <c r="J195" s="58"/>
      <c r="K195" s="58"/>
      <c r="L195" s="58"/>
      <c r="M195" s="58"/>
      <c r="N195" s="58"/>
      <c r="O195" s="58"/>
      <c r="P195" s="58"/>
      <c r="Q195" s="58"/>
      <c r="R195" s="58"/>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row>
    <row r="196" spans="1:74" x14ac:dyDescent="0.35">
      <c r="A196" s="42"/>
      <c r="B196" s="42"/>
      <c r="C196" s="42"/>
      <c r="D196" s="47"/>
      <c r="E196" s="58"/>
      <c r="F196" s="58"/>
      <c r="G196" s="58"/>
      <c r="H196" s="58"/>
      <c r="I196" s="58"/>
      <c r="J196" s="58"/>
      <c r="K196" s="58"/>
      <c r="L196" s="58"/>
      <c r="M196" s="58"/>
      <c r="N196" s="58"/>
      <c r="O196" s="58"/>
      <c r="P196" s="58"/>
      <c r="Q196" s="58"/>
      <c r="R196" s="58"/>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row>
    <row r="197" spans="1:74" ht="18.5" x14ac:dyDescent="0.45">
      <c r="A197" s="437"/>
      <c r="B197" s="437"/>
      <c r="C197" s="42"/>
      <c r="D197" s="47"/>
      <c r="E197" s="58"/>
      <c r="F197" s="58"/>
      <c r="G197" s="58"/>
      <c r="H197" s="58"/>
      <c r="I197" s="58"/>
      <c r="J197" s="58"/>
      <c r="K197" s="58"/>
      <c r="L197" s="58"/>
      <c r="M197" s="58"/>
      <c r="N197" s="58"/>
      <c r="O197" s="58"/>
      <c r="P197" s="58"/>
      <c r="Q197" s="58"/>
      <c r="R197" s="58"/>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row>
    <row r="198" spans="1:74" ht="15" thickBot="1" x14ac:dyDescent="0.4">
      <c r="A198" s="438"/>
      <c r="B198" s="438"/>
      <c r="C198" s="42"/>
      <c r="D198" s="171"/>
      <c r="E198" s="236"/>
      <c r="F198" s="236"/>
      <c r="G198" s="236"/>
      <c r="H198" s="236"/>
      <c r="I198" s="236"/>
      <c r="J198" s="236"/>
      <c r="K198" s="236"/>
      <c r="L198" s="236"/>
      <c r="M198" s="236"/>
      <c r="N198" s="236"/>
      <c r="O198" s="236"/>
      <c r="P198" s="236"/>
      <c r="Q198" s="236"/>
      <c r="R198" s="236"/>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row>
    <row r="199" spans="1:74" x14ac:dyDescent="0.35">
      <c r="A199" s="228" t="s">
        <v>395</v>
      </c>
      <c r="B199" s="2">
        <v>2000000</v>
      </c>
      <c r="C199" s="42"/>
      <c r="D199" s="210" t="s">
        <v>402</v>
      </c>
      <c r="E199" s="221"/>
      <c r="F199" s="221">
        <v>1</v>
      </c>
      <c r="G199" s="221">
        <v>2</v>
      </c>
      <c r="H199" s="221">
        <v>3</v>
      </c>
      <c r="I199" s="221">
        <v>4</v>
      </c>
      <c r="J199" s="221">
        <v>5</v>
      </c>
      <c r="K199" s="221">
        <v>6</v>
      </c>
      <c r="L199" s="221">
        <v>7</v>
      </c>
      <c r="M199" s="221">
        <v>8</v>
      </c>
      <c r="N199" s="221">
        <v>9</v>
      </c>
      <c r="O199" s="221">
        <v>10</v>
      </c>
      <c r="P199" s="221">
        <v>11</v>
      </c>
      <c r="Q199" s="221">
        <v>12</v>
      </c>
      <c r="R199" s="221">
        <v>13</v>
      </c>
      <c r="S199" s="221">
        <v>14</v>
      </c>
      <c r="T199" s="221">
        <v>15</v>
      </c>
      <c r="U199" s="221">
        <v>16</v>
      </c>
      <c r="V199" s="221">
        <v>17</v>
      </c>
      <c r="W199" s="221">
        <v>18</v>
      </c>
      <c r="X199" s="221">
        <v>19</v>
      </c>
      <c r="Y199" s="221">
        <v>20</v>
      </c>
      <c r="Z199" s="221">
        <v>21</v>
      </c>
      <c r="AA199" s="221">
        <v>22</v>
      </c>
      <c r="AB199" s="221">
        <v>23</v>
      </c>
      <c r="AC199" s="221">
        <v>24</v>
      </c>
      <c r="AD199" s="221">
        <v>25</v>
      </c>
      <c r="AE199" s="221">
        <v>26</v>
      </c>
      <c r="AF199" s="221">
        <v>27</v>
      </c>
      <c r="AG199" s="221">
        <v>28</v>
      </c>
      <c r="AH199" s="221">
        <v>29</v>
      </c>
      <c r="AI199" s="221">
        <v>30</v>
      </c>
      <c r="AJ199" s="221">
        <v>31</v>
      </c>
      <c r="AK199" s="221">
        <v>32</v>
      </c>
      <c r="AL199" s="221">
        <v>33</v>
      </c>
      <c r="AM199" s="221">
        <v>34</v>
      </c>
      <c r="AN199" s="221">
        <v>35</v>
      </c>
      <c r="AO199" s="237">
        <v>36</v>
      </c>
      <c r="AP199" s="42"/>
      <c r="AQ199" s="59"/>
      <c r="AR199" s="59"/>
      <c r="AS199" s="59"/>
      <c r="AT199" s="59"/>
      <c r="AU199" s="59"/>
      <c r="AV199" s="59"/>
      <c r="AW199" s="59"/>
      <c r="AX199" s="59"/>
      <c r="AY199" s="59"/>
      <c r="AZ199" s="59"/>
      <c r="BA199" s="59"/>
      <c r="BB199" s="59"/>
      <c r="BC199" s="42"/>
      <c r="BD199" s="42"/>
      <c r="BE199" s="42"/>
      <c r="BF199" s="42"/>
      <c r="BG199" s="42"/>
      <c r="BH199" s="42"/>
      <c r="BI199" s="42"/>
      <c r="BJ199" s="42"/>
      <c r="BK199" s="42"/>
      <c r="BL199" s="42"/>
      <c r="BM199" s="42"/>
      <c r="BN199" s="42"/>
      <c r="BO199" s="42"/>
      <c r="BP199" s="42"/>
      <c r="BQ199" s="42"/>
      <c r="BR199" s="42"/>
      <c r="BS199" s="42"/>
      <c r="BT199" s="42"/>
      <c r="BU199" s="42"/>
      <c r="BV199" s="42"/>
    </row>
    <row r="200" spans="1:74" x14ac:dyDescent="0.35">
      <c r="A200" s="212" t="s">
        <v>396</v>
      </c>
      <c r="B200" s="230">
        <v>9.4999999999999998E-3</v>
      </c>
      <c r="C200" s="42"/>
      <c r="D200" s="212" t="s">
        <v>410</v>
      </c>
      <c r="E200" s="187"/>
      <c r="F200" s="187">
        <v>44652</v>
      </c>
      <c r="G200" s="187">
        <f t="shared" ref="G200:Q200" si="103">F200+90</f>
        <v>44742</v>
      </c>
      <c r="H200" s="187">
        <f t="shared" si="103"/>
        <v>44832</v>
      </c>
      <c r="I200" s="187">
        <f t="shared" si="103"/>
        <v>44922</v>
      </c>
      <c r="J200" s="187">
        <f t="shared" si="103"/>
        <v>45012</v>
      </c>
      <c r="K200" s="187">
        <f t="shared" si="103"/>
        <v>45102</v>
      </c>
      <c r="L200" s="187">
        <f t="shared" si="103"/>
        <v>45192</v>
      </c>
      <c r="M200" s="187">
        <f t="shared" si="103"/>
        <v>45282</v>
      </c>
      <c r="N200" s="187">
        <f t="shared" si="103"/>
        <v>45372</v>
      </c>
      <c r="O200" s="187">
        <f t="shared" si="103"/>
        <v>45462</v>
      </c>
      <c r="P200" s="187">
        <f t="shared" si="103"/>
        <v>45552</v>
      </c>
      <c r="Q200" s="187">
        <f t="shared" si="103"/>
        <v>45642</v>
      </c>
      <c r="R200" s="187">
        <f t="shared" ref="R200:AO200" si="104">EDATE(Q200,3)</f>
        <v>45732</v>
      </c>
      <c r="S200" s="187">
        <f t="shared" si="104"/>
        <v>45824</v>
      </c>
      <c r="T200" s="187">
        <f t="shared" si="104"/>
        <v>45916</v>
      </c>
      <c r="U200" s="187">
        <f t="shared" si="104"/>
        <v>46007</v>
      </c>
      <c r="V200" s="187">
        <f t="shared" si="104"/>
        <v>46097</v>
      </c>
      <c r="W200" s="187">
        <f t="shared" si="104"/>
        <v>46189</v>
      </c>
      <c r="X200" s="187">
        <f t="shared" si="104"/>
        <v>46281</v>
      </c>
      <c r="Y200" s="187">
        <f t="shared" si="104"/>
        <v>46372</v>
      </c>
      <c r="Z200" s="187">
        <f t="shared" si="104"/>
        <v>46462</v>
      </c>
      <c r="AA200" s="187">
        <f t="shared" si="104"/>
        <v>46554</v>
      </c>
      <c r="AB200" s="187">
        <f t="shared" si="104"/>
        <v>46646</v>
      </c>
      <c r="AC200" s="187">
        <f t="shared" si="104"/>
        <v>46737</v>
      </c>
      <c r="AD200" s="187">
        <f t="shared" si="104"/>
        <v>46828</v>
      </c>
      <c r="AE200" s="187">
        <f t="shared" si="104"/>
        <v>46920</v>
      </c>
      <c r="AF200" s="187">
        <f t="shared" si="104"/>
        <v>47012</v>
      </c>
      <c r="AG200" s="187">
        <f t="shared" si="104"/>
        <v>47103</v>
      </c>
      <c r="AH200" s="187">
        <f t="shared" si="104"/>
        <v>47193</v>
      </c>
      <c r="AI200" s="187">
        <f t="shared" si="104"/>
        <v>47285</v>
      </c>
      <c r="AJ200" s="187">
        <f t="shared" si="104"/>
        <v>47377</v>
      </c>
      <c r="AK200" s="187">
        <f t="shared" si="104"/>
        <v>47468</v>
      </c>
      <c r="AL200" s="187">
        <f t="shared" si="104"/>
        <v>47558</v>
      </c>
      <c r="AM200" s="187">
        <f t="shared" si="104"/>
        <v>47650</v>
      </c>
      <c r="AN200" s="187">
        <f t="shared" si="104"/>
        <v>47742</v>
      </c>
      <c r="AO200" s="238">
        <f t="shared" si="104"/>
        <v>47833</v>
      </c>
      <c r="AP200" s="243"/>
      <c r="AQ200" s="60"/>
      <c r="AR200" s="60"/>
      <c r="AS200" s="60"/>
      <c r="AT200" s="60"/>
      <c r="AU200" s="60"/>
      <c r="AV200" s="60"/>
      <c r="AW200" s="60"/>
      <c r="AX200" s="60"/>
      <c r="AY200" s="60"/>
      <c r="AZ200" s="60"/>
      <c r="BA200" s="60"/>
      <c r="BB200" s="60"/>
      <c r="BC200" s="42"/>
      <c r="BD200" s="42"/>
      <c r="BE200" s="42"/>
      <c r="BF200" s="42"/>
      <c r="BG200" s="42"/>
      <c r="BH200" s="42"/>
      <c r="BI200" s="42"/>
      <c r="BJ200" s="42"/>
      <c r="BK200" s="42"/>
      <c r="BL200" s="42"/>
      <c r="BM200" s="42"/>
      <c r="BN200" s="42"/>
      <c r="BO200" s="42"/>
      <c r="BP200" s="42"/>
      <c r="BQ200" s="42"/>
      <c r="BR200" s="42"/>
      <c r="BS200" s="42"/>
      <c r="BT200" s="42"/>
      <c r="BU200" s="42"/>
      <c r="BV200" s="42"/>
    </row>
    <row r="201" spans="1:74" x14ac:dyDescent="0.35">
      <c r="A201" s="212" t="s">
        <v>397</v>
      </c>
      <c r="B201" s="231">
        <v>4</v>
      </c>
      <c r="C201" s="42"/>
      <c r="D201" s="212" t="s">
        <v>404</v>
      </c>
      <c r="E201" s="49"/>
      <c r="F201" s="192">
        <f>B199</f>
        <v>2000000</v>
      </c>
      <c r="G201" s="192">
        <f t="shared" ref="G201:AO201" si="105">F205</f>
        <v>2000000</v>
      </c>
      <c r="H201" s="192">
        <f t="shared" si="105"/>
        <v>2000000</v>
      </c>
      <c r="I201" s="192">
        <f t="shared" si="105"/>
        <v>2000000</v>
      </c>
      <c r="J201" s="192">
        <f t="shared" si="105"/>
        <v>2000000</v>
      </c>
      <c r="K201" s="192">
        <f t="shared" si="105"/>
        <v>2000000</v>
      </c>
      <c r="L201" s="192">
        <f t="shared" si="105"/>
        <v>2000000</v>
      </c>
      <c r="M201" s="192">
        <f t="shared" si="105"/>
        <v>2000000</v>
      </c>
      <c r="N201" s="192">
        <f t="shared" si="105"/>
        <v>2000000</v>
      </c>
      <c r="O201" s="192">
        <f t="shared" si="105"/>
        <v>2000000</v>
      </c>
      <c r="P201" s="192">
        <f t="shared" si="105"/>
        <v>2000000</v>
      </c>
      <c r="Q201" s="192">
        <f t="shared" si="105"/>
        <v>2000000</v>
      </c>
      <c r="R201" s="192">
        <f t="shared" si="105"/>
        <v>2000000</v>
      </c>
      <c r="S201" s="192">
        <f t="shared" si="105"/>
        <v>1920994.2431796179</v>
      </c>
      <c r="T201" s="192">
        <f t="shared" si="105"/>
        <v>1841988.4863592358</v>
      </c>
      <c r="U201" s="192">
        <f t="shared" si="105"/>
        <v>1762982.7295388537</v>
      </c>
      <c r="V201" s="192">
        <f t="shared" si="105"/>
        <v>1683976.9727184717</v>
      </c>
      <c r="W201" s="192">
        <f t="shared" si="105"/>
        <v>1604971.2158980896</v>
      </c>
      <c r="X201" s="192">
        <f t="shared" si="105"/>
        <v>1525965.4590777075</v>
      </c>
      <c r="Y201" s="192">
        <f t="shared" si="105"/>
        <v>1446959.7022573254</v>
      </c>
      <c r="Z201" s="192">
        <f t="shared" si="105"/>
        <v>1367953.9454369433</v>
      </c>
      <c r="AA201" s="192">
        <f t="shared" si="105"/>
        <v>1288948.1886165612</v>
      </c>
      <c r="AB201" s="192">
        <f t="shared" si="105"/>
        <v>1209942.4317961792</v>
      </c>
      <c r="AC201" s="192">
        <f t="shared" si="105"/>
        <v>1130936.6749757971</v>
      </c>
      <c r="AD201" s="192">
        <f t="shared" si="105"/>
        <v>1051930.918155415</v>
      </c>
      <c r="AE201" s="192">
        <f t="shared" si="105"/>
        <v>972925.16133503278</v>
      </c>
      <c r="AF201" s="192">
        <f t="shared" si="105"/>
        <v>893919.40451465058</v>
      </c>
      <c r="AG201" s="192">
        <f t="shared" si="105"/>
        <v>814913.64769426838</v>
      </c>
      <c r="AH201" s="192">
        <f t="shared" si="105"/>
        <v>735907.89087388618</v>
      </c>
      <c r="AI201" s="192">
        <f t="shared" si="105"/>
        <v>656902.13405350398</v>
      </c>
      <c r="AJ201" s="192">
        <f t="shared" si="105"/>
        <v>577896.37723312178</v>
      </c>
      <c r="AK201" s="192">
        <f t="shared" si="105"/>
        <v>498890.62041273963</v>
      </c>
      <c r="AL201" s="192">
        <f t="shared" si="105"/>
        <v>419884.86359235749</v>
      </c>
      <c r="AM201" s="192">
        <f t="shared" si="105"/>
        <v>340879.10677197535</v>
      </c>
      <c r="AN201" s="192">
        <f t="shared" si="105"/>
        <v>261873.34995159321</v>
      </c>
      <c r="AO201" s="239">
        <f t="shared" si="105"/>
        <v>182867.59313121106</v>
      </c>
      <c r="AP201" s="244"/>
      <c r="AQ201" s="61"/>
      <c r="AR201" s="61"/>
      <c r="AS201" s="61"/>
      <c r="AT201" s="61"/>
      <c r="AU201" s="61"/>
      <c r="AV201" s="61"/>
      <c r="AW201" s="61"/>
      <c r="AX201" s="61"/>
      <c r="AY201" s="61"/>
      <c r="AZ201" s="61"/>
      <c r="BA201" s="61"/>
      <c r="BB201" s="61"/>
      <c r="BC201" s="42"/>
      <c r="BD201" s="42"/>
      <c r="BE201" s="42"/>
      <c r="BF201" s="42"/>
      <c r="BG201" s="42"/>
      <c r="BH201" s="42"/>
      <c r="BI201" s="42"/>
      <c r="BJ201" s="42"/>
      <c r="BK201" s="42"/>
      <c r="BL201" s="42"/>
      <c r="BM201" s="42"/>
      <c r="BN201" s="42"/>
      <c r="BO201" s="42"/>
      <c r="BP201" s="42"/>
      <c r="BQ201" s="42"/>
      <c r="BR201" s="42"/>
      <c r="BS201" s="42"/>
      <c r="BT201" s="42"/>
      <c r="BU201" s="42"/>
      <c r="BV201" s="42"/>
    </row>
    <row r="202" spans="1:74" x14ac:dyDescent="0.35">
      <c r="A202" s="212" t="s">
        <v>398</v>
      </c>
      <c r="B202" s="231">
        <v>8</v>
      </c>
      <c r="C202" s="42"/>
      <c r="D202" s="212" t="s">
        <v>405</v>
      </c>
      <c r="E202" s="49"/>
      <c r="F202" s="193">
        <v>0</v>
      </c>
      <c r="G202" s="193">
        <v>0</v>
      </c>
      <c r="H202" s="193">
        <v>0</v>
      </c>
      <c r="I202" s="193">
        <v>0</v>
      </c>
      <c r="J202" s="193">
        <v>0</v>
      </c>
      <c r="K202" s="193">
        <v>0</v>
      </c>
      <c r="L202" s="193">
        <v>0</v>
      </c>
      <c r="M202" s="193">
        <v>0</v>
      </c>
      <c r="N202" s="193">
        <v>0</v>
      </c>
      <c r="O202" s="193">
        <v>0</v>
      </c>
      <c r="P202" s="193">
        <v>0</v>
      </c>
      <c r="Q202" s="193">
        <v>0</v>
      </c>
      <c r="R202" s="193">
        <v>0</v>
      </c>
      <c r="S202" s="193">
        <v>0</v>
      </c>
      <c r="T202" s="193">
        <v>0</v>
      </c>
      <c r="U202" s="193">
        <v>0</v>
      </c>
      <c r="V202" s="193">
        <v>0</v>
      </c>
      <c r="W202" s="193">
        <v>0</v>
      </c>
      <c r="X202" s="193">
        <v>0</v>
      </c>
      <c r="Y202" s="193">
        <v>0</v>
      </c>
      <c r="Z202" s="193">
        <v>0</v>
      </c>
      <c r="AA202" s="193">
        <v>0</v>
      </c>
      <c r="AB202" s="193">
        <v>0</v>
      </c>
      <c r="AC202" s="193">
        <v>0</v>
      </c>
      <c r="AD202" s="193">
        <v>0</v>
      </c>
      <c r="AE202" s="193">
        <v>0</v>
      </c>
      <c r="AF202" s="193">
        <v>0</v>
      </c>
      <c r="AG202" s="193">
        <v>0</v>
      </c>
      <c r="AH202" s="193">
        <v>0</v>
      </c>
      <c r="AI202" s="193">
        <v>0</v>
      </c>
      <c r="AJ202" s="193">
        <v>0</v>
      </c>
      <c r="AK202" s="193">
        <v>0</v>
      </c>
      <c r="AL202" s="193">
        <v>0</v>
      </c>
      <c r="AM202" s="193">
        <v>0</v>
      </c>
      <c r="AN202" s="193">
        <v>0</v>
      </c>
      <c r="AO202" s="240">
        <v>0</v>
      </c>
      <c r="AP202" s="245"/>
      <c r="AQ202" s="62"/>
      <c r="AR202" s="62"/>
      <c r="AS202" s="62"/>
      <c r="AT202" s="62"/>
      <c r="AU202" s="62"/>
      <c r="AV202" s="62"/>
      <c r="AW202" s="62"/>
      <c r="AX202" s="62"/>
      <c r="AY202" s="62"/>
      <c r="AZ202" s="62"/>
      <c r="BA202" s="62"/>
      <c r="BB202" s="62"/>
      <c r="BC202" s="42"/>
      <c r="BD202" s="42"/>
      <c r="BE202" s="42"/>
      <c r="BF202" s="42"/>
      <c r="BG202" s="42"/>
      <c r="BH202" s="42"/>
      <c r="BI202" s="42"/>
      <c r="BJ202" s="42"/>
      <c r="BK202" s="42"/>
      <c r="BL202" s="42"/>
      <c r="BM202" s="42"/>
      <c r="BN202" s="42"/>
      <c r="BO202" s="42"/>
      <c r="BP202" s="42"/>
      <c r="BQ202" s="42"/>
      <c r="BR202" s="42"/>
      <c r="BS202" s="42"/>
      <c r="BT202" s="42"/>
      <c r="BU202" s="42"/>
      <c r="BV202" s="42"/>
    </row>
    <row r="203" spans="1:74" x14ac:dyDescent="0.35">
      <c r="A203" s="212" t="s">
        <v>399</v>
      </c>
      <c r="B203" s="231">
        <f>B201*B202</f>
        <v>32</v>
      </c>
      <c r="C203" s="42"/>
      <c r="D203" s="212" t="s">
        <v>406</v>
      </c>
      <c r="E203" s="49"/>
      <c r="F203" s="192">
        <v>0</v>
      </c>
      <c r="G203" s="192">
        <v>0</v>
      </c>
      <c r="H203" s="192">
        <v>0</v>
      </c>
      <c r="I203" s="192">
        <v>0</v>
      </c>
      <c r="J203" s="192">
        <v>0</v>
      </c>
      <c r="K203" s="192">
        <v>0</v>
      </c>
      <c r="L203" s="192">
        <v>0</v>
      </c>
      <c r="M203" s="192">
        <v>0</v>
      </c>
      <c r="N203" s="192">
        <v>0</v>
      </c>
      <c r="O203" s="192">
        <v>0</v>
      </c>
      <c r="P203" s="192">
        <v>0</v>
      </c>
      <c r="Q203" s="192">
        <v>0</v>
      </c>
      <c r="R203" s="192">
        <f t="shared" ref="R203:AO203" si="106">-PMT($F$208,$B$203,$B$199,0,0)</f>
        <v>79005.756820382157</v>
      </c>
      <c r="S203" s="192">
        <f t="shared" si="106"/>
        <v>79005.756820382157</v>
      </c>
      <c r="T203" s="192">
        <f t="shared" si="106"/>
        <v>79005.756820382157</v>
      </c>
      <c r="U203" s="192">
        <f t="shared" si="106"/>
        <v>79005.756820382157</v>
      </c>
      <c r="V203" s="192">
        <f t="shared" si="106"/>
        <v>79005.756820382157</v>
      </c>
      <c r="W203" s="192">
        <f t="shared" si="106"/>
        <v>79005.756820382157</v>
      </c>
      <c r="X203" s="192">
        <f t="shared" si="106"/>
        <v>79005.756820382157</v>
      </c>
      <c r="Y203" s="192">
        <f t="shared" si="106"/>
        <v>79005.756820382157</v>
      </c>
      <c r="Z203" s="192">
        <f t="shared" si="106"/>
        <v>79005.756820382157</v>
      </c>
      <c r="AA203" s="192">
        <f t="shared" si="106"/>
        <v>79005.756820382157</v>
      </c>
      <c r="AB203" s="192">
        <f t="shared" si="106"/>
        <v>79005.756820382157</v>
      </c>
      <c r="AC203" s="192">
        <f t="shared" si="106"/>
        <v>79005.756820382157</v>
      </c>
      <c r="AD203" s="192">
        <f t="shared" si="106"/>
        <v>79005.756820382157</v>
      </c>
      <c r="AE203" s="192">
        <f t="shared" si="106"/>
        <v>79005.756820382157</v>
      </c>
      <c r="AF203" s="192">
        <f t="shared" si="106"/>
        <v>79005.756820382157</v>
      </c>
      <c r="AG203" s="192">
        <f t="shared" si="106"/>
        <v>79005.756820382157</v>
      </c>
      <c r="AH203" s="192">
        <f t="shared" si="106"/>
        <v>79005.756820382157</v>
      </c>
      <c r="AI203" s="192">
        <f t="shared" si="106"/>
        <v>79005.756820382157</v>
      </c>
      <c r="AJ203" s="192">
        <f t="shared" si="106"/>
        <v>79005.756820382157</v>
      </c>
      <c r="AK203" s="192">
        <f t="shared" si="106"/>
        <v>79005.756820382157</v>
      </c>
      <c r="AL203" s="192">
        <f t="shared" si="106"/>
        <v>79005.756820382157</v>
      </c>
      <c r="AM203" s="192">
        <f t="shared" si="106"/>
        <v>79005.756820382157</v>
      </c>
      <c r="AN203" s="192">
        <f t="shared" si="106"/>
        <v>79005.756820382157</v>
      </c>
      <c r="AO203" s="239">
        <f t="shared" si="106"/>
        <v>79005.756820382157</v>
      </c>
      <c r="AP203" s="244"/>
      <c r="AQ203" s="61"/>
      <c r="AR203" s="61"/>
      <c r="AS203" s="61"/>
      <c r="AT203" s="61"/>
      <c r="AU203" s="61"/>
      <c r="AV203" s="61"/>
      <c r="AW203" s="61"/>
      <c r="AX203" s="61"/>
      <c r="AY203" s="61"/>
      <c r="AZ203" s="61"/>
      <c r="BA203" s="61"/>
      <c r="BB203" s="61"/>
      <c r="BC203" s="42"/>
      <c r="BD203" s="42"/>
      <c r="BE203" s="42"/>
      <c r="BF203" s="42"/>
      <c r="BG203" s="42"/>
      <c r="BH203" s="42"/>
      <c r="BI203" s="42"/>
      <c r="BJ203" s="42"/>
      <c r="BK203" s="42"/>
      <c r="BL203" s="42"/>
      <c r="BM203" s="42"/>
      <c r="BN203" s="42"/>
      <c r="BO203" s="42"/>
      <c r="BP203" s="42"/>
      <c r="BQ203" s="42"/>
      <c r="BR203" s="42"/>
      <c r="BS203" s="42"/>
      <c r="BT203" s="42"/>
      <c r="BU203" s="42"/>
      <c r="BV203" s="42"/>
    </row>
    <row r="204" spans="1:74" ht="15" thickBot="1" x14ac:dyDescent="0.4">
      <c r="A204" s="217" t="s">
        <v>421</v>
      </c>
      <c r="B204" s="232">
        <v>0.05</v>
      </c>
      <c r="C204" s="42"/>
      <c r="D204" s="212" t="s">
        <v>407</v>
      </c>
      <c r="E204" s="49"/>
      <c r="F204" s="192">
        <f t="shared" ref="F204:Q204" si="107">SUM(F202:F203)</f>
        <v>0</v>
      </c>
      <c r="G204" s="192">
        <f t="shared" si="107"/>
        <v>0</v>
      </c>
      <c r="H204" s="192">
        <f t="shared" si="107"/>
        <v>0</v>
      </c>
      <c r="I204" s="192">
        <f t="shared" si="107"/>
        <v>0</v>
      </c>
      <c r="J204" s="192">
        <f t="shared" si="107"/>
        <v>0</v>
      </c>
      <c r="K204" s="192">
        <f t="shared" si="107"/>
        <v>0</v>
      </c>
      <c r="L204" s="192">
        <f t="shared" si="107"/>
        <v>0</v>
      </c>
      <c r="M204" s="192">
        <f t="shared" si="107"/>
        <v>0</v>
      </c>
      <c r="N204" s="192">
        <f t="shared" si="107"/>
        <v>0</v>
      </c>
      <c r="O204" s="192">
        <f t="shared" si="107"/>
        <v>0</v>
      </c>
      <c r="P204" s="192">
        <f t="shared" si="107"/>
        <v>0</v>
      </c>
      <c r="Q204" s="192">
        <f t="shared" si="107"/>
        <v>0</v>
      </c>
      <c r="R204" s="42">
        <v>0</v>
      </c>
      <c r="S204" s="42">
        <v>0</v>
      </c>
      <c r="T204" s="42">
        <v>0</v>
      </c>
      <c r="U204" s="42">
        <v>0</v>
      </c>
      <c r="V204" s="42">
        <v>0</v>
      </c>
      <c r="W204" s="42">
        <v>0</v>
      </c>
      <c r="X204" s="42">
        <v>0</v>
      </c>
      <c r="Y204" s="42">
        <v>0</v>
      </c>
      <c r="Z204" s="42">
        <v>0</v>
      </c>
      <c r="AA204" s="42">
        <v>0</v>
      </c>
      <c r="AB204" s="42">
        <v>0</v>
      </c>
      <c r="AC204" s="42">
        <v>0</v>
      </c>
      <c r="AD204" s="42">
        <v>0</v>
      </c>
      <c r="AE204" s="42">
        <v>0</v>
      </c>
      <c r="AF204" s="42">
        <v>0</v>
      </c>
      <c r="AG204" s="42">
        <v>0</v>
      </c>
      <c r="AH204" s="42">
        <v>0</v>
      </c>
      <c r="AI204" s="42">
        <v>0</v>
      </c>
      <c r="AJ204" s="42">
        <v>0</v>
      </c>
      <c r="AK204" s="42">
        <v>0</v>
      </c>
      <c r="AL204" s="42">
        <v>0</v>
      </c>
      <c r="AM204" s="42">
        <v>0</v>
      </c>
      <c r="AN204" s="42">
        <v>0</v>
      </c>
      <c r="AO204" s="42">
        <v>0</v>
      </c>
      <c r="AP204" s="42"/>
      <c r="AQ204" s="42"/>
      <c r="AR204" s="42"/>
      <c r="AS204" s="42"/>
      <c r="AT204" s="42"/>
      <c r="AU204" s="42"/>
      <c r="AV204" s="42"/>
      <c r="AW204" s="42"/>
      <c r="AX204" s="42"/>
      <c r="AY204" s="42"/>
      <c r="AZ204" s="61"/>
      <c r="BA204" s="61"/>
      <c r="BB204" s="61"/>
      <c r="BC204" s="42"/>
      <c r="BD204" s="42"/>
      <c r="BE204" s="42"/>
      <c r="BF204" s="42"/>
      <c r="BG204" s="42"/>
      <c r="BH204" s="42"/>
      <c r="BI204" s="42"/>
      <c r="BJ204" s="42"/>
      <c r="BK204" s="42"/>
      <c r="BL204" s="42"/>
      <c r="BM204" s="42"/>
      <c r="BN204" s="42"/>
      <c r="BO204" s="42"/>
      <c r="BP204" s="42"/>
      <c r="BQ204" s="42"/>
      <c r="BR204" s="42"/>
      <c r="BS204" s="42"/>
      <c r="BT204" s="42"/>
      <c r="BU204" s="42"/>
      <c r="BV204" s="42"/>
    </row>
    <row r="205" spans="1:74" x14ac:dyDescent="0.35">
      <c r="A205" s="42"/>
      <c r="B205" s="42"/>
      <c r="C205" s="42"/>
      <c r="D205" s="212" t="s">
        <v>408</v>
      </c>
      <c r="E205" s="49"/>
      <c r="F205" s="192">
        <f t="shared" ref="F205:AO205" si="108">F201-F203</f>
        <v>2000000</v>
      </c>
      <c r="G205" s="192">
        <f t="shared" si="108"/>
        <v>2000000</v>
      </c>
      <c r="H205" s="192">
        <f t="shared" si="108"/>
        <v>2000000</v>
      </c>
      <c r="I205" s="192">
        <f t="shared" si="108"/>
        <v>2000000</v>
      </c>
      <c r="J205" s="192">
        <f t="shared" si="108"/>
        <v>2000000</v>
      </c>
      <c r="K205" s="192">
        <f t="shared" si="108"/>
        <v>2000000</v>
      </c>
      <c r="L205" s="192">
        <f t="shared" si="108"/>
        <v>2000000</v>
      </c>
      <c r="M205" s="192">
        <f t="shared" si="108"/>
        <v>2000000</v>
      </c>
      <c r="N205" s="192">
        <f t="shared" si="108"/>
        <v>2000000</v>
      </c>
      <c r="O205" s="192">
        <f t="shared" si="108"/>
        <v>2000000</v>
      </c>
      <c r="P205" s="192">
        <f t="shared" si="108"/>
        <v>2000000</v>
      </c>
      <c r="Q205" s="192">
        <f t="shared" si="108"/>
        <v>2000000</v>
      </c>
      <c r="R205" s="192">
        <f t="shared" si="108"/>
        <v>1920994.2431796179</v>
      </c>
      <c r="S205" s="192">
        <f t="shared" si="108"/>
        <v>1841988.4863592358</v>
      </c>
      <c r="T205" s="192">
        <f t="shared" si="108"/>
        <v>1762982.7295388537</v>
      </c>
      <c r="U205" s="192">
        <f t="shared" si="108"/>
        <v>1683976.9727184717</v>
      </c>
      <c r="V205" s="192">
        <f t="shared" si="108"/>
        <v>1604971.2158980896</v>
      </c>
      <c r="W205" s="192">
        <f t="shared" si="108"/>
        <v>1525965.4590777075</v>
      </c>
      <c r="X205" s="192">
        <f t="shared" si="108"/>
        <v>1446959.7022573254</v>
      </c>
      <c r="Y205" s="192">
        <f t="shared" si="108"/>
        <v>1367953.9454369433</v>
      </c>
      <c r="Z205" s="192">
        <f t="shared" si="108"/>
        <v>1288948.1886165612</v>
      </c>
      <c r="AA205" s="192">
        <f t="shared" si="108"/>
        <v>1209942.4317961792</v>
      </c>
      <c r="AB205" s="192">
        <f t="shared" si="108"/>
        <v>1130936.6749757971</v>
      </c>
      <c r="AC205" s="192">
        <f t="shared" si="108"/>
        <v>1051930.918155415</v>
      </c>
      <c r="AD205" s="192">
        <f t="shared" si="108"/>
        <v>972925.16133503278</v>
      </c>
      <c r="AE205" s="192">
        <f t="shared" si="108"/>
        <v>893919.40451465058</v>
      </c>
      <c r="AF205" s="192">
        <f t="shared" si="108"/>
        <v>814913.64769426838</v>
      </c>
      <c r="AG205" s="192">
        <f t="shared" si="108"/>
        <v>735907.89087388618</v>
      </c>
      <c r="AH205" s="192">
        <f t="shared" si="108"/>
        <v>656902.13405350398</v>
      </c>
      <c r="AI205" s="192">
        <f t="shared" si="108"/>
        <v>577896.37723312178</v>
      </c>
      <c r="AJ205" s="192">
        <f t="shared" si="108"/>
        <v>498890.62041273963</v>
      </c>
      <c r="AK205" s="192">
        <f t="shared" si="108"/>
        <v>419884.86359235749</v>
      </c>
      <c r="AL205" s="192">
        <f t="shared" si="108"/>
        <v>340879.10677197535</v>
      </c>
      <c r="AM205" s="192">
        <f t="shared" si="108"/>
        <v>261873.34995159321</v>
      </c>
      <c r="AN205" s="192">
        <f t="shared" si="108"/>
        <v>182867.59313121106</v>
      </c>
      <c r="AO205" s="239">
        <f t="shared" si="108"/>
        <v>103861.8363108289</v>
      </c>
      <c r="AP205" s="244"/>
      <c r="AQ205" s="61"/>
      <c r="AR205" s="61"/>
      <c r="AS205" s="61"/>
      <c r="AT205" s="61"/>
      <c r="AU205" s="61"/>
      <c r="AV205" s="61"/>
      <c r="AW205" s="61"/>
      <c r="AX205" s="61"/>
      <c r="AY205" s="61"/>
      <c r="AZ205" s="61"/>
      <c r="BA205" s="61"/>
      <c r="BB205" s="61"/>
      <c r="BC205" s="42"/>
      <c r="BD205" s="42"/>
      <c r="BE205" s="42"/>
      <c r="BF205" s="42"/>
      <c r="BG205" s="42"/>
      <c r="BH205" s="42"/>
      <c r="BI205" s="42"/>
      <c r="BJ205" s="42"/>
      <c r="BK205" s="42"/>
      <c r="BL205" s="42"/>
      <c r="BM205" s="42"/>
      <c r="BN205" s="42"/>
      <c r="BO205" s="42"/>
      <c r="BP205" s="42"/>
      <c r="BQ205" s="42"/>
      <c r="BR205" s="42"/>
      <c r="BS205" s="42"/>
      <c r="BT205" s="42"/>
      <c r="BU205" s="42"/>
      <c r="BV205" s="42"/>
    </row>
    <row r="206" spans="1:74" x14ac:dyDescent="0.35">
      <c r="A206" s="42"/>
      <c r="B206" s="42"/>
      <c r="C206" s="42"/>
      <c r="D206" s="212" t="s">
        <v>400</v>
      </c>
      <c r="E206" s="189"/>
      <c r="F206" s="189">
        <f>B200</f>
        <v>9.4999999999999998E-3</v>
      </c>
      <c r="G206" s="189">
        <f t="shared" ref="G206:AO206" si="109">$B$174</f>
        <v>8.7500000000000008E-3</v>
      </c>
      <c r="H206" s="189">
        <f t="shared" si="109"/>
        <v>8.7500000000000008E-3</v>
      </c>
      <c r="I206" s="189">
        <f t="shared" si="109"/>
        <v>8.7500000000000008E-3</v>
      </c>
      <c r="J206" s="189">
        <f t="shared" si="109"/>
        <v>8.7500000000000008E-3</v>
      </c>
      <c r="K206" s="189">
        <f t="shared" si="109"/>
        <v>8.7500000000000008E-3</v>
      </c>
      <c r="L206" s="189">
        <f t="shared" si="109"/>
        <v>8.7500000000000008E-3</v>
      </c>
      <c r="M206" s="189">
        <f t="shared" si="109"/>
        <v>8.7500000000000008E-3</v>
      </c>
      <c r="N206" s="189">
        <f t="shared" si="109"/>
        <v>8.7500000000000008E-3</v>
      </c>
      <c r="O206" s="189">
        <f t="shared" si="109"/>
        <v>8.7500000000000008E-3</v>
      </c>
      <c r="P206" s="189">
        <f t="shared" si="109"/>
        <v>8.7500000000000008E-3</v>
      </c>
      <c r="Q206" s="189">
        <f t="shared" si="109"/>
        <v>8.7500000000000008E-3</v>
      </c>
      <c r="R206" s="189">
        <f t="shared" si="109"/>
        <v>8.7500000000000008E-3</v>
      </c>
      <c r="S206" s="189">
        <f t="shared" si="109"/>
        <v>8.7500000000000008E-3</v>
      </c>
      <c r="T206" s="189">
        <f t="shared" si="109"/>
        <v>8.7500000000000008E-3</v>
      </c>
      <c r="U206" s="189">
        <f t="shared" si="109"/>
        <v>8.7500000000000008E-3</v>
      </c>
      <c r="V206" s="189">
        <f t="shared" si="109"/>
        <v>8.7500000000000008E-3</v>
      </c>
      <c r="W206" s="189">
        <f t="shared" si="109"/>
        <v>8.7500000000000008E-3</v>
      </c>
      <c r="X206" s="189">
        <f t="shared" si="109"/>
        <v>8.7500000000000008E-3</v>
      </c>
      <c r="Y206" s="189">
        <f t="shared" si="109"/>
        <v>8.7500000000000008E-3</v>
      </c>
      <c r="Z206" s="189">
        <f t="shared" si="109"/>
        <v>8.7500000000000008E-3</v>
      </c>
      <c r="AA206" s="189">
        <f t="shared" si="109"/>
        <v>8.7500000000000008E-3</v>
      </c>
      <c r="AB206" s="189">
        <f t="shared" si="109"/>
        <v>8.7500000000000008E-3</v>
      </c>
      <c r="AC206" s="189">
        <f t="shared" si="109"/>
        <v>8.7500000000000008E-3</v>
      </c>
      <c r="AD206" s="189">
        <f t="shared" si="109"/>
        <v>8.7500000000000008E-3</v>
      </c>
      <c r="AE206" s="189">
        <f t="shared" si="109"/>
        <v>8.7500000000000008E-3</v>
      </c>
      <c r="AF206" s="189">
        <f t="shared" si="109"/>
        <v>8.7500000000000008E-3</v>
      </c>
      <c r="AG206" s="189">
        <f t="shared" si="109"/>
        <v>8.7500000000000008E-3</v>
      </c>
      <c r="AH206" s="189">
        <f t="shared" si="109"/>
        <v>8.7500000000000008E-3</v>
      </c>
      <c r="AI206" s="189">
        <f t="shared" si="109"/>
        <v>8.7500000000000008E-3</v>
      </c>
      <c r="AJ206" s="189">
        <f t="shared" si="109"/>
        <v>8.7500000000000008E-3</v>
      </c>
      <c r="AK206" s="189">
        <f t="shared" si="109"/>
        <v>8.7500000000000008E-3</v>
      </c>
      <c r="AL206" s="189">
        <f t="shared" si="109"/>
        <v>8.7500000000000008E-3</v>
      </c>
      <c r="AM206" s="189">
        <f t="shared" si="109"/>
        <v>8.7500000000000008E-3</v>
      </c>
      <c r="AN206" s="189">
        <f t="shared" si="109"/>
        <v>8.7500000000000008E-3</v>
      </c>
      <c r="AO206" s="241">
        <f t="shared" si="109"/>
        <v>8.7500000000000008E-3</v>
      </c>
      <c r="AP206" s="246"/>
      <c r="AQ206" s="63"/>
      <c r="AR206" s="63"/>
      <c r="AS206" s="63"/>
      <c r="AT206" s="63"/>
      <c r="AU206" s="63"/>
      <c r="AV206" s="63"/>
      <c r="AW206" s="63"/>
      <c r="AX206" s="63"/>
      <c r="AY206" s="63"/>
      <c r="AZ206" s="63"/>
      <c r="BA206" s="63"/>
      <c r="BB206" s="63"/>
      <c r="BC206" s="42"/>
      <c r="BD206" s="42"/>
      <c r="BE206" s="42"/>
      <c r="BF206" s="42"/>
      <c r="BG206" s="42"/>
      <c r="BH206" s="42"/>
      <c r="BI206" s="42"/>
      <c r="BJ206" s="42"/>
      <c r="BK206" s="42"/>
      <c r="BL206" s="42"/>
      <c r="BM206" s="42"/>
      <c r="BN206" s="42"/>
      <c r="BO206" s="42"/>
      <c r="BP206" s="42"/>
      <c r="BQ206" s="42"/>
      <c r="BR206" s="42"/>
      <c r="BS206" s="42"/>
      <c r="BT206" s="42"/>
      <c r="BU206" s="42"/>
      <c r="BV206" s="42"/>
    </row>
    <row r="207" spans="1:74" x14ac:dyDescent="0.35">
      <c r="A207" s="42"/>
      <c r="B207" s="42"/>
      <c r="C207" s="42"/>
      <c r="D207" s="212" t="s">
        <v>422</v>
      </c>
      <c r="E207" s="49"/>
      <c r="F207" s="213">
        <f t="shared" ref="F207:AO207" si="110">$B$178</f>
        <v>0.05</v>
      </c>
      <c r="G207" s="213">
        <f t="shared" si="110"/>
        <v>0.05</v>
      </c>
      <c r="H207" s="213">
        <f t="shared" si="110"/>
        <v>0.05</v>
      </c>
      <c r="I207" s="213">
        <f t="shared" si="110"/>
        <v>0.05</v>
      </c>
      <c r="J207" s="213">
        <f t="shared" si="110"/>
        <v>0.05</v>
      </c>
      <c r="K207" s="213">
        <f t="shared" si="110"/>
        <v>0.05</v>
      </c>
      <c r="L207" s="213">
        <f t="shared" si="110"/>
        <v>0.05</v>
      </c>
      <c r="M207" s="213">
        <f t="shared" si="110"/>
        <v>0.05</v>
      </c>
      <c r="N207" s="213">
        <f t="shared" si="110"/>
        <v>0.05</v>
      </c>
      <c r="O207" s="213">
        <f t="shared" si="110"/>
        <v>0.05</v>
      </c>
      <c r="P207" s="213">
        <f t="shared" si="110"/>
        <v>0.05</v>
      </c>
      <c r="Q207" s="213">
        <f t="shared" si="110"/>
        <v>0.05</v>
      </c>
      <c r="R207" s="213">
        <f t="shared" si="110"/>
        <v>0.05</v>
      </c>
      <c r="S207" s="213">
        <f t="shared" si="110"/>
        <v>0.05</v>
      </c>
      <c r="T207" s="213">
        <f t="shared" si="110"/>
        <v>0.05</v>
      </c>
      <c r="U207" s="213">
        <f t="shared" si="110"/>
        <v>0.05</v>
      </c>
      <c r="V207" s="213">
        <f t="shared" si="110"/>
        <v>0.05</v>
      </c>
      <c r="W207" s="213">
        <f t="shared" si="110"/>
        <v>0.05</v>
      </c>
      <c r="X207" s="213">
        <f t="shared" si="110"/>
        <v>0.05</v>
      </c>
      <c r="Y207" s="213">
        <f t="shared" si="110"/>
        <v>0.05</v>
      </c>
      <c r="Z207" s="213">
        <f t="shared" si="110"/>
        <v>0.05</v>
      </c>
      <c r="AA207" s="213">
        <f t="shared" si="110"/>
        <v>0.05</v>
      </c>
      <c r="AB207" s="213">
        <f t="shared" si="110"/>
        <v>0.05</v>
      </c>
      <c r="AC207" s="213">
        <f t="shared" si="110"/>
        <v>0.05</v>
      </c>
      <c r="AD207" s="213">
        <f t="shared" si="110"/>
        <v>0.05</v>
      </c>
      <c r="AE207" s="213">
        <f t="shared" si="110"/>
        <v>0.05</v>
      </c>
      <c r="AF207" s="213">
        <f t="shared" si="110"/>
        <v>0.05</v>
      </c>
      <c r="AG207" s="213">
        <f t="shared" si="110"/>
        <v>0.05</v>
      </c>
      <c r="AH207" s="213">
        <f t="shared" si="110"/>
        <v>0.05</v>
      </c>
      <c r="AI207" s="213">
        <f t="shared" si="110"/>
        <v>0.05</v>
      </c>
      <c r="AJ207" s="213">
        <f t="shared" si="110"/>
        <v>0.05</v>
      </c>
      <c r="AK207" s="213">
        <f t="shared" si="110"/>
        <v>0.05</v>
      </c>
      <c r="AL207" s="213">
        <f t="shared" si="110"/>
        <v>0.05</v>
      </c>
      <c r="AM207" s="213">
        <f t="shared" si="110"/>
        <v>0.05</v>
      </c>
      <c r="AN207" s="213">
        <f t="shared" si="110"/>
        <v>0.05</v>
      </c>
      <c r="AO207" s="214">
        <f t="shared" si="110"/>
        <v>0.05</v>
      </c>
      <c r="AP207" s="215"/>
      <c r="AQ207" s="64"/>
      <c r="AR207" s="64"/>
      <c r="AS207" s="64"/>
      <c r="AT207" s="64"/>
      <c r="AU207" s="64"/>
      <c r="AV207" s="64"/>
      <c r="AW207" s="64"/>
      <c r="AX207" s="64"/>
      <c r="AY207" s="64"/>
      <c r="AZ207" s="64"/>
      <c r="BA207" s="64"/>
      <c r="BB207" s="64"/>
      <c r="BC207" s="42"/>
      <c r="BD207" s="42"/>
      <c r="BE207" s="42"/>
      <c r="BF207" s="42"/>
      <c r="BG207" s="42"/>
      <c r="BH207" s="42"/>
      <c r="BI207" s="42"/>
      <c r="BJ207" s="42"/>
      <c r="BK207" s="42"/>
      <c r="BL207" s="42"/>
      <c r="BM207" s="42"/>
      <c r="BN207" s="42"/>
      <c r="BO207" s="42"/>
      <c r="BP207" s="42"/>
      <c r="BQ207" s="42"/>
      <c r="BR207" s="42"/>
      <c r="BS207" s="42"/>
      <c r="BT207" s="42"/>
      <c r="BU207" s="42"/>
      <c r="BV207" s="42"/>
    </row>
    <row r="208" spans="1:74" ht="15" thickBot="1" x14ac:dyDescent="0.4">
      <c r="A208" s="42"/>
      <c r="B208" s="42"/>
      <c r="C208" s="42"/>
      <c r="D208" s="217" t="s">
        <v>403</v>
      </c>
      <c r="E208" s="50"/>
      <c r="F208" s="233">
        <f t="shared" ref="F208:AO208" si="111">(F206+F207)/4</f>
        <v>1.4875000000000001E-2</v>
      </c>
      <c r="G208" s="233">
        <f t="shared" si="111"/>
        <v>1.4687500000000001E-2</v>
      </c>
      <c r="H208" s="233">
        <f t="shared" si="111"/>
        <v>1.4687500000000001E-2</v>
      </c>
      <c r="I208" s="233">
        <f t="shared" si="111"/>
        <v>1.4687500000000001E-2</v>
      </c>
      <c r="J208" s="233">
        <f t="shared" si="111"/>
        <v>1.4687500000000001E-2</v>
      </c>
      <c r="K208" s="233">
        <f t="shared" si="111"/>
        <v>1.4687500000000001E-2</v>
      </c>
      <c r="L208" s="233">
        <f t="shared" si="111"/>
        <v>1.4687500000000001E-2</v>
      </c>
      <c r="M208" s="233">
        <f t="shared" si="111"/>
        <v>1.4687500000000001E-2</v>
      </c>
      <c r="N208" s="233">
        <f t="shared" si="111"/>
        <v>1.4687500000000001E-2</v>
      </c>
      <c r="O208" s="233">
        <f t="shared" si="111"/>
        <v>1.4687500000000001E-2</v>
      </c>
      <c r="P208" s="233">
        <f t="shared" si="111"/>
        <v>1.4687500000000001E-2</v>
      </c>
      <c r="Q208" s="233">
        <f t="shared" si="111"/>
        <v>1.4687500000000001E-2</v>
      </c>
      <c r="R208" s="233">
        <f t="shared" si="111"/>
        <v>1.4687500000000001E-2</v>
      </c>
      <c r="S208" s="233">
        <f t="shared" si="111"/>
        <v>1.4687500000000001E-2</v>
      </c>
      <c r="T208" s="233">
        <f t="shared" si="111"/>
        <v>1.4687500000000001E-2</v>
      </c>
      <c r="U208" s="233">
        <f t="shared" si="111"/>
        <v>1.4687500000000001E-2</v>
      </c>
      <c r="V208" s="233">
        <f t="shared" si="111"/>
        <v>1.4687500000000001E-2</v>
      </c>
      <c r="W208" s="233">
        <f t="shared" si="111"/>
        <v>1.4687500000000001E-2</v>
      </c>
      <c r="X208" s="233">
        <f t="shared" si="111"/>
        <v>1.4687500000000001E-2</v>
      </c>
      <c r="Y208" s="233">
        <f t="shared" si="111"/>
        <v>1.4687500000000001E-2</v>
      </c>
      <c r="Z208" s="233">
        <f t="shared" si="111"/>
        <v>1.4687500000000001E-2</v>
      </c>
      <c r="AA208" s="233">
        <f t="shared" si="111"/>
        <v>1.4687500000000001E-2</v>
      </c>
      <c r="AB208" s="233">
        <f t="shared" si="111"/>
        <v>1.4687500000000001E-2</v>
      </c>
      <c r="AC208" s="233">
        <f t="shared" si="111"/>
        <v>1.4687500000000001E-2</v>
      </c>
      <c r="AD208" s="233">
        <f t="shared" si="111"/>
        <v>1.4687500000000001E-2</v>
      </c>
      <c r="AE208" s="233">
        <f t="shared" si="111"/>
        <v>1.4687500000000001E-2</v>
      </c>
      <c r="AF208" s="233">
        <f t="shared" si="111"/>
        <v>1.4687500000000001E-2</v>
      </c>
      <c r="AG208" s="233">
        <f t="shared" si="111"/>
        <v>1.4687500000000001E-2</v>
      </c>
      <c r="AH208" s="233">
        <f t="shared" si="111"/>
        <v>1.4687500000000001E-2</v>
      </c>
      <c r="AI208" s="233">
        <f t="shared" si="111"/>
        <v>1.4687500000000001E-2</v>
      </c>
      <c r="AJ208" s="233">
        <f t="shared" si="111"/>
        <v>1.4687500000000001E-2</v>
      </c>
      <c r="AK208" s="233">
        <f t="shared" si="111"/>
        <v>1.4687500000000001E-2</v>
      </c>
      <c r="AL208" s="233">
        <f t="shared" si="111"/>
        <v>1.4687500000000001E-2</v>
      </c>
      <c r="AM208" s="233">
        <f t="shared" si="111"/>
        <v>1.4687500000000001E-2</v>
      </c>
      <c r="AN208" s="233">
        <f t="shared" si="111"/>
        <v>1.4687500000000001E-2</v>
      </c>
      <c r="AO208" s="242">
        <f t="shared" si="111"/>
        <v>1.4687500000000001E-2</v>
      </c>
      <c r="AP208" s="215"/>
      <c r="AQ208" s="64"/>
      <c r="AR208" s="64"/>
      <c r="AS208" s="64"/>
      <c r="AT208" s="64"/>
      <c r="AU208" s="64"/>
      <c r="AV208" s="64"/>
      <c r="AW208" s="64"/>
      <c r="AX208" s="64"/>
      <c r="AY208" s="64"/>
      <c r="AZ208" s="64"/>
      <c r="BA208" s="64"/>
      <c r="BB208" s="64"/>
      <c r="BC208" s="42"/>
      <c r="BD208" s="42"/>
      <c r="BE208" s="42"/>
      <c r="BF208" s="42"/>
      <c r="BG208" s="42"/>
      <c r="BH208" s="42"/>
      <c r="BI208" s="42"/>
      <c r="BJ208" s="42"/>
      <c r="BK208" s="42"/>
      <c r="BL208" s="42"/>
      <c r="BM208" s="42"/>
      <c r="BN208" s="42"/>
      <c r="BO208" s="42"/>
      <c r="BP208" s="42"/>
      <c r="BQ208" s="42"/>
      <c r="BR208" s="42"/>
      <c r="BS208" s="42"/>
      <c r="BT208" s="42"/>
      <c r="BU208" s="42"/>
      <c r="BV208" s="42"/>
    </row>
    <row r="209" spans="1:74" x14ac:dyDescent="0.35">
      <c r="A209" s="42"/>
      <c r="B209" s="42"/>
      <c r="C209" s="42"/>
      <c r="D209" s="42"/>
      <c r="E209" s="44"/>
      <c r="F209" s="42"/>
      <c r="G209" s="45"/>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row>
    <row r="210" spans="1:74" x14ac:dyDescent="0.35">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row>
    <row r="211" spans="1:74" ht="15" thickBot="1" x14ac:dyDescent="0.4">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row>
    <row r="212" spans="1:74" x14ac:dyDescent="0.35">
      <c r="A212" s="42"/>
      <c r="B212" s="42"/>
      <c r="C212" s="42"/>
      <c r="D212" s="176"/>
      <c r="E212" s="223">
        <v>2021</v>
      </c>
      <c r="F212" s="223">
        <v>2022</v>
      </c>
      <c r="G212" s="223">
        <v>2023</v>
      </c>
      <c r="H212" s="223">
        <v>2024</v>
      </c>
      <c r="I212" s="223">
        <v>2025</v>
      </c>
      <c r="J212" s="223">
        <v>2026</v>
      </c>
      <c r="K212" s="223">
        <v>2027</v>
      </c>
      <c r="L212" s="223">
        <v>2028</v>
      </c>
      <c r="M212" s="223">
        <v>2029</v>
      </c>
      <c r="N212" s="223">
        <v>2030</v>
      </c>
      <c r="O212" s="223">
        <v>2031</v>
      </c>
      <c r="P212" s="223">
        <v>2032</v>
      </c>
      <c r="Q212" s="223">
        <v>2033</v>
      </c>
      <c r="R212" s="224">
        <v>2034</v>
      </c>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c r="BV212" s="42"/>
    </row>
    <row r="213" spans="1:74" x14ac:dyDescent="0.35">
      <c r="A213" s="42"/>
      <c r="B213" s="42"/>
      <c r="C213" s="42"/>
      <c r="D213" s="212" t="s">
        <v>404</v>
      </c>
      <c r="E213" s="201"/>
      <c r="F213" s="201">
        <f>F201</f>
        <v>2000000</v>
      </c>
      <c r="G213" s="201">
        <f t="shared" ref="G213:R213" si="112">F217</f>
        <v>2000000</v>
      </c>
      <c r="H213" s="201">
        <f t="shared" si="112"/>
        <v>2000000</v>
      </c>
      <c r="I213" s="201">
        <f t="shared" si="112"/>
        <v>2000000</v>
      </c>
      <c r="J213" s="201">
        <f t="shared" si="112"/>
        <v>1920994.2431796179</v>
      </c>
      <c r="K213" s="201">
        <f t="shared" si="112"/>
        <v>1604971.2158980893</v>
      </c>
      <c r="L213" s="201">
        <f t="shared" si="112"/>
        <v>1288948.1886165608</v>
      </c>
      <c r="M213" s="201">
        <f t="shared" si="112"/>
        <v>972925.1613350322</v>
      </c>
      <c r="N213" s="201">
        <f t="shared" si="112"/>
        <v>656902.13405350363</v>
      </c>
      <c r="O213" s="201">
        <f t="shared" si="112"/>
        <v>340879.106771975</v>
      </c>
      <c r="P213" s="201">
        <f t="shared" si="112"/>
        <v>103861.83631082851</v>
      </c>
      <c r="Q213" s="201">
        <f t="shared" si="112"/>
        <v>103861.83631082851</v>
      </c>
      <c r="R213" s="234">
        <f t="shared" si="112"/>
        <v>103861.83631082851</v>
      </c>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row>
    <row r="214" spans="1:74" x14ac:dyDescent="0.35">
      <c r="A214" s="42"/>
      <c r="B214" s="42"/>
      <c r="C214" s="42"/>
      <c r="D214" s="212" t="s">
        <v>405</v>
      </c>
      <c r="E214" s="201"/>
      <c r="F214" s="201">
        <f>SUM(F202)</f>
        <v>0</v>
      </c>
      <c r="G214" s="201">
        <f>SUM(G202:J202)</f>
        <v>0</v>
      </c>
      <c r="H214" s="201">
        <f>SUM(K202:N202)</f>
        <v>0</v>
      </c>
      <c r="I214" s="201">
        <f>SUM(O202:R202)</f>
        <v>0</v>
      </c>
      <c r="J214" s="201">
        <f>SUM(S202:V202)</f>
        <v>0</v>
      </c>
      <c r="K214" s="201">
        <f>SUM(W202:Z202)</f>
        <v>0</v>
      </c>
      <c r="L214" s="201">
        <f>SUM(AA202:AD202)</f>
        <v>0</v>
      </c>
      <c r="M214" s="201">
        <f>SUM(AE202:AH202)</f>
        <v>0</v>
      </c>
      <c r="N214" s="201">
        <f>SUM(AI202:AL202)</f>
        <v>0</v>
      </c>
      <c r="O214" s="201">
        <f>SUM(AM202:AP202)</f>
        <v>0</v>
      </c>
      <c r="P214" s="201">
        <f>SUM(AQ202:AT202)</f>
        <v>0</v>
      </c>
      <c r="Q214" s="201">
        <f>SUM(AU202:AX202)</f>
        <v>0</v>
      </c>
      <c r="R214" s="234">
        <f>SUM(AY202:BB202)</f>
        <v>0</v>
      </c>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row>
    <row r="215" spans="1:74" x14ac:dyDescent="0.35">
      <c r="A215" s="42"/>
      <c r="B215" s="42"/>
      <c r="C215" s="42"/>
      <c r="D215" s="212" t="s">
        <v>406</v>
      </c>
      <c r="E215" s="201"/>
      <c r="F215" s="201">
        <f>SUM(F203)</f>
        <v>0</v>
      </c>
      <c r="G215" s="201">
        <f>SUM(G203:J203)</f>
        <v>0</v>
      </c>
      <c r="H215" s="201">
        <f>SUM(K203:N203)</f>
        <v>0</v>
      </c>
      <c r="I215" s="201">
        <f>SUM(O203:R203)</f>
        <v>79005.756820382157</v>
      </c>
      <c r="J215" s="201">
        <f>SUM(S203:V203)</f>
        <v>316023.02728152863</v>
      </c>
      <c r="K215" s="201">
        <f>SUM(W203:Z203)</f>
        <v>316023.02728152863</v>
      </c>
      <c r="L215" s="201">
        <f>SUM(AA203:AD203)</f>
        <v>316023.02728152863</v>
      </c>
      <c r="M215" s="201">
        <f>SUM(AE203:AH203)</f>
        <v>316023.02728152863</v>
      </c>
      <c r="N215" s="201">
        <f>SUM(AI203:AL203)</f>
        <v>316023.02728152863</v>
      </c>
      <c r="O215" s="201">
        <f>SUM(AM203:AP203)</f>
        <v>237017.27046114649</v>
      </c>
      <c r="P215" s="201">
        <f>SUM(AQ203:AT203)</f>
        <v>0</v>
      </c>
      <c r="Q215" s="201">
        <f>SUM(AU203:AX203)</f>
        <v>0</v>
      </c>
      <c r="R215" s="234">
        <f>SUM(AY203:BB203)</f>
        <v>0</v>
      </c>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row>
    <row r="216" spans="1:74" x14ac:dyDescent="0.35">
      <c r="A216" s="42"/>
      <c r="B216" s="42"/>
      <c r="C216" s="42"/>
      <c r="D216" s="212" t="s">
        <v>407</v>
      </c>
      <c r="E216" s="201"/>
      <c r="F216" s="201">
        <f t="shared" ref="F216:R216" si="113">F214+F215</f>
        <v>0</v>
      </c>
      <c r="G216" s="201">
        <f t="shared" si="113"/>
        <v>0</v>
      </c>
      <c r="H216" s="201">
        <f t="shared" si="113"/>
        <v>0</v>
      </c>
      <c r="I216" s="201">
        <f t="shared" si="113"/>
        <v>79005.756820382157</v>
      </c>
      <c r="J216" s="201">
        <f t="shared" si="113"/>
        <v>316023.02728152863</v>
      </c>
      <c r="K216" s="201">
        <f t="shared" si="113"/>
        <v>316023.02728152863</v>
      </c>
      <c r="L216" s="201">
        <f t="shared" si="113"/>
        <v>316023.02728152863</v>
      </c>
      <c r="M216" s="201">
        <f t="shared" si="113"/>
        <v>316023.02728152863</v>
      </c>
      <c r="N216" s="201">
        <f t="shared" si="113"/>
        <v>316023.02728152863</v>
      </c>
      <c r="O216" s="201">
        <f t="shared" si="113"/>
        <v>237017.27046114649</v>
      </c>
      <c r="P216" s="201">
        <f t="shared" si="113"/>
        <v>0</v>
      </c>
      <c r="Q216" s="201">
        <f t="shared" si="113"/>
        <v>0</v>
      </c>
      <c r="R216" s="234">
        <f t="shared" si="113"/>
        <v>0</v>
      </c>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row>
    <row r="217" spans="1:74" ht="15" thickBot="1" x14ac:dyDescent="0.4">
      <c r="A217" s="42"/>
      <c r="B217" s="42"/>
      <c r="C217" s="42"/>
      <c r="D217" s="217" t="s">
        <v>408</v>
      </c>
      <c r="E217" s="205"/>
      <c r="F217" s="205">
        <f t="shared" ref="F217:R217" si="114">F213-F215</f>
        <v>2000000</v>
      </c>
      <c r="G217" s="205">
        <f t="shared" si="114"/>
        <v>2000000</v>
      </c>
      <c r="H217" s="205">
        <f t="shared" si="114"/>
        <v>2000000</v>
      </c>
      <c r="I217" s="205">
        <f t="shared" si="114"/>
        <v>1920994.2431796179</v>
      </c>
      <c r="J217" s="205">
        <f t="shared" si="114"/>
        <v>1604971.2158980893</v>
      </c>
      <c r="K217" s="205">
        <f t="shared" si="114"/>
        <v>1288948.1886165608</v>
      </c>
      <c r="L217" s="205">
        <f t="shared" si="114"/>
        <v>972925.1613350322</v>
      </c>
      <c r="M217" s="205">
        <f t="shared" si="114"/>
        <v>656902.13405350363</v>
      </c>
      <c r="N217" s="205">
        <f t="shared" si="114"/>
        <v>340879.106771975</v>
      </c>
      <c r="O217" s="205">
        <f t="shared" si="114"/>
        <v>103861.83631082851</v>
      </c>
      <c r="P217" s="205">
        <f t="shared" si="114"/>
        <v>103861.83631082851</v>
      </c>
      <c r="Q217" s="205">
        <f t="shared" si="114"/>
        <v>103861.83631082851</v>
      </c>
      <c r="R217" s="235">
        <f t="shared" si="114"/>
        <v>103861.83631082851</v>
      </c>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row>
    <row r="218" spans="1:74" x14ac:dyDescent="0.35">
      <c r="A218" s="42"/>
      <c r="B218" s="42"/>
      <c r="C218" s="42"/>
      <c r="D218" s="171"/>
      <c r="E218" s="236"/>
      <c r="F218" s="236"/>
      <c r="G218" s="236"/>
      <c r="H218" s="236"/>
      <c r="I218" s="236"/>
      <c r="J218" s="236"/>
      <c r="K218" s="236"/>
      <c r="L218" s="236"/>
      <c r="M218" s="236"/>
      <c r="N218" s="236"/>
      <c r="O218" s="236"/>
      <c r="P218" s="236"/>
      <c r="Q218" s="236"/>
      <c r="R218" s="236"/>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row>
    <row r="219" spans="1:74" x14ac:dyDescent="0.35">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row>
    <row r="220" spans="1:74" ht="15" thickBot="1" x14ac:dyDescent="0.4">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row>
    <row r="221" spans="1:74" ht="18.5" x14ac:dyDescent="0.45">
      <c r="A221" s="439" t="s">
        <v>420</v>
      </c>
      <c r="B221" s="440"/>
      <c r="C221" s="42"/>
      <c r="D221" s="51"/>
      <c r="E221" s="52">
        <v>2021</v>
      </c>
      <c r="F221" s="52">
        <v>2022</v>
      </c>
      <c r="G221" s="52">
        <v>2023</v>
      </c>
      <c r="H221" s="52">
        <v>2024</v>
      </c>
      <c r="I221" s="52">
        <v>2025</v>
      </c>
      <c r="J221" s="52">
        <v>2026</v>
      </c>
      <c r="K221" s="52">
        <v>2027</v>
      </c>
      <c r="L221" s="52">
        <v>2028</v>
      </c>
      <c r="M221" s="52">
        <v>2029</v>
      </c>
      <c r="N221" s="65"/>
      <c r="O221" s="65"/>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row>
    <row r="222" spans="1:74" x14ac:dyDescent="0.35">
      <c r="A222" s="42"/>
      <c r="B222" s="42"/>
      <c r="C222" s="42"/>
      <c r="D222" s="53" t="s">
        <v>404</v>
      </c>
      <c r="E222" s="55">
        <f>SUM(F19,F41,E63,E89,E112,E136,E161,E187,E213)</f>
        <v>10840900</v>
      </c>
      <c r="F222" s="55">
        <f>SUM(G19,G41,F63,F89,F112,F136,F161,F187,F213)</f>
        <v>14471583.333333334</v>
      </c>
      <c r="G222" s="55">
        <f t="shared" ref="G222:M222" si="115">SUM(H19,H41,G63,G89,G112,G136,G161,G187,G213)</f>
        <v>11165762.5</v>
      </c>
      <c r="H222" s="55">
        <f t="shared" si="115"/>
        <v>7083379.166666666</v>
      </c>
      <c r="I222" s="55">
        <f t="shared" si="115"/>
        <v>8920234.5</v>
      </c>
      <c r="J222" s="55">
        <f t="shared" si="115"/>
        <v>13784989.886036759</v>
      </c>
      <c r="K222" s="55">
        <f t="shared" si="115"/>
        <v>10325239.144469518</v>
      </c>
      <c r="L222" s="55">
        <f t="shared" si="115"/>
        <v>15715488.402902275</v>
      </c>
      <c r="M222" s="55">
        <f t="shared" si="115"/>
        <v>9439070.9946683664</v>
      </c>
      <c r="N222" s="46"/>
      <c r="O222" s="46"/>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row>
    <row r="223" spans="1:74" x14ac:dyDescent="0.35">
      <c r="A223" s="42"/>
      <c r="B223" s="42"/>
      <c r="C223" s="42"/>
      <c r="D223" s="53" t="s">
        <v>405</v>
      </c>
      <c r="E223" s="55">
        <f t="shared" ref="E223:M226" si="116">SUM(F20,F42,E64,E90,E113,E137,E162,E188,E214)</f>
        <v>291729.06524999999</v>
      </c>
      <c r="F223" s="55">
        <f t="shared" si="116"/>
        <v>854694.20807000005</v>
      </c>
      <c r="G223" s="55">
        <f t="shared" si="116"/>
        <v>1296718.1869950001</v>
      </c>
      <c r="H223" s="55">
        <f t="shared" si="116"/>
        <v>559473.50838500005</v>
      </c>
      <c r="I223" s="55">
        <f t="shared" si="116"/>
        <v>376012.79385000002</v>
      </c>
      <c r="J223" s="55">
        <f t="shared" si="116"/>
        <v>605814.91532142856</v>
      </c>
      <c r="K223" s="55">
        <f t="shared" si="116"/>
        <v>425506.60234999994</v>
      </c>
      <c r="L223" s="55">
        <f t="shared" si="116"/>
        <v>595758.58962142863</v>
      </c>
      <c r="M223" s="55">
        <f t="shared" si="116"/>
        <v>309763.80208333331</v>
      </c>
      <c r="N223" s="46"/>
      <c r="O223" s="46"/>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row>
    <row r="224" spans="1:74" x14ac:dyDescent="0.35">
      <c r="A224" s="42"/>
      <c r="B224" s="42"/>
      <c r="C224" s="42"/>
      <c r="D224" s="53" t="s">
        <v>406</v>
      </c>
      <c r="E224" s="55">
        <f t="shared" si="116"/>
        <v>1806816.6666666667</v>
      </c>
      <c r="F224" s="55">
        <f t="shared" si="116"/>
        <v>3705820.8333333335</v>
      </c>
      <c r="G224" s="55">
        <f t="shared" si="116"/>
        <v>4082383.3333333335</v>
      </c>
      <c r="H224" s="55">
        <f t="shared" si="116"/>
        <v>2275566.666666667</v>
      </c>
      <c r="I224" s="55">
        <f t="shared" si="116"/>
        <v>1135244.6139632394</v>
      </c>
      <c r="J224" s="55">
        <f t="shared" si="116"/>
        <v>3459750.7415672434</v>
      </c>
      <c r="K224" s="55">
        <f t="shared" si="116"/>
        <v>3359750.7415672434</v>
      </c>
      <c r="L224" s="55">
        <f t="shared" si="116"/>
        <v>6276417.4082339089</v>
      </c>
      <c r="M224" s="55">
        <f t="shared" si="116"/>
        <v>5101439.6939481944</v>
      </c>
      <c r="N224" s="46">
        <f>TREND(E224:M224)</f>
        <v>2091741.1404624544</v>
      </c>
      <c r="O224" s="46">
        <f t="shared" ref="O224:Q224" si="117">TREND(F224:N224)</f>
        <v>3043542.2689350983</v>
      </c>
      <c r="P224" s="46">
        <f t="shared" si="117"/>
        <v>3022278.5571576431</v>
      </c>
      <c r="Q224" s="46">
        <f t="shared" si="117"/>
        <v>2792809.5184745751</v>
      </c>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row>
    <row r="225" spans="1:74" x14ac:dyDescent="0.35">
      <c r="A225" s="42"/>
      <c r="B225" s="42"/>
      <c r="C225" s="42"/>
      <c r="D225" s="53" t="s">
        <v>407</v>
      </c>
      <c r="E225" s="55">
        <f t="shared" si="116"/>
        <v>2098545.731916667</v>
      </c>
      <c r="F225" s="55">
        <f t="shared" si="116"/>
        <v>4560515.0414033337</v>
      </c>
      <c r="G225" s="55">
        <f t="shared" si="116"/>
        <v>5379101.5203283336</v>
      </c>
      <c r="H225" s="55">
        <f t="shared" si="116"/>
        <v>2835040.1750516668</v>
      </c>
      <c r="I225" s="55">
        <f t="shared" si="116"/>
        <v>1511257.4078132394</v>
      </c>
      <c r="J225" s="55">
        <f t="shared" si="116"/>
        <v>4065565.6568886717</v>
      </c>
      <c r="K225" s="55">
        <f t="shared" si="116"/>
        <v>3785257.3439172432</v>
      </c>
      <c r="L225" s="55">
        <f t="shared" si="116"/>
        <v>6872175.9978553373</v>
      </c>
      <c r="M225" s="55">
        <f t="shared" si="116"/>
        <v>5411203.4960315283</v>
      </c>
      <c r="N225" s="46"/>
      <c r="O225" s="46"/>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row>
    <row r="226" spans="1:74" ht="15" thickBot="1" x14ac:dyDescent="0.4">
      <c r="A226" s="42"/>
      <c r="B226" s="42"/>
      <c r="C226" s="42"/>
      <c r="D226" s="54" t="s">
        <v>408</v>
      </c>
      <c r="E226" s="55">
        <f t="shared" si="116"/>
        <v>9034083.333333334</v>
      </c>
      <c r="F226" s="55">
        <f t="shared" si="116"/>
        <v>10765762.5</v>
      </c>
      <c r="G226" s="55">
        <f t="shared" si="116"/>
        <v>7083379.166666666</v>
      </c>
      <c r="H226" s="55">
        <f t="shared" si="116"/>
        <v>4807812.5</v>
      </c>
      <c r="I226" s="55">
        <f t="shared" si="116"/>
        <v>7784989.8860367611</v>
      </c>
      <c r="J226" s="55">
        <f t="shared" si="116"/>
        <v>10325239.144469518</v>
      </c>
      <c r="K226" s="55">
        <f t="shared" si="116"/>
        <v>6965488.4029022744</v>
      </c>
      <c r="L226" s="55">
        <f t="shared" si="116"/>
        <v>9439070.9946683664</v>
      </c>
      <c r="M226" s="55">
        <f t="shared" si="116"/>
        <v>4337631.3007201711</v>
      </c>
      <c r="N226" s="46"/>
      <c r="O226" s="46"/>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row>
    <row r="227" spans="1:74" x14ac:dyDescent="0.35">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row>
    <row r="228" spans="1:74" x14ac:dyDescent="0.35">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row>
  </sheetData>
  <mergeCells count="23">
    <mergeCell ref="A2:Q4"/>
    <mergeCell ref="A25:M26"/>
    <mergeCell ref="A28:B28"/>
    <mergeCell ref="A124:B124"/>
    <mergeCell ref="A29:B29"/>
    <mergeCell ref="A47:M48"/>
    <mergeCell ref="A70:J72"/>
    <mergeCell ref="K70:K71"/>
    <mergeCell ref="A95:I98"/>
    <mergeCell ref="A99:B99"/>
    <mergeCell ref="A100:B100"/>
    <mergeCell ref="A119:J121"/>
    <mergeCell ref="A123:B123"/>
    <mergeCell ref="A193:H195"/>
    <mergeCell ref="A197:B197"/>
    <mergeCell ref="A198:B198"/>
    <mergeCell ref="A221:B221"/>
    <mergeCell ref="A142:I145"/>
    <mergeCell ref="A147:B147"/>
    <mergeCell ref="A148:B148"/>
    <mergeCell ref="A167:K169"/>
    <mergeCell ref="A171:B171"/>
    <mergeCell ref="A172:B172"/>
  </mergeCells>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484A-D893-4535-8E61-46F2DD6FEBEF}">
  <dimension ref="A1:Z204"/>
  <sheetViews>
    <sheetView workbookViewId="0">
      <pane ySplit="1" topLeftCell="A123" activePane="bottomLeft" state="frozen"/>
      <selection pane="bottomLeft" activeCell="G197" sqref="G197"/>
    </sheetView>
  </sheetViews>
  <sheetFormatPr defaultRowHeight="14.5" x14ac:dyDescent="0.35"/>
  <cols>
    <col min="1" max="2" width="31.54296875" style="4" customWidth="1"/>
    <col min="3" max="3" width="11.90625" customWidth="1"/>
    <col min="4" max="4" width="12.54296875" customWidth="1"/>
    <col min="5" max="5" width="12.36328125" customWidth="1"/>
    <col min="6" max="6" width="13.08984375" customWidth="1"/>
    <col min="7" max="7" width="12.6328125" customWidth="1"/>
    <col min="8" max="8" width="13.81640625" bestFit="1" customWidth="1"/>
    <col min="9" max="10" width="12.7265625" bestFit="1" customWidth="1"/>
    <col min="11" max="12" width="13.1796875" customWidth="1"/>
    <col min="14" max="14" width="11.08984375" customWidth="1"/>
    <col min="15" max="15" width="12.26953125" customWidth="1"/>
    <col min="16" max="16" width="11.7265625" customWidth="1"/>
  </cols>
  <sheetData>
    <row r="1" spans="1:19" ht="15" thickBot="1" x14ac:dyDescent="0.4">
      <c r="A1" s="164"/>
      <c r="B1" s="164" t="s">
        <v>503</v>
      </c>
      <c r="C1" s="25">
        <v>2019</v>
      </c>
      <c r="D1" s="25">
        <v>2020</v>
      </c>
      <c r="E1" s="25">
        <v>2021</v>
      </c>
      <c r="F1" s="25">
        <v>2022</v>
      </c>
      <c r="G1" s="25">
        <v>2023</v>
      </c>
      <c r="H1" s="25">
        <v>2024</v>
      </c>
      <c r="I1" s="25">
        <v>2025</v>
      </c>
      <c r="J1" s="25">
        <v>2026</v>
      </c>
      <c r="K1" s="25">
        <v>2027</v>
      </c>
      <c r="L1" s="25">
        <v>2028</v>
      </c>
      <c r="M1" s="66"/>
      <c r="N1" s="66"/>
      <c r="O1" s="66"/>
      <c r="P1" s="66"/>
      <c r="Q1" s="66"/>
      <c r="R1" s="66"/>
      <c r="S1" s="66"/>
    </row>
    <row r="2" spans="1:19" x14ac:dyDescent="0.35">
      <c r="A2" s="6" t="s">
        <v>0</v>
      </c>
      <c r="B2" s="6"/>
      <c r="C2" s="83">
        <f t="shared" ref="C2:L2" si="0">SUM(C3:C5)</f>
        <v>31064266</v>
      </c>
      <c r="D2" s="83">
        <f t="shared" si="0"/>
        <v>36186640</v>
      </c>
      <c r="E2" s="83">
        <f t="shared" si="0"/>
        <v>36792644</v>
      </c>
      <c r="F2" s="83">
        <f t="shared" si="0"/>
        <v>41004218</v>
      </c>
      <c r="G2" s="83">
        <f t="shared" si="0"/>
        <v>44794643</v>
      </c>
      <c r="H2" s="83">
        <f t="shared" si="0"/>
        <v>50177016.249039821</v>
      </c>
      <c r="I2" s="83">
        <f t="shared" si="0"/>
        <v>52227831.421834454</v>
      </c>
      <c r="J2" s="83">
        <f t="shared" si="0"/>
        <v>54002525.94488053</v>
      </c>
      <c r="K2" s="83">
        <f t="shared" si="0"/>
        <v>59152245.838149197</v>
      </c>
      <c r="L2" s="83">
        <f t="shared" si="0"/>
        <v>61423109.694988914</v>
      </c>
    </row>
    <row r="3" spans="1:19" x14ac:dyDescent="0.35">
      <c r="A3" s="4" t="s">
        <v>1</v>
      </c>
      <c r="C3" s="17">
        <v>18304481</v>
      </c>
      <c r="D3" s="17">
        <v>19285257</v>
      </c>
      <c r="E3" s="17">
        <v>31388709</v>
      </c>
      <c r="F3" s="17">
        <v>34375626</v>
      </c>
      <c r="G3" s="17">
        <v>34567240</v>
      </c>
      <c r="H3" s="14">
        <f>H24+H44+H64+H86+H108+H130</f>
        <v>38184094.396642193</v>
      </c>
      <c r="I3" s="14">
        <f>I24+I44+I64+I86+I108+I130</f>
        <v>41009356.173923694</v>
      </c>
      <c r="J3" s="14">
        <f>J24+J44+J64+J86+J108+J130</f>
        <v>44477084.313856095</v>
      </c>
      <c r="K3" s="14">
        <f>K24+K44+K64+K86+K108+K130</f>
        <v>48906953.058027998</v>
      </c>
      <c r="L3" s="14">
        <f>L24+L44+L64+L86+L108+L130</f>
        <v>50373109.656308845</v>
      </c>
      <c r="M3" s="14"/>
    </row>
    <row r="4" spans="1:19" x14ac:dyDescent="0.35">
      <c r="A4" s="4" t="s">
        <v>2</v>
      </c>
      <c r="C4" s="17">
        <f>SUM(C134:C140)</f>
        <v>12695993</v>
      </c>
      <c r="D4" s="17">
        <f t="shared" ref="D4:L4" si="1">SUM(D134:D140)</f>
        <v>16837591</v>
      </c>
      <c r="E4" s="17">
        <f t="shared" si="1"/>
        <v>5185100</v>
      </c>
      <c r="F4" s="17">
        <f t="shared" si="1"/>
        <v>6416479</v>
      </c>
      <c r="G4" s="17">
        <f t="shared" si="1"/>
        <v>9981976</v>
      </c>
      <c r="H4" s="17">
        <f>SUM(H134:H140)</f>
        <v>11832130.052397633</v>
      </c>
      <c r="I4" s="17">
        <f t="shared" si="1"/>
        <v>11038283.487910761</v>
      </c>
      <c r="J4" s="17">
        <f t="shared" si="1"/>
        <v>9321969.9190244395</v>
      </c>
      <c r="K4" s="17">
        <f t="shared" si="1"/>
        <v>10044893.725721201</v>
      </c>
      <c r="L4" s="17">
        <f t="shared" si="1"/>
        <v>10851943.77340007</v>
      </c>
    </row>
    <row r="5" spans="1:19" x14ac:dyDescent="0.35">
      <c r="A5" s="4" t="s">
        <v>3</v>
      </c>
      <c r="B5" s="4" t="s">
        <v>470</v>
      </c>
      <c r="C5" s="17">
        <v>63792</v>
      </c>
      <c r="D5" s="17">
        <v>63792</v>
      </c>
      <c r="E5" s="17">
        <v>218835</v>
      </c>
      <c r="F5" s="17">
        <v>212113</v>
      </c>
      <c r="G5" s="17">
        <v>245427</v>
      </c>
      <c r="H5" s="14">
        <f>AVERAGE(C5:G5)</f>
        <v>160791.79999999999</v>
      </c>
      <c r="I5" s="14">
        <f t="shared" ref="I5:L5" si="2">AVERAGE(D5:H5)</f>
        <v>180191.76</v>
      </c>
      <c r="J5" s="14">
        <f t="shared" si="2"/>
        <v>203471.712</v>
      </c>
      <c r="K5" s="14">
        <f t="shared" si="2"/>
        <v>200399.05440000002</v>
      </c>
      <c r="L5" s="14">
        <f t="shared" si="2"/>
        <v>198056.26528000002</v>
      </c>
    </row>
    <row r="6" spans="1:19" x14ac:dyDescent="0.35">
      <c r="C6" s="23"/>
      <c r="D6" s="23"/>
      <c r="E6" s="23"/>
      <c r="F6" s="23"/>
      <c r="G6" s="23"/>
    </row>
    <row r="7" spans="1:19" x14ac:dyDescent="0.35">
      <c r="A7" s="7" t="s">
        <v>4</v>
      </c>
      <c r="B7" s="7"/>
      <c r="C7" s="23"/>
      <c r="D7" s="23"/>
      <c r="E7" s="23"/>
      <c r="F7" s="23"/>
      <c r="G7" s="23"/>
    </row>
    <row r="8" spans="1:19" ht="29" x14ac:dyDescent="0.35">
      <c r="A8" s="4" t="s">
        <v>430</v>
      </c>
      <c r="C8" s="17"/>
      <c r="D8" s="17"/>
      <c r="E8" s="17"/>
      <c r="F8" s="17"/>
      <c r="G8" s="17"/>
    </row>
    <row r="9" spans="1:19" x14ac:dyDescent="0.35">
      <c r="A9" s="4" t="s">
        <v>5</v>
      </c>
      <c r="C9" s="17">
        <v>194127</v>
      </c>
      <c r="D9" s="17">
        <v>1133655</v>
      </c>
      <c r="E9" s="17">
        <v>1152179</v>
      </c>
      <c r="F9" s="17">
        <v>1152179</v>
      </c>
      <c r="G9" s="24">
        <v>1152179</v>
      </c>
      <c r="H9" s="14">
        <f>G22</f>
        <v>1175179</v>
      </c>
      <c r="I9" s="14">
        <f t="shared" ref="I9:J9" si="3">H22</f>
        <v>1175179</v>
      </c>
      <c r="J9" s="14">
        <f t="shared" si="3"/>
        <v>1175179</v>
      </c>
      <c r="K9" s="14">
        <f t="shared" ref="K9:L9" si="4">J22</f>
        <v>1198638.1300483693</v>
      </c>
      <c r="L9" s="14">
        <f t="shared" si="4"/>
        <v>1198638.1300483693</v>
      </c>
    </row>
    <row r="10" spans="1:19" x14ac:dyDescent="0.35">
      <c r="A10" s="4" t="s">
        <v>6</v>
      </c>
      <c r="C10" s="17">
        <v>-52666</v>
      </c>
      <c r="D10" s="17">
        <v>-85617</v>
      </c>
      <c r="E10" s="17">
        <v>-124589</v>
      </c>
      <c r="F10" s="17">
        <v>-164047</v>
      </c>
      <c r="G10" s="24">
        <v>-203504</v>
      </c>
      <c r="H10" s="14">
        <f>G23</f>
        <v>-243412</v>
      </c>
      <c r="I10" s="14">
        <f t="shared" ref="I10:J10" si="5">H23</f>
        <v>-282269.09835813206</v>
      </c>
      <c r="J10" s="14">
        <f t="shared" si="5"/>
        <v>-321126.19671626412</v>
      </c>
      <c r="K10" s="14">
        <f t="shared" ref="K10:L10" si="6">J23</f>
        <v>-359983.29507439618</v>
      </c>
      <c r="L10" s="14">
        <f t="shared" si="6"/>
        <v>-399616.06566942635</v>
      </c>
    </row>
    <row r="11" spans="1:19" x14ac:dyDescent="0.35">
      <c r="A11" s="4" t="s">
        <v>7</v>
      </c>
      <c r="C11" s="17">
        <f>SUM(C9:C10)</f>
        <v>141461</v>
      </c>
      <c r="D11" s="17">
        <f>SUM(D9:D10)</f>
        <v>1048038</v>
      </c>
      <c r="E11" s="17">
        <f>SUM(E9:E10)</f>
        <v>1027590</v>
      </c>
      <c r="F11" s="17">
        <v>988132</v>
      </c>
      <c r="G11" s="24">
        <v>948675</v>
      </c>
      <c r="H11" s="14">
        <f>SUM(H9:H10)</f>
        <v>931767</v>
      </c>
      <c r="I11" s="14">
        <f t="shared" ref="I11:J11" si="7">SUM(I9:I10)</f>
        <v>892909.90164186794</v>
      </c>
      <c r="J11" s="14">
        <f t="shared" si="7"/>
        <v>854052.80328373588</v>
      </c>
      <c r="K11" s="14">
        <f t="shared" ref="K11" si="8">SUM(K9:K10)</f>
        <v>838654.83497397311</v>
      </c>
      <c r="L11" s="14">
        <f t="shared" ref="L11" si="9">SUM(L9:L10)</f>
        <v>799022.06437894295</v>
      </c>
    </row>
    <row r="12" spans="1:19" x14ac:dyDescent="0.35">
      <c r="A12" s="4" t="s">
        <v>431</v>
      </c>
      <c r="C12" s="17"/>
      <c r="D12" s="17"/>
      <c r="E12" s="17"/>
      <c r="F12" s="17"/>
      <c r="G12" s="23"/>
      <c r="H12" s="14"/>
      <c r="I12" s="14"/>
      <c r="J12" s="14"/>
      <c r="K12" s="14"/>
      <c r="L12" s="14"/>
    </row>
    <row r="13" spans="1:19" x14ac:dyDescent="0.35">
      <c r="A13" s="4" t="s">
        <v>8</v>
      </c>
      <c r="C13" s="17"/>
      <c r="D13" s="17"/>
      <c r="E13" s="17"/>
      <c r="F13" s="17"/>
      <c r="G13" s="23"/>
      <c r="H13" s="14"/>
      <c r="I13" s="14"/>
      <c r="J13" s="14"/>
      <c r="K13" s="14"/>
      <c r="L13" s="14"/>
    </row>
    <row r="14" spans="1:19" x14ac:dyDescent="0.35">
      <c r="A14" s="4" t="s">
        <v>9</v>
      </c>
      <c r="C14" s="17">
        <f>C11</f>
        <v>141461</v>
      </c>
      <c r="D14" s="17">
        <v>1048038</v>
      </c>
      <c r="E14" s="17">
        <f>E11</f>
        <v>1027590</v>
      </c>
      <c r="F14" s="17">
        <v>988132</v>
      </c>
      <c r="G14" s="24">
        <v>948675</v>
      </c>
      <c r="H14" s="14">
        <f>G20</f>
        <v>931767</v>
      </c>
      <c r="I14" s="14">
        <f t="shared" ref="I14:J14" si="10">H20</f>
        <v>892909.90164186794</v>
      </c>
      <c r="J14" s="14">
        <f t="shared" si="10"/>
        <v>854052.80328373588</v>
      </c>
      <c r="K14" s="14">
        <f t="shared" ref="K14:L14" si="11">J20</f>
        <v>838654.83497397299</v>
      </c>
      <c r="L14" s="14">
        <f t="shared" si="11"/>
        <v>799022.06437894283</v>
      </c>
    </row>
    <row r="15" spans="1:19" x14ac:dyDescent="0.35">
      <c r="A15" s="4" t="s">
        <v>10</v>
      </c>
      <c r="C15" s="17">
        <v>939528</v>
      </c>
      <c r="D15" s="17">
        <v>18524</v>
      </c>
      <c r="E15" s="17"/>
      <c r="F15" s="17"/>
      <c r="G15" s="24">
        <v>23000</v>
      </c>
      <c r="H15" s="14"/>
      <c r="I15" s="14"/>
      <c r="J15" s="14">
        <f>J9*(G15/G9)</f>
        <v>23459.130048369218</v>
      </c>
      <c r="K15" s="14"/>
      <c r="L15" s="14"/>
    </row>
    <row r="16" spans="1:19" x14ac:dyDescent="0.35">
      <c r="A16" s="4" t="s">
        <v>11</v>
      </c>
      <c r="C16" s="17"/>
      <c r="D16" s="17" t="s">
        <v>18</v>
      </c>
      <c r="E16" s="17"/>
      <c r="F16" s="17"/>
      <c r="G16" s="24" t="s">
        <v>18</v>
      </c>
      <c r="H16" s="14"/>
      <c r="I16" s="14"/>
      <c r="J16" s="14"/>
      <c r="K16" s="14"/>
      <c r="L16" s="14"/>
    </row>
    <row r="17" spans="1:14" x14ac:dyDescent="0.35">
      <c r="A17" s="4" t="s">
        <v>12</v>
      </c>
      <c r="C17" s="27"/>
      <c r="D17" s="28" t="s">
        <v>18</v>
      </c>
      <c r="E17" s="28"/>
      <c r="F17" s="28"/>
      <c r="G17" s="68" t="s">
        <v>18</v>
      </c>
      <c r="H17" s="77"/>
      <c r="I17" s="77"/>
      <c r="J17" s="77"/>
      <c r="K17" s="77"/>
      <c r="L17" s="81"/>
    </row>
    <row r="18" spans="1:14" x14ac:dyDescent="0.35">
      <c r="A18" s="4" t="s">
        <v>13</v>
      </c>
      <c r="C18" s="30"/>
      <c r="D18" s="31" t="s">
        <v>18</v>
      </c>
      <c r="E18" s="31"/>
      <c r="F18" s="31"/>
      <c r="G18" s="71" t="s">
        <v>18</v>
      </c>
      <c r="H18" s="39"/>
      <c r="I18" s="39"/>
      <c r="J18" s="39"/>
      <c r="K18" s="39"/>
      <c r="L18" s="82"/>
    </row>
    <row r="19" spans="1:14" x14ac:dyDescent="0.35">
      <c r="A19" s="4" t="s">
        <v>14</v>
      </c>
      <c r="C19" s="17">
        <v>-32931</v>
      </c>
      <c r="D19" s="17">
        <v>-38972</v>
      </c>
      <c r="E19" s="17">
        <v>-39458</v>
      </c>
      <c r="F19" s="17">
        <v>-39457</v>
      </c>
      <c r="G19" s="24">
        <v>-39908</v>
      </c>
      <c r="H19" s="14">
        <f>-H9*H25</f>
        <v>-38857.098358132032</v>
      </c>
      <c r="I19" s="14">
        <f t="shared" ref="I19:J19" si="12">-I9*I25</f>
        <v>-38857.098358132032</v>
      </c>
      <c r="J19" s="14">
        <f t="shared" si="12"/>
        <v>-38857.098358132032</v>
      </c>
      <c r="K19" s="14">
        <f t="shared" ref="K19:L19" si="13">-K9*K25</f>
        <v>-39632.770595030153</v>
      </c>
      <c r="L19" s="14">
        <f t="shared" si="13"/>
        <v>-39632.770595030153</v>
      </c>
    </row>
    <row r="20" spans="1:14" x14ac:dyDescent="0.35">
      <c r="A20" s="4" t="s">
        <v>15</v>
      </c>
      <c r="C20" s="17">
        <f t="shared" ref="C20" si="14">SUM(C14:C19)</f>
        <v>1048058</v>
      </c>
      <c r="D20" s="17">
        <f>SUM(D14:D19)</f>
        <v>1027590</v>
      </c>
      <c r="E20" s="17">
        <f>SUM(E14:E19)</f>
        <v>988132</v>
      </c>
      <c r="F20" s="17">
        <v>948675</v>
      </c>
      <c r="G20" s="24">
        <v>931767</v>
      </c>
      <c r="H20" s="14">
        <f>SUM(H14:H19)</f>
        <v>892909.90164186794</v>
      </c>
      <c r="I20" s="14">
        <f t="shared" ref="I20" si="15">SUM(I14:I19)</f>
        <v>854052.80328373588</v>
      </c>
      <c r="J20" s="14">
        <f>SUM(J14:J19)</f>
        <v>838654.83497397299</v>
      </c>
      <c r="K20" s="14">
        <f t="shared" ref="K20" si="16">SUM(K14:K19)</f>
        <v>799022.06437894283</v>
      </c>
      <c r="L20" s="14">
        <f t="shared" ref="L20" si="17">SUM(L14:L19)</f>
        <v>759389.29378391267</v>
      </c>
    </row>
    <row r="21" spans="1:14" ht="29" x14ac:dyDescent="0.35">
      <c r="A21" s="4" t="s">
        <v>432</v>
      </c>
      <c r="C21" s="17"/>
      <c r="D21" s="17"/>
      <c r="E21" s="17"/>
      <c r="F21" s="17"/>
      <c r="G21" s="23"/>
      <c r="H21" s="14"/>
      <c r="I21" s="14"/>
      <c r="J21" s="14"/>
      <c r="K21" s="14"/>
      <c r="L21" s="14"/>
    </row>
    <row r="22" spans="1:14" x14ac:dyDescent="0.35">
      <c r="A22" s="4" t="s">
        <v>16</v>
      </c>
      <c r="C22" s="17">
        <v>1133655</v>
      </c>
      <c r="D22" s="17">
        <v>1152179</v>
      </c>
      <c r="E22" s="17">
        <v>1152179</v>
      </c>
      <c r="F22" s="17">
        <v>1152179</v>
      </c>
      <c r="G22" s="24">
        <v>1175179</v>
      </c>
      <c r="H22" s="14">
        <f>H9+H15-H16</f>
        <v>1175179</v>
      </c>
      <c r="I22" s="14">
        <f t="shared" ref="I22" si="18">I9+I15-I16</f>
        <v>1175179</v>
      </c>
      <c r="J22" s="14">
        <f>J9+J15-J16</f>
        <v>1198638.1300483693</v>
      </c>
      <c r="K22" s="14">
        <f t="shared" ref="K22:L22" si="19">K9+K15-K16</f>
        <v>1198638.1300483693</v>
      </c>
      <c r="L22" s="14">
        <f t="shared" si="19"/>
        <v>1198638.1300483693</v>
      </c>
    </row>
    <row r="23" spans="1:14" x14ac:dyDescent="0.35">
      <c r="A23" s="4" t="s">
        <v>6</v>
      </c>
      <c r="C23" s="17">
        <v>-85617</v>
      </c>
      <c r="D23" s="17">
        <v>-124589</v>
      </c>
      <c r="E23" s="17">
        <v>-164047</v>
      </c>
      <c r="F23" s="17">
        <v>-203504</v>
      </c>
      <c r="G23" s="24">
        <v>-243412</v>
      </c>
      <c r="H23" s="14">
        <f>G23+H19</f>
        <v>-282269.09835813206</v>
      </c>
      <c r="I23" s="14">
        <f t="shared" ref="I23:J23" si="20">H23+I19</f>
        <v>-321126.19671626412</v>
      </c>
      <c r="J23" s="14">
        <f t="shared" si="20"/>
        <v>-359983.29507439618</v>
      </c>
      <c r="K23" s="14">
        <f t="shared" ref="K23:L23" si="21">J23+K19</f>
        <v>-399616.06566942635</v>
      </c>
      <c r="L23" s="14">
        <f t="shared" si="21"/>
        <v>-439248.83626445651</v>
      </c>
    </row>
    <row r="24" spans="1:14" x14ac:dyDescent="0.35">
      <c r="A24" s="4" t="s">
        <v>7</v>
      </c>
      <c r="C24" s="17">
        <f>SUM(C22:C23)</f>
        <v>1048038</v>
      </c>
      <c r="D24" s="17">
        <f>SUM(D22:D23)</f>
        <v>1027590</v>
      </c>
      <c r="E24" s="17">
        <f>SUM(E22:E23)</f>
        <v>988132</v>
      </c>
      <c r="F24" s="17">
        <v>948675</v>
      </c>
      <c r="G24" s="24">
        <v>931767</v>
      </c>
      <c r="H24" s="14">
        <f>SUM(H22:H23)</f>
        <v>892909.90164186794</v>
      </c>
      <c r="I24" s="14">
        <f t="shared" ref="I24:J24" si="22">SUM(I22:I23)</f>
        <v>854052.80328373588</v>
      </c>
      <c r="J24" s="14">
        <f t="shared" si="22"/>
        <v>838654.83497397311</v>
      </c>
      <c r="K24" s="14">
        <f t="shared" ref="K24" si="23">SUM(K22:K23)</f>
        <v>799022.06437894295</v>
      </c>
      <c r="L24" s="14">
        <f t="shared" ref="L24" si="24">SUM(L22:L23)</f>
        <v>759389.29378391278</v>
      </c>
    </row>
    <row r="25" spans="1:14" x14ac:dyDescent="0.35">
      <c r="A25" s="4" t="s">
        <v>433</v>
      </c>
      <c r="C25" s="67">
        <f>-C19/C22</f>
        <v>2.9048520052396894E-2</v>
      </c>
      <c r="D25" s="67">
        <f t="shared" ref="D25:G25" si="25">-D19/D22</f>
        <v>3.3824605378157388E-2</v>
      </c>
      <c r="E25" s="67">
        <f t="shared" si="25"/>
        <v>3.4246414836583548E-2</v>
      </c>
      <c r="F25" s="67">
        <f t="shared" si="25"/>
        <v>3.4245546915887201E-2</v>
      </c>
      <c r="G25" s="67">
        <f t="shared" si="25"/>
        <v>3.3959081978149709E-2</v>
      </c>
      <c r="H25" s="67">
        <f>AVERAGE($C$25:$G$25)</f>
        <v>3.3064833832234949E-2</v>
      </c>
      <c r="I25" s="67">
        <f t="shared" ref="I25:L25" si="26">AVERAGE($C$25:$G$25)</f>
        <v>3.3064833832234949E-2</v>
      </c>
      <c r="J25" s="67">
        <f t="shared" si="26"/>
        <v>3.3064833832234949E-2</v>
      </c>
      <c r="K25" s="67">
        <f t="shared" si="26"/>
        <v>3.3064833832234949E-2</v>
      </c>
      <c r="L25" s="67">
        <f t="shared" si="26"/>
        <v>3.3064833832234949E-2</v>
      </c>
    </row>
    <row r="26" spans="1:14" x14ac:dyDescent="0.35">
      <c r="C26" s="17"/>
      <c r="D26" s="17"/>
      <c r="E26" s="17"/>
      <c r="F26" s="17"/>
      <c r="G26" s="23"/>
    </row>
    <row r="27" spans="1:14" x14ac:dyDescent="0.35">
      <c r="A27" s="7" t="s">
        <v>17</v>
      </c>
      <c r="B27" s="7"/>
      <c r="C27" s="17"/>
      <c r="D27" s="17"/>
      <c r="E27" s="17"/>
      <c r="F27" s="17"/>
      <c r="G27" s="23"/>
    </row>
    <row r="28" spans="1:14" ht="58" x14ac:dyDescent="0.35">
      <c r="A28" s="4" t="s">
        <v>430</v>
      </c>
      <c r="B28" s="4" t="s">
        <v>434</v>
      </c>
      <c r="C28" s="17"/>
      <c r="D28" s="17"/>
      <c r="E28" s="17"/>
      <c r="F28" s="17"/>
      <c r="G28" s="23"/>
    </row>
    <row r="29" spans="1:14" x14ac:dyDescent="0.35">
      <c r="A29" s="4" t="s">
        <v>5</v>
      </c>
      <c r="C29" s="17">
        <v>552959</v>
      </c>
      <c r="D29" s="17">
        <v>551560</v>
      </c>
      <c r="E29" s="17">
        <v>608098</v>
      </c>
      <c r="F29" s="17">
        <v>1253027</v>
      </c>
      <c r="G29" s="24">
        <f>F42</f>
        <v>1212885</v>
      </c>
      <c r="H29" s="14">
        <f>G42</f>
        <v>1299054</v>
      </c>
      <c r="I29" s="14">
        <f t="shared" ref="I29:L30" si="27">H42</f>
        <v>2676788.5052376427</v>
      </c>
      <c r="J29" s="14">
        <f t="shared" si="27"/>
        <v>2577736.0577545092</v>
      </c>
      <c r="K29" s="14">
        <f t="shared" si="27"/>
        <v>2760870.4343529898</v>
      </c>
      <c r="L29" s="14">
        <f t="shared" si="27"/>
        <v>5688959.999450786</v>
      </c>
    </row>
    <row r="30" spans="1:14" ht="29" x14ac:dyDescent="0.35">
      <c r="A30" s="4" t="s">
        <v>6</v>
      </c>
      <c r="B30" s="4" t="s">
        <v>435</v>
      </c>
      <c r="C30" s="17">
        <v>-169358</v>
      </c>
      <c r="D30" s="17">
        <v>-198464</v>
      </c>
      <c r="E30" s="17">
        <v>-222189</v>
      </c>
      <c r="F30" s="17">
        <v>-266271</v>
      </c>
      <c r="G30" s="24">
        <v>-252888</v>
      </c>
      <c r="H30" s="14">
        <f t="shared" ref="H30" si="28">G43</f>
        <v>-309378</v>
      </c>
      <c r="I30" s="14">
        <f t="shared" si="27"/>
        <v>-360913.32404791453</v>
      </c>
      <c r="J30" s="14">
        <f t="shared" si="27"/>
        <v>-467105.33994960506</v>
      </c>
      <c r="K30" s="14">
        <f t="shared" si="27"/>
        <v>-569367.80405530997</v>
      </c>
      <c r="L30" s="14">
        <f t="shared" si="27"/>
        <v>-678895.46994809643</v>
      </c>
      <c r="N30" t="s">
        <v>434</v>
      </c>
    </row>
    <row r="31" spans="1:14" x14ac:dyDescent="0.35">
      <c r="A31" s="4" t="s">
        <v>7</v>
      </c>
      <c r="C31" s="17">
        <f>SUM(C29:C30)</f>
        <v>383601</v>
      </c>
      <c r="D31" s="17">
        <f>SUM(D29:D30)</f>
        <v>353096</v>
      </c>
      <c r="E31" s="17">
        <f>SUM(E29:E30)</f>
        <v>385909</v>
      </c>
      <c r="F31" s="17">
        <v>986756</v>
      </c>
      <c r="G31" s="24">
        <v>959997</v>
      </c>
      <c r="H31" s="14">
        <f>SUM(H29:H30)</f>
        <v>989676</v>
      </c>
      <c r="I31" s="14">
        <f t="shared" ref="I31:L31" si="29">SUM(I29:I30)</f>
        <v>2315875.181189728</v>
      </c>
      <c r="J31" s="14">
        <f t="shared" si="29"/>
        <v>2110630.7178049041</v>
      </c>
      <c r="K31" s="14">
        <f t="shared" si="29"/>
        <v>2191502.6302976799</v>
      </c>
      <c r="L31" s="14">
        <f t="shared" si="29"/>
        <v>5010064.5295026898</v>
      </c>
    </row>
    <row r="32" spans="1:14" x14ac:dyDescent="0.35">
      <c r="A32" s="4" t="s">
        <v>431</v>
      </c>
      <c r="C32" s="17"/>
      <c r="D32" s="17"/>
      <c r="E32" s="17"/>
      <c r="F32" s="17"/>
      <c r="G32" s="23"/>
      <c r="N32" t="s">
        <v>435</v>
      </c>
    </row>
    <row r="33" spans="1:20" x14ac:dyDescent="0.35">
      <c r="A33" s="4" t="s">
        <v>8</v>
      </c>
      <c r="C33" s="17"/>
      <c r="D33" s="17"/>
      <c r="E33" s="17"/>
      <c r="F33" s="17"/>
      <c r="G33" s="23"/>
    </row>
    <row r="34" spans="1:20" x14ac:dyDescent="0.35">
      <c r="A34" s="4" t="s">
        <v>9</v>
      </c>
      <c r="C34" s="17">
        <f>C31</f>
        <v>383601</v>
      </c>
      <c r="D34" s="17">
        <v>353096</v>
      </c>
      <c r="E34" s="17">
        <f>E31</f>
        <v>385909</v>
      </c>
      <c r="F34" s="17">
        <v>986756</v>
      </c>
      <c r="G34" s="24">
        <v>959997</v>
      </c>
      <c r="H34" s="14">
        <f>H31</f>
        <v>989676</v>
      </c>
      <c r="I34" s="14">
        <f t="shared" ref="I34:L34" si="30">I31</f>
        <v>2315875.181189728</v>
      </c>
      <c r="J34" s="14">
        <f t="shared" si="30"/>
        <v>2110630.7178049041</v>
      </c>
      <c r="K34" s="14">
        <f t="shared" si="30"/>
        <v>2191502.6302976799</v>
      </c>
      <c r="L34" s="14">
        <f t="shared" si="30"/>
        <v>5010064.5295026898</v>
      </c>
    </row>
    <row r="35" spans="1:20" x14ac:dyDescent="0.35">
      <c r="A35" s="4" t="s">
        <v>10</v>
      </c>
      <c r="C35" s="17">
        <v>1980</v>
      </c>
      <c r="D35" s="17">
        <v>56538</v>
      </c>
      <c r="E35" s="17">
        <v>644929</v>
      </c>
      <c r="F35" s="17">
        <v>22975</v>
      </c>
      <c r="G35" s="24">
        <v>86169</v>
      </c>
      <c r="H35" s="14">
        <f>E35/E29*H29</f>
        <v>1377734.5052376427</v>
      </c>
      <c r="I35" s="14">
        <f t="shared" ref="I35:L35" si="31">F35/F29*I29</f>
        <v>49080.5193406326</v>
      </c>
      <c r="J35" s="14">
        <f t="shared" si="31"/>
        <v>183134.37659848071</v>
      </c>
      <c r="K35" s="14">
        <f t="shared" si="31"/>
        <v>2928089.5650977958</v>
      </c>
      <c r="L35" s="14">
        <f t="shared" si="31"/>
        <v>104310.48651575889</v>
      </c>
    </row>
    <row r="36" spans="1:20" x14ac:dyDescent="0.35">
      <c r="A36" s="4" t="s">
        <v>11</v>
      </c>
      <c r="C36" s="17"/>
      <c r="D36" s="17" t="s">
        <v>18</v>
      </c>
      <c r="E36" s="17"/>
      <c r="G36" s="24"/>
    </row>
    <row r="37" spans="1:20" x14ac:dyDescent="0.35">
      <c r="A37" s="4" t="s">
        <v>12</v>
      </c>
      <c r="C37" s="27">
        <v>-3379</v>
      </c>
      <c r="D37" s="28" t="s">
        <v>18</v>
      </c>
      <c r="E37" s="27"/>
      <c r="F37" s="28">
        <v>-63117</v>
      </c>
      <c r="G37" s="74"/>
      <c r="H37" s="69"/>
      <c r="I37" s="78">
        <f>F37/F34*I34</f>
        <v>-148132.96682376604</v>
      </c>
      <c r="J37" s="69"/>
      <c r="K37" s="69"/>
      <c r="L37" s="78">
        <f>I37/I34*L34</f>
        <v>-320464.47440767655</v>
      </c>
    </row>
    <row r="38" spans="1:20" x14ac:dyDescent="0.35">
      <c r="A38" s="4" t="s">
        <v>13</v>
      </c>
      <c r="C38" s="30">
        <v>596</v>
      </c>
      <c r="D38" s="31" t="s">
        <v>18</v>
      </c>
      <c r="E38" s="30"/>
      <c r="F38" s="31">
        <f>-F37</f>
        <v>63117</v>
      </c>
      <c r="G38" s="31"/>
      <c r="H38" s="31"/>
      <c r="I38" s="31">
        <f t="shared" ref="I38" si="32">-I37</f>
        <v>148132.96682376604</v>
      </c>
      <c r="J38" s="72"/>
      <c r="K38" s="72"/>
      <c r="L38" s="31">
        <f t="shared" ref="L38" si="33">-L37</f>
        <v>320464.47440767655</v>
      </c>
    </row>
    <row r="39" spans="1:20" x14ac:dyDescent="0.35">
      <c r="A39" s="4" t="s">
        <v>14</v>
      </c>
      <c r="C39" s="17">
        <v>-29702</v>
      </c>
      <c r="D39" s="17">
        <v>-23725</v>
      </c>
      <c r="E39" s="17">
        <v>-44082</v>
      </c>
      <c r="F39" s="17">
        <v>-49734</v>
      </c>
      <c r="G39" s="24">
        <v>-56490</v>
      </c>
      <c r="H39" s="14">
        <f>-H45*H29</f>
        <v>-51535.324047914524</v>
      </c>
      <c r="I39" s="14">
        <f t="shared" ref="I39:L39" si="34">-I45*I29</f>
        <v>-106192.01590169051</v>
      </c>
      <c r="J39" s="14">
        <f t="shared" si="34"/>
        <v>-102262.46410570487</v>
      </c>
      <c r="K39" s="14">
        <f t="shared" si="34"/>
        <v>-109527.66589278648</v>
      </c>
      <c r="L39" s="14">
        <f t="shared" si="34"/>
        <v>-225689.15308164241</v>
      </c>
    </row>
    <row r="40" spans="1:20" x14ac:dyDescent="0.35">
      <c r="A40" s="4" t="s">
        <v>15</v>
      </c>
      <c r="C40" s="17">
        <f>SUM(C34:C39)</f>
        <v>353096</v>
      </c>
      <c r="D40" s="17">
        <v>385909</v>
      </c>
      <c r="E40" s="17">
        <f>SUM(E34:E39)</f>
        <v>986756</v>
      </c>
      <c r="F40" s="17">
        <f t="shared" ref="F40" si="35">SUM(F34:F39)</f>
        <v>959997</v>
      </c>
      <c r="G40" s="17">
        <f>SUM(G34:G39)</f>
        <v>989676</v>
      </c>
      <c r="H40" s="17">
        <f>SUM(H34:H39)</f>
        <v>2315875.181189728</v>
      </c>
      <c r="I40" s="17">
        <f t="shared" ref="I40:L40" si="36">SUM(I34:I39)</f>
        <v>2258763.6846286701</v>
      </c>
      <c r="J40" s="17">
        <f t="shared" si="36"/>
        <v>2191502.6302976799</v>
      </c>
      <c r="K40" s="17">
        <f t="shared" si="36"/>
        <v>5010064.5295026889</v>
      </c>
      <c r="L40" s="17">
        <f t="shared" si="36"/>
        <v>4888685.8629368059</v>
      </c>
    </row>
    <row r="41" spans="1:20" ht="29" x14ac:dyDescent="0.35">
      <c r="A41" s="4" t="s">
        <v>432</v>
      </c>
      <c r="C41" s="17"/>
      <c r="D41" s="17"/>
      <c r="E41" s="17"/>
      <c r="F41" s="17"/>
      <c r="G41" s="23"/>
    </row>
    <row r="42" spans="1:20" x14ac:dyDescent="0.35">
      <c r="A42" s="4" t="s">
        <v>16</v>
      </c>
      <c r="C42" s="17">
        <v>551560</v>
      </c>
      <c r="D42" s="17">
        <v>608098</v>
      </c>
      <c r="E42" s="17">
        <v>1253027</v>
      </c>
      <c r="F42" s="17">
        <f>F29+F35+F37</f>
        <v>1212885</v>
      </c>
      <c r="G42" s="17">
        <f>G29+G35+G37</f>
        <v>1299054</v>
      </c>
      <c r="H42" s="17">
        <f>H29+H35+H37</f>
        <v>2676788.5052376427</v>
      </c>
      <c r="I42" s="17">
        <f t="shared" ref="I42:L42" si="37">I29+I35+I37</f>
        <v>2577736.0577545092</v>
      </c>
      <c r="J42" s="17">
        <f t="shared" si="37"/>
        <v>2760870.4343529898</v>
      </c>
      <c r="K42" s="17">
        <f t="shared" si="37"/>
        <v>5688959.999450786</v>
      </c>
      <c r="L42" s="17">
        <f t="shared" si="37"/>
        <v>5472806.011558868</v>
      </c>
    </row>
    <row r="43" spans="1:20" x14ac:dyDescent="0.35">
      <c r="A43" s="4" t="s">
        <v>6</v>
      </c>
      <c r="C43" s="17">
        <v>-198464</v>
      </c>
      <c r="D43" s="17">
        <v>-222189</v>
      </c>
      <c r="E43" s="17">
        <v>-266271</v>
      </c>
      <c r="F43" s="17">
        <v>-252888</v>
      </c>
      <c r="G43" s="24">
        <f>F43+G39</f>
        <v>-309378</v>
      </c>
      <c r="H43" s="24">
        <f>G43+H39</f>
        <v>-360913.32404791453</v>
      </c>
      <c r="I43" s="24">
        <f t="shared" ref="I43:L43" si="38">H43+I39</f>
        <v>-467105.33994960506</v>
      </c>
      <c r="J43" s="24">
        <f t="shared" si="38"/>
        <v>-569367.80405530997</v>
      </c>
      <c r="K43" s="24">
        <f t="shared" si="38"/>
        <v>-678895.46994809643</v>
      </c>
      <c r="L43" s="24">
        <f t="shared" si="38"/>
        <v>-904584.6230297389</v>
      </c>
    </row>
    <row r="44" spans="1:20" x14ac:dyDescent="0.35">
      <c r="A44" s="4" t="s">
        <v>7</v>
      </c>
      <c r="C44" s="17">
        <f>SUM(C42:C43)</f>
        <v>353096</v>
      </c>
      <c r="D44" s="17">
        <v>385909</v>
      </c>
      <c r="E44" s="17">
        <f>SUM(E42:E43)</f>
        <v>986756</v>
      </c>
      <c r="F44" s="17">
        <v>959997</v>
      </c>
      <c r="G44" s="24">
        <v>989676</v>
      </c>
      <c r="H44" s="14">
        <f>SUM(H42:H43)</f>
        <v>2315875.181189728</v>
      </c>
      <c r="I44" s="14">
        <f t="shared" ref="I44:L44" si="39">SUM(I42:I43)</f>
        <v>2110630.7178049041</v>
      </c>
      <c r="J44" s="14">
        <f t="shared" si="39"/>
        <v>2191502.6302976799</v>
      </c>
      <c r="K44" s="14">
        <f t="shared" si="39"/>
        <v>5010064.5295026898</v>
      </c>
      <c r="L44" s="14">
        <f t="shared" si="39"/>
        <v>4568221.3885291293</v>
      </c>
    </row>
    <row r="45" spans="1:20" x14ac:dyDescent="0.35">
      <c r="C45" s="67">
        <f>-C39/C42</f>
        <v>5.3850895641453331E-2</v>
      </c>
      <c r="D45" s="67">
        <f t="shared" ref="D45:G45" si="40">-D39/D42</f>
        <v>3.9015092961989677E-2</v>
      </c>
      <c r="E45" s="67">
        <f>-E39/E42</f>
        <v>3.518040712610343E-2</v>
      </c>
      <c r="F45" s="67">
        <f t="shared" si="40"/>
        <v>4.100471190591029E-2</v>
      </c>
      <c r="G45" s="67">
        <f t="shared" si="40"/>
        <v>4.3485490210568613E-2</v>
      </c>
      <c r="H45" s="76">
        <f>AVERAGE($D$45:$G$45)</f>
        <v>3.9671425551143003E-2</v>
      </c>
      <c r="I45" s="76">
        <f t="shared" ref="I45:L45" si="41">AVERAGE($D$45:$G$45)</f>
        <v>3.9671425551143003E-2</v>
      </c>
      <c r="J45" s="76">
        <f t="shared" si="41"/>
        <v>3.9671425551143003E-2</v>
      </c>
      <c r="K45" s="76">
        <f t="shared" si="41"/>
        <v>3.9671425551143003E-2</v>
      </c>
      <c r="L45" s="76">
        <f t="shared" si="41"/>
        <v>3.9671425551143003E-2</v>
      </c>
    </row>
    <row r="46" spans="1:20" x14ac:dyDescent="0.35">
      <c r="A46" s="7" t="s">
        <v>19</v>
      </c>
      <c r="B46" s="7"/>
      <c r="C46" s="17"/>
      <c r="D46" s="17"/>
      <c r="E46" s="17"/>
      <c r="F46" s="17"/>
      <c r="G46" s="23"/>
    </row>
    <row r="47" spans="1:20" ht="29" x14ac:dyDescent="0.35">
      <c r="A47" s="4" t="s">
        <v>430</v>
      </c>
      <c r="C47" s="17"/>
      <c r="D47" s="17"/>
      <c r="E47" s="17"/>
      <c r="F47" s="17"/>
      <c r="G47" s="23"/>
    </row>
    <row r="48" spans="1:20" x14ac:dyDescent="0.35">
      <c r="A48" s="4" t="s">
        <v>5</v>
      </c>
      <c r="C48" s="17">
        <v>26398096</v>
      </c>
      <c r="D48" s="17">
        <f>C62</f>
        <v>28025363</v>
      </c>
      <c r="E48" s="17">
        <f t="shared" ref="E48:G48" si="42">D62</f>
        <v>30076319</v>
      </c>
      <c r="F48" s="17">
        <f t="shared" si="42"/>
        <v>42877113</v>
      </c>
      <c r="G48" s="17">
        <f t="shared" si="42"/>
        <v>47846447</v>
      </c>
      <c r="H48" s="17">
        <f t="shared" ref="H48:I48" si="43">G62</f>
        <v>50806667</v>
      </c>
      <c r="I48" s="17">
        <f t="shared" si="43"/>
        <v>55769327.600000001</v>
      </c>
      <c r="J48" s="17">
        <f t="shared" ref="J48:L48" si="44">I62</f>
        <v>61399066.920000002</v>
      </c>
      <c r="K48" s="17">
        <f t="shared" si="44"/>
        <v>67744562.903999999</v>
      </c>
      <c r="L48" s="17">
        <f t="shared" si="44"/>
        <v>72758988.484799996</v>
      </c>
      <c r="N48" t="s">
        <v>437</v>
      </c>
      <c r="R48" t="s">
        <v>436</v>
      </c>
      <c r="S48" t="s">
        <v>9</v>
      </c>
      <c r="T48" t="s">
        <v>10</v>
      </c>
    </row>
    <row r="49" spans="1:23" ht="29" x14ac:dyDescent="0.35">
      <c r="A49" s="4" t="s">
        <v>6</v>
      </c>
      <c r="B49" s="4" t="s">
        <v>437</v>
      </c>
      <c r="C49" s="17">
        <v>-10701284</v>
      </c>
      <c r="D49" s="17">
        <f t="shared" ref="D49:G50" si="45">C63</f>
        <v>-11599581</v>
      </c>
      <c r="E49" s="17">
        <f t="shared" si="45"/>
        <v>-12732611</v>
      </c>
      <c r="F49" s="17">
        <f t="shared" si="45"/>
        <v>-14331393</v>
      </c>
      <c r="G49" s="17">
        <f t="shared" si="45"/>
        <v>-16525472</v>
      </c>
      <c r="H49" s="17">
        <f t="shared" ref="H49:I49" si="46">G63</f>
        <v>-19201926</v>
      </c>
      <c r="I49" s="17">
        <f t="shared" si="46"/>
        <v>-21828395.671463031</v>
      </c>
      <c r="J49" s="17">
        <f t="shared" ref="J49:L49" si="47">I63</f>
        <v>-24704888.085978564</v>
      </c>
      <c r="K49" s="17">
        <f t="shared" si="47"/>
        <v>-27873326.931419965</v>
      </c>
      <c r="L49" s="17">
        <f t="shared" si="47"/>
        <v>-31295621.010592688</v>
      </c>
      <c r="N49" t="s">
        <v>438</v>
      </c>
      <c r="R49" s="17">
        <v>-898297</v>
      </c>
      <c r="S49" s="17">
        <v>15696812</v>
      </c>
      <c r="T49" s="17">
        <v>1627267</v>
      </c>
    </row>
    <row r="50" spans="1:23" ht="29" x14ac:dyDescent="0.35">
      <c r="A50" s="4" t="s">
        <v>7</v>
      </c>
      <c r="B50" s="4" t="s">
        <v>438</v>
      </c>
      <c r="C50" s="17">
        <f>SUM(C48:C49)</f>
        <v>15696812</v>
      </c>
      <c r="D50" s="17">
        <f t="shared" si="45"/>
        <v>16425782</v>
      </c>
      <c r="E50" s="17">
        <f t="shared" si="45"/>
        <v>17343708</v>
      </c>
      <c r="F50" s="17">
        <f t="shared" si="45"/>
        <v>28545720</v>
      </c>
      <c r="G50" s="17">
        <f t="shared" si="45"/>
        <v>31320975</v>
      </c>
      <c r="H50" s="17">
        <f t="shared" ref="H50:I50" si="48">G64</f>
        <v>31604741</v>
      </c>
      <c r="I50" s="17">
        <f t="shared" si="48"/>
        <v>33940931.928536966</v>
      </c>
      <c r="J50" s="17">
        <f t="shared" ref="J50:L50" si="49">I64</f>
        <v>36694178.834021434</v>
      </c>
      <c r="K50" s="17">
        <f t="shared" si="49"/>
        <v>39871235.972580031</v>
      </c>
      <c r="L50" s="17">
        <f t="shared" si="49"/>
        <v>41463367.474207312</v>
      </c>
      <c r="N50" t="s">
        <v>439</v>
      </c>
      <c r="R50" s="17">
        <v>-1133030</v>
      </c>
      <c r="S50" s="17">
        <v>16425782</v>
      </c>
      <c r="T50" s="17">
        <v>2050956</v>
      </c>
    </row>
    <row r="51" spans="1:23" ht="29" x14ac:dyDescent="0.35">
      <c r="A51" s="4" t="s">
        <v>431</v>
      </c>
      <c r="B51" s="4" t="s">
        <v>439</v>
      </c>
      <c r="C51" s="17"/>
      <c r="D51" s="17"/>
      <c r="E51" s="17"/>
      <c r="F51" s="17"/>
      <c r="G51" s="23"/>
      <c r="N51" t="s">
        <v>440</v>
      </c>
      <c r="R51" s="17">
        <v>-1598782</v>
      </c>
      <c r="S51" s="17">
        <v>17343708</v>
      </c>
      <c r="T51" s="17">
        <v>13000848</v>
      </c>
    </row>
    <row r="52" spans="1:23" ht="29" x14ac:dyDescent="0.35">
      <c r="A52" s="4" t="s">
        <v>8</v>
      </c>
      <c r="B52" s="4" t="s">
        <v>440</v>
      </c>
      <c r="C52" s="17"/>
      <c r="D52" s="17"/>
      <c r="E52" s="17"/>
      <c r="F52" s="17"/>
      <c r="G52" s="23"/>
      <c r="R52" s="17">
        <v>-2194079</v>
      </c>
      <c r="S52" s="17">
        <v>28672809</v>
      </c>
      <c r="T52" s="17">
        <v>5174012</v>
      </c>
    </row>
    <row r="53" spans="1:23" x14ac:dyDescent="0.35">
      <c r="A53" s="4" t="s">
        <v>9</v>
      </c>
      <c r="C53" s="17">
        <f>C50</f>
        <v>15696812</v>
      </c>
      <c r="D53" s="17">
        <f t="shared" ref="D53:L53" si="50">D50</f>
        <v>16425782</v>
      </c>
      <c r="E53" s="17">
        <f t="shared" si="50"/>
        <v>17343708</v>
      </c>
      <c r="F53" s="17">
        <f t="shared" si="50"/>
        <v>28545720</v>
      </c>
      <c r="G53" s="17">
        <f t="shared" si="50"/>
        <v>31320975</v>
      </c>
      <c r="H53" s="17">
        <f t="shared" si="50"/>
        <v>31604741</v>
      </c>
      <c r="I53" s="17">
        <f t="shared" si="50"/>
        <v>33940931.928536966</v>
      </c>
      <c r="J53" s="17">
        <f t="shared" si="50"/>
        <v>36694178.834021434</v>
      </c>
      <c r="K53" s="17">
        <f t="shared" si="50"/>
        <v>39871235.972580031</v>
      </c>
      <c r="L53" s="17">
        <f t="shared" si="50"/>
        <v>41463367.474207312</v>
      </c>
      <c r="R53" s="24">
        <v>-2676454</v>
      </c>
      <c r="S53" s="17">
        <v>31652742</v>
      </c>
      <c r="T53" s="24">
        <v>2960220</v>
      </c>
    </row>
    <row r="54" spans="1:23" x14ac:dyDescent="0.35">
      <c r="A54" s="4" t="s">
        <v>10</v>
      </c>
      <c r="C54" s="17">
        <v>1627267</v>
      </c>
      <c r="D54" s="17">
        <v>2050956</v>
      </c>
      <c r="E54" s="17">
        <v>13000848</v>
      </c>
      <c r="F54" s="17">
        <v>5174012</v>
      </c>
      <c r="G54" s="24">
        <v>2960220</v>
      </c>
      <c r="H54" s="14">
        <f>AVERAGE(C54:G54)</f>
        <v>4962660.5999999996</v>
      </c>
      <c r="I54" s="14">
        <f t="shared" ref="I54:K54" si="51">AVERAGE(D54:H54)</f>
        <v>5629739.3200000003</v>
      </c>
      <c r="J54" s="14">
        <f t="shared" si="51"/>
        <v>6345495.9840000002</v>
      </c>
      <c r="K54" s="14">
        <f t="shared" si="51"/>
        <v>5014425.5808000006</v>
      </c>
      <c r="L54" s="14">
        <f>AVERAGE(G54:K54)</f>
        <v>4982508.2969599999</v>
      </c>
      <c r="R54" t="s">
        <v>368</v>
      </c>
    </row>
    <row r="55" spans="1:23" ht="15" thickBot="1" x14ac:dyDescent="0.4">
      <c r="A55" s="4" t="s">
        <v>11</v>
      </c>
      <c r="C55" s="17" t="s">
        <v>18</v>
      </c>
      <c r="D55" s="17" t="s">
        <v>18</v>
      </c>
      <c r="E55" s="17" t="s">
        <v>18</v>
      </c>
      <c r="F55" s="17" t="s">
        <v>18</v>
      </c>
      <c r="G55" s="24" t="s">
        <v>18</v>
      </c>
    </row>
    <row r="56" spans="1:23" x14ac:dyDescent="0.35">
      <c r="A56" s="4" t="s">
        <v>12</v>
      </c>
      <c r="C56" s="27" t="s">
        <v>18</v>
      </c>
      <c r="D56" s="28" t="s">
        <v>18</v>
      </c>
      <c r="E56" s="28">
        <v>-200054</v>
      </c>
      <c r="F56" s="28">
        <v>-204678</v>
      </c>
      <c r="G56" s="68" t="s">
        <v>18</v>
      </c>
      <c r="H56" s="69"/>
      <c r="I56" s="69"/>
      <c r="J56" s="69"/>
      <c r="K56" s="77">
        <f>F56/F53*K53</f>
        <v>-285884.00770398276</v>
      </c>
      <c r="L56" s="70"/>
      <c r="R56" s="35" t="s">
        <v>369</v>
      </c>
      <c r="S56" s="35"/>
    </row>
    <row r="57" spans="1:23" x14ac:dyDescent="0.35">
      <c r="A57" s="4" t="s">
        <v>13</v>
      </c>
      <c r="C57" s="30" t="s">
        <v>18</v>
      </c>
      <c r="D57" s="31" t="s">
        <v>18</v>
      </c>
      <c r="E57" s="31">
        <v>127089</v>
      </c>
      <c r="F57" s="31">
        <v>204678</v>
      </c>
      <c r="G57" s="71" t="s">
        <v>18</v>
      </c>
      <c r="H57" s="72"/>
      <c r="I57" s="72"/>
      <c r="J57" s="72"/>
      <c r="K57" s="39">
        <f>-K56</f>
        <v>285884.00770398276</v>
      </c>
      <c r="L57" s="73"/>
      <c r="R57" t="s">
        <v>370</v>
      </c>
      <c r="S57">
        <v>0.98787792124756557</v>
      </c>
    </row>
    <row r="58" spans="1:23" x14ac:dyDescent="0.35">
      <c r="C58" s="17">
        <f>SUM(C56:C57)</f>
        <v>0</v>
      </c>
      <c r="D58" s="17">
        <f t="shared" ref="D58:E58" si="52">SUM(D56:D57)</f>
        <v>0</v>
      </c>
      <c r="E58" s="17">
        <f t="shared" si="52"/>
        <v>-72965</v>
      </c>
      <c r="F58" s="17">
        <f t="shared" ref="F58" si="53">SUM(F56:F57)</f>
        <v>0</v>
      </c>
      <c r="G58" s="17">
        <f t="shared" ref="G58" si="54">SUM(G56:G57)</f>
        <v>0</v>
      </c>
      <c r="H58" s="17">
        <f t="shared" ref="H58" si="55">SUM(H56:H57)</f>
        <v>0</v>
      </c>
      <c r="I58" s="17">
        <f t="shared" ref="I58" si="56">SUM(I56:I57)</f>
        <v>0</v>
      </c>
      <c r="J58" s="17">
        <f t="shared" ref="J58" si="57">SUM(J56:J57)</f>
        <v>0</v>
      </c>
      <c r="K58" s="17">
        <f t="shared" ref="K58" si="58">SUM(K56:K57)</f>
        <v>0</v>
      </c>
      <c r="L58" s="17">
        <f t="shared" ref="L58" si="59">SUM(L56:L57)</f>
        <v>0</v>
      </c>
      <c r="R58" t="s">
        <v>371</v>
      </c>
      <c r="S58">
        <v>0.97590278728841129</v>
      </c>
    </row>
    <row r="59" spans="1:23" x14ac:dyDescent="0.35">
      <c r="A59" s="4" t="s">
        <v>14</v>
      </c>
      <c r="C59" s="17">
        <v>-898297</v>
      </c>
      <c r="D59" s="17">
        <v>-1133030</v>
      </c>
      <c r="E59" s="17">
        <v>-1598782</v>
      </c>
      <c r="F59" s="17">
        <v>-2194079</v>
      </c>
      <c r="G59" s="24">
        <v>-2676454</v>
      </c>
      <c r="H59" s="14">
        <f>$S$70+$S$71*(H53)+H54*($S$72)</f>
        <v>-2626469.6714630323</v>
      </c>
      <c r="I59" s="14">
        <f>$S$70+$S$71*(I53)+I54*($S$72)</f>
        <v>-2876492.414515534</v>
      </c>
      <c r="J59" s="14">
        <f>$S$70+$S$71*(J53)+J54*($S$72)</f>
        <v>-3168438.8454414019</v>
      </c>
      <c r="K59" s="14">
        <f>$S$70+$S$71*(K53)+K54*($S$72)</f>
        <v>-3422294.0791727235</v>
      </c>
      <c r="L59" s="14">
        <f>$S$70+$S$71*(L53)+L54*($S$72)</f>
        <v>-3573957.9097907101</v>
      </c>
      <c r="R59" t="s">
        <v>372</v>
      </c>
      <c r="S59">
        <v>0.95180557457682258</v>
      </c>
    </row>
    <row r="60" spans="1:23" x14ac:dyDescent="0.35">
      <c r="A60" s="4" t="s">
        <v>15</v>
      </c>
      <c r="C60" s="17">
        <f t="shared" ref="C60:L60" si="60">SUM(C53,C54,C58,C59)</f>
        <v>16425782</v>
      </c>
      <c r="D60" s="17">
        <f t="shared" si="60"/>
        <v>17343708</v>
      </c>
      <c r="E60" s="17">
        <f t="shared" si="60"/>
        <v>28672809</v>
      </c>
      <c r="F60" s="17">
        <f t="shared" si="60"/>
        <v>31525653</v>
      </c>
      <c r="G60" s="17">
        <f t="shared" si="60"/>
        <v>31604741</v>
      </c>
      <c r="H60" s="17">
        <f t="shared" si="60"/>
        <v>33940931.928536966</v>
      </c>
      <c r="I60" s="17">
        <f t="shared" si="60"/>
        <v>36694178.834021434</v>
      </c>
      <c r="J60" s="17">
        <f t="shared" si="60"/>
        <v>39871235.972580031</v>
      </c>
      <c r="K60" s="17">
        <f t="shared" si="60"/>
        <v>41463367.474207304</v>
      </c>
      <c r="L60" s="17">
        <f t="shared" si="60"/>
        <v>42871917.861376598</v>
      </c>
      <c r="R60" t="s">
        <v>373</v>
      </c>
      <c r="S60">
        <v>161770.27867136046</v>
      </c>
    </row>
    <row r="61" spans="1:23" ht="29.5" thickBot="1" x14ac:dyDescent="0.4">
      <c r="A61" s="4" t="s">
        <v>432</v>
      </c>
      <c r="C61" s="17"/>
      <c r="D61" s="17"/>
      <c r="E61" s="17"/>
      <c r="F61" s="17"/>
      <c r="G61" s="23"/>
      <c r="R61" s="19" t="s">
        <v>374</v>
      </c>
      <c r="S61" s="19">
        <v>5</v>
      </c>
    </row>
    <row r="62" spans="1:23" x14ac:dyDescent="0.35">
      <c r="A62" s="4" t="s">
        <v>16</v>
      </c>
      <c r="C62" s="17">
        <v>28025363</v>
      </c>
      <c r="D62" s="17">
        <v>30076319</v>
      </c>
      <c r="E62" s="17">
        <v>42877113</v>
      </c>
      <c r="F62" s="17">
        <v>47846447</v>
      </c>
      <c r="G62" s="14">
        <f t="shared" ref="G62:L62" si="61">G48+G54-G58</f>
        <v>50806667</v>
      </c>
      <c r="H62" s="14">
        <f t="shared" si="61"/>
        <v>55769327.600000001</v>
      </c>
      <c r="I62" s="14">
        <f t="shared" si="61"/>
        <v>61399066.920000002</v>
      </c>
      <c r="J62" s="14">
        <f t="shared" si="61"/>
        <v>67744562.903999999</v>
      </c>
      <c r="K62" s="14">
        <f t="shared" si="61"/>
        <v>72758988.484799996</v>
      </c>
      <c r="L62" s="14">
        <f t="shared" si="61"/>
        <v>77741496.781759992</v>
      </c>
    </row>
    <row r="63" spans="1:23" ht="15" thickBot="1" x14ac:dyDescent="0.4">
      <c r="A63" s="4" t="s">
        <v>6</v>
      </c>
      <c r="C63" s="17">
        <v>-11599581</v>
      </c>
      <c r="D63" s="17">
        <f>C63+D59</f>
        <v>-12732611</v>
      </c>
      <c r="E63" s="17">
        <f>D63+E59</f>
        <v>-14331393</v>
      </c>
      <c r="F63" s="17">
        <f>E63+F59</f>
        <v>-16525472</v>
      </c>
      <c r="G63" s="17">
        <f>F63+G59</f>
        <v>-19201926</v>
      </c>
      <c r="H63" s="17">
        <f>G63+H59</f>
        <v>-21828395.671463031</v>
      </c>
      <c r="I63" s="17">
        <f t="shared" ref="I63:L63" si="62">H63+I59</f>
        <v>-24704888.085978564</v>
      </c>
      <c r="J63" s="17">
        <f t="shared" si="62"/>
        <v>-27873326.931419965</v>
      </c>
      <c r="K63" s="17">
        <f t="shared" si="62"/>
        <v>-31295621.010592688</v>
      </c>
      <c r="L63" s="17">
        <f t="shared" si="62"/>
        <v>-34869578.920383401</v>
      </c>
      <c r="R63" t="s">
        <v>375</v>
      </c>
    </row>
    <row r="64" spans="1:23" x14ac:dyDescent="0.35">
      <c r="A64" s="4" t="s">
        <v>7</v>
      </c>
      <c r="C64" s="17">
        <f>SUM(C62:C63)</f>
        <v>16425782</v>
      </c>
      <c r="D64" s="17">
        <f t="shared" ref="D64:H64" si="63">SUM(D62:D63)</f>
        <v>17343708</v>
      </c>
      <c r="E64" s="17">
        <f t="shared" si="63"/>
        <v>28545720</v>
      </c>
      <c r="F64" s="17">
        <f t="shared" si="63"/>
        <v>31320975</v>
      </c>
      <c r="G64" s="17">
        <f t="shared" si="63"/>
        <v>31604741</v>
      </c>
      <c r="H64" s="17">
        <f t="shared" si="63"/>
        <v>33940931.928536966</v>
      </c>
      <c r="I64" s="17">
        <f t="shared" ref="I64" si="64">SUM(I62:I63)</f>
        <v>36694178.834021434</v>
      </c>
      <c r="J64" s="17">
        <f t="shared" ref="J64" si="65">SUM(J62:J63)</f>
        <v>39871235.972580031</v>
      </c>
      <c r="K64" s="17">
        <f t="shared" ref="K64" si="66">SUM(K62:K63)</f>
        <v>41463367.474207312</v>
      </c>
      <c r="L64" s="17">
        <f t="shared" ref="L64" si="67">SUM(L62:L63)</f>
        <v>42871917.861376591</v>
      </c>
      <c r="R64" s="34"/>
      <c r="S64" s="34" t="s">
        <v>380</v>
      </c>
      <c r="T64" s="34" t="s">
        <v>381</v>
      </c>
      <c r="U64" s="34" t="s">
        <v>382</v>
      </c>
      <c r="V64" s="34" t="s">
        <v>383</v>
      </c>
      <c r="W64" s="34" t="s">
        <v>384</v>
      </c>
    </row>
    <row r="65" spans="1:26" x14ac:dyDescent="0.35">
      <c r="A65" s="4" t="s">
        <v>433</v>
      </c>
      <c r="C65" s="67">
        <f>-C59/C62</f>
        <v>3.205300141875058E-2</v>
      </c>
      <c r="D65" s="67">
        <f t="shared" ref="D65:L65" si="68">-D59/D62</f>
        <v>3.7671830784877632E-2</v>
      </c>
      <c r="E65" s="67">
        <f t="shared" si="68"/>
        <v>3.7287538459037574E-2</v>
      </c>
      <c r="F65" s="67">
        <f t="shared" si="68"/>
        <v>4.5856675627345952E-2</v>
      </c>
      <c r="G65" s="67">
        <f t="shared" si="68"/>
        <v>5.2679188737178924E-2</v>
      </c>
      <c r="H65" s="67">
        <f t="shared" si="68"/>
        <v>4.7095236476601021E-2</v>
      </c>
      <c r="I65" s="67">
        <f t="shared" si="68"/>
        <v>4.6849122613922843E-2</v>
      </c>
      <c r="J65" s="67">
        <f t="shared" si="68"/>
        <v>4.6770378457255062E-2</v>
      </c>
      <c r="K65" s="67">
        <f t="shared" si="68"/>
        <v>4.7036031567256754E-2</v>
      </c>
      <c r="L65" s="67">
        <f t="shared" si="68"/>
        <v>4.5972332123006485E-2</v>
      </c>
      <c r="R65" t="s">
        <v>376</v>
      </c>
      <c r="S65">
        <v>2</v>
      </c>
      <c r="T65">
        <v>2119664908434.3809</v>
      </c>
      <c r="U65">
        <v>1059832454217.1904</v>
      </c>
      <c r="V65">
        <v>40.498575456367419</v>
      </c>
      <c r="W65">
        <v>2.4097212711588704E-2</v>
      </c>
    </row>
    <row r="66" spans="1:26" x14ac:dyDescent="0.35">
      <c r="C66" s="17"/>
      <c r="D66" s="17"/>
      <c r="E66" s="17"/>
      <c r="F66" s="17"/>
      <c r="G66" s="17"/>
      <c r="H66" s="15"/>
      <c r="R66" t="s">
        <v>377</v>
      </c>
      <c r="S66">
        <v>2</v>
      </c>
      <c r="T66">
        <v>52339246122.819237</v>
      </c>
      <c r="U66">
        <v>26169623061.409618</v>
      </c>
    </row>
    <row r="67" spans="1:26" ht="15" thickBot="1" x14ac:dyDescent="0.4">
      <c r="C67" s="17"/>
      <c r="D67" s="17"/>
      <c r="E67" s="17"/>
      <c r="F67" s="17"/>
      <c r="G67" s="40"/>
      <c r="R67" s="19" t="s">
        <v>378</v>
      </c>
      <c r="S67" s="19">
        <v>4</v>
      </c>
      <c r="T67" s="19">
        <v>2172004154557.2002</v>
      </c>
      <c r="U67" s="19"/>
      <c r="V67" s="19"/>
      <c r="W67" s="19"/>
    </row>
    <row r="68" spans="1:26" ht="15" thickBot="1" x14ac:dyDescent="0.4">
      <c r="A68" s="7" t="s">
        <v>20</v>
      </c>
      <c r="B68" s="7"/>
      <c r="C68" s="17"/>
      <c r="D68" s="17"/>
      <c r="E68" s="17"/>
      <c r="F68" s="17"/>
      <c r="G68" s="23"/>
    </row>
    <row r="69" spans="1:26" ht="29" x14ac:dyDescent="0.35">
      <c r="A69" s="4" t="s">
        <v>430</v>
      </c>
      <c r="C69" s="17"/>
      <c r="D69" s="17"/>
      <c r="E69" s="17"/>
      <c r="F69" s="17"/>
      <c r="G69" s="23"/>
      <c r="R69" s="34"/>
      <c r="S69" s="34" t="s">
        <v>385</v>
      </c>
      <c r="T69" s="34" t="s">
        <v>373</v>
      </c>
      <c r="U69" s="34" t="s">
        <v>386</v>
      </c>
      <c r="V69" s="34" t="s">
        <v>387</v>
      </c>
      <c r="W69" s="34" t="s">
        <v>388</v>
      </c>
      <c r="X69" s="34" t="s">
        <v>389</v>
      </c>
      <c r="Y69" s="34" t="s">
        <v>390</v>
      </c>
      <c r="Z69" s="34" t="s">
        <v>391</v>
      </c>
    </row>
    <row r="70" spans="1:26" x14ac:dyDescent="0.35">
      <c r="A70" s="4" t="s">
        <v>5</v>
      </c>
      <c r="C70" s="17">
        <f>SUM(398968,26122,50315,33849)</f>
        <v>509254</v>
      </c>
      <c r="D70" s="17">
        <f>C84</f>
        <v>607542</v>
      </c>
      <c r="E70" s="17">
        <f t="shared" ref="E70:G70" si="69">D84</f>
        <v>609541</v>
      </c>
      <c r="F70" s="17">
        <f t="shared" si="69"/>
        <v>608256</v>
      </c>
      <c r="G70" s="17">
        <f t="shared" si="69"/>
        <v>725651.77053493937</v>
      </c>
      <c r="H70" s="17">
        <f t="shared" ref="H70:I70" si="70">G84</f>
        <v>728039.38799891609</v>
      </c>
      <c r="I70" s="17">
        <f t="shared" si="70"/>
        <v>726504.57637249783</v>
      </c>
      <c r="J70" s="17">
        <f t="shared" ref="J70:L70" si="71">I84</f>
        <v>866722.78143814299</v>
      </c>
      <c r="K70" s="17">
        <f t="shared" si="71"/>
        <v>869574.56590752094</v>
      </c>
      <c r="L70" s="17">
        <f t="shared" si="71"/>
        <v>867741.37779188773</v>
      </c>
      <c r="M70" t="s">
        <v>441</v>
      </c>
      <c r="R70" t="s">
        <v>379</v>
      </c>
      <c r="S70">
        <v>599565.25032028777</v>
      </c>
      <c r="T70">
        <v>271172.68285385403</v>
      </c>
      <c r="U70">
        <v>2.211009029413991</v>
      </c>
      <c r="V70">
        <v>0.1575846646395358</v>
      </c>
      <c r="W70">
        <v>-567196.63379433274</v>
      </c>
      <c r="X70">
        <v>1766327.1344349082</v>
      </c>
      <c r="Y70">
        <v>-567196.63379433274</v>
      </c>
      <c r="Z70">
        <v>1766327.1344349082</v>
      </c>
    </row>
    <row r="71" spans="1:26" x14ac:dyDescent="0.35">
      <c r="A71" s="4" t="s">
        <v>6</v>
      </c>
      <c r="C71" s="17">
        <f>-SUM(245573,25021,2866,18242)</f>
        <v>-291702</v>
      </c>
      <c r="D71" s="17">
        <f t="shared" ref="D71:G72" si="72">C85</f>
        <v>-327523</v>
      </c>
      <c r="E71" s="17">
        <f t="shared" si="72"/>
        <v>-347039</v>
      </c>
      <c r="F71" s="17">
        <f t="shared" si="72"/>
        <v>-367019</v>
      </c>
      <c r="G71" s="17">
        <f t="shared" si="72"/>
        <v>-386984</v>
      </c>
      <c r="H71" s="17">
        <f t="shared" ref="H71:I71" si="73">G85</f>
        <v>-406949</v>
      </c>
      <c r="I71" s="17">
        <f t="shared" si="73"/>
        <v>-428424.5142884606</v>
      </c>
      <c r="J71" s="17">
        <f t="shared" ref="J71:L71" si="74">I85</f>
        <v>-428424.5142884606</v>
      </c>
      <c r="K71" s="17">
        <f t="shared" si="74"/>
        <v>-428424.5142884606</v>
      </c>
      <c r="L71" s="17">
        <f t="shared" si="74"/>
        <v>-428424.5142884606</v>
      </c>
      <c r="M71" t="s">
        <v>442</v>
      </c>
      <c r="R71" t="s">
        <v>9</v>
      </c>
      <c r="S71">
        <v>-9.6030033375354568E-2</v>
      </c>
      <c r="T71">
        <v>1.0749679769198394E-2</v>
      </c>
      <c r="U71">
        <v>-8.9332924735594741</v>
      </c>
      <c r="V71">
        <v>1.2300029142399955E-2</v>
      </c>
      <c r="W71">
        <v>-0.14228217237822863</v>
      </c>
      <c r="X71">
        <v>-4.9777894372480515E-2</v>
      </c>
      <c r="Y71">
        <v>-0.14228217237822863</v>
      </c>
      <c r="Z71">
        <v>-4.9777894372480515E-2</v>
      </c>
    </row>
    <row r="72" spans="1:26" ht="29.5" thickBot="1" x14ac:dyDescent="0.4">
      <c r="A72" s="4" t="s">
        <v>7</v>
      </c>
      <c r="B72" s="4" t="s">
        <v>441</v>
      </c>
      <c r="C72" s="17">
        <f>SUM(C70:C71)</f>
        <v>217552</v>
      </c>
      <c r="D72" s="17">
        <f t="shared" si="72"/>
        <v>280019</v>
      </c>
      <c r="E72" s="17">
        <f t="shared" si="72"/>
        <v>262502</v>
      </c>
      <c r="F72" s="17">
        <f t="shared" si="72"/>
        <v>241237</v>
      </c>
      <c r="G72" s="17">
        <f t="shared" si="72"/>
        <v>338667.77053493937</v>
      </c>
      <c r="H72" s="17">
        <f t="shared" ref="H72:I72" si="75">G86</f>
        <v>321090.38799891609</v>
      </c>
      <c r="I72" s="17">
        <f t="shared" si="75"/>
        <v>298080.06208403723</v>
      </c>
      <c r="J72" s="17">
        <f t="shared" ref="J72:L72" si="76">I86</f>
        <v>438298.26714968239</v>
      </c>
      <c r="K72" s="17">
        <f t="shared" si="76"/>
        <v>441150.05161906034</v>
      </c>
      <c r="L72" s="17">
        <f t="shared" si="76"/>
        <v>439316.86350342713</v>
      </c>
      <c r="R72" s="19" t="s">
        <v>10</v>
      </c>
      <c r="S72" s="19">
        <v>-3.8493583206936008E-2</v>
      </c>
      <c r="T72" s="19">
        <v>1.7358804804012175E-2</v>
      </c>
      <c r="U72" s="19">
        <v>-2.2175249760305449</v>
      </c>
      <c r="V72" s="19">
        <v>0.15686612025895297</v>
      </c>
      <c r="W72" s="19">
        <v>-0.11318249208210709</v>
      </c>
      <c r="X72" s="19">
        <v>3.6195325668235079E-2</v>
      </c>
      <c r="Y72" s="19">
        <v>-0.11318249208210709</v>
      </c>
      <c r="Z72" s="19">
        <v>3.6195325668235079E-2</v>
      </c>
    </row>
    <row r="73" spans="1:26" ht="29" x14ac:dyDescent="0.35">
      <c r="A73" s="4" t="s">
        <v>431</v>
      </c>
      <c r="B73" s="4" t="s">
        <v>442</v>
      </c>
      <c r="C73" s="17"/>
      <c r="D73" s="17"/>
      <c r="E73" s="17"/>
      <c r="F73" s="17"/>
      <c r="G73" s="17"/>
    </row>
    <row r="74" spans="1:26" x14ac:dyDescent="0.35">
      <c r="A74" s="4" t="s">
        <v>8</v>
      </c>
      <c r="C74" s="17"/>
      <c r="D74" s="17"/>
      <c r="E74" s="17"/>
      <c r="F74" s="17"/>
      <c r="G74" s="17"/>
    </row>
    <row r="75" spans="1:26" x14ac:dyDescent="0.35">
      <c r="A75" s="4" t="s">
        <v>9</v>
      </c>
      <c r="C75" s="17">
        <f>SUM(153395,1101,28449,15607)</f>
        <v>198552</v>
      </c>
      <c r="D75" s="17">
        <f>SUM(140497,1093,26259,98035,14135)</f>
        <v>280019</v>
      </c>
      <c r="E75" s="17">
        <f>SUM(127631,748,24492,96987,12664)</f>
        <v>262522</v>
      </c>
      <c r="F75" s="17">
        <f>F72</f>
        <v>241237</v>
      </c>
      <c r="G75" s="17">
        <f t="shared" ref="G75:L75" si="77">G72</f>
        <v>338667.77053493937</v>
      </c>
      <c r="H75" s="17">
        <f t="shared" si="77"/>
        <v>321090.38799891609</v>
      </c>
      <c r="I75" s="17">
        <f t="shared" si="77"/>
        <v>298080.06208403723</v>
      </c>
      <c r="J75" s="17">
        <f t="shared" si="77"/>
        <v>438298.26714968239</v>
      </c>
      <c r="K75" s="17">
        <f t="shared" si="77"/>
        <v>441150.05161906034</v>
      </c>
      <c r="L75" s="17">
        <f t="shared" si="77"/>
        <v>439316.86350342713</v>
      </c>
    </row>
    <row r="76" spans="1:26" x14ac:dyDescent="0.35">
      <c r="A76" s="4" t="s">
        <v>10</v>
      </c>
      <c r="C76" s="17">
        <v>98288</v>
      </c>
      <c r="D76" s="17">
        <v>1999</v>
      </c>
      <c r="E76" s="17"/>
      <c r="F76" s="17">
        <f>C76/C70*F70</f>
        <v>117395.77053493934</v>
      </c>
      <c r="G76" s="17">
        <f>D76/D70*G70</f>
        <v>2387.6174639767187</v>
      </c>
      <c r="I76" s="17">
        <f>F76/F70*I70</f>
        <v>140218.20506564516</v>
      </c>
      <c r="J76" s="17">
        <f>G76/G70*J70</f>
        <v>2851.784469377998</v>
      </c>
      <c r="L76" s="17">
        <f>I76/I70*L70</f>
        <v>167477.45631926123</v>
      </c>
    </row>
    <row r="77" spans="1:26" x14ac:dyDescent="0.35">
      <c r="A77" s="4" t="s">
        <v>11</v>
      </c>
      <c r="C77" s="17"/>
      <c r="D77" s="17"/>
      <c r="E77" s="17"/>
      <c r="F77" s="17">
        <v>0</v>
      </c>
      <c r="G77" s="18">
        <v>0</v>
      </c>
    </row>
    <row r="78" spans="1:26" x14ac:dyDescent="0.35">
      <c r="A78" s="4" t="s">
        <v>12</v>
      </c>
      <c r="C78" s="27"/>
      <c r="D78" s="28"/>
      <c r="E78" s="28">
        <f>-SUM(993,292)</f>
        <v>-1285</v>
      </c>
      <c r="F78" s="28">
        <v>0</v>
      </c>
      <c r="G78" s="68">
        <v>0</v>
      </c>
      <c r="H78" s="78">
        <f>E78/E70*H70</f>
        <v>-1534.8116264182511</v>
      </c>
      <c r="I78" s="69"/>
      <c r="J78" s="69"/>
      <c r="K78" s="78">
        <f>H78/H70*K70</f>
        <v>-1833.1881156331804</v>
      </c>
      <c r="L78" s="70"/>
    </row>
    <row r="79" spans="1:26" x14ac:dyDescent="0.35">
      <c r="A79" s="4" t="s">
        <v>13</v>
      </c>
      <c r="C79" s="30"/>
      <c r="D79" s="31"/>
      <c r="E79" s="31">
        <f>802+157</f>
        <v>959</v>
      </c>
      <c r="F79" s="31">
        <v>0</v>
      </c>
      <c r="G79" s="71">
        <v>0</v>
      </c>
      <c r="H79" s="79">
        <f>E79/E71*H71</f>
        <v>1124.5539867277164</v>
      </c>
      <c r="I79" s="72"/>
      <c r="J79" s="72"/>
      <c r="K79" s="78">
        <f>H79/H71*K71</f>
        <v>1183.8989543037922</v>
      </c>
      <c r="L79" s="73"/>
    </row>
    <row r="80" spans="1:26" x14ac:dyDescent="0.35">
      <c r="C80" s="17">
        <f t="shared" ref="C80:D80" si="78">SUM(C78:C79)</f>
        <v>0</v>
      </c>
      <c r="D80" s="17">
        <f t="shared" si="78"/>
        <v>0</v>
      </c>
      <c r="E80" s="17">
        <f>SUM(E78:E79)</f>
        <v>-326</v>
      </c>
      <c r="F80" s="17">
        <f t="shared" ref="F80:L80" si="79">SUM(F78:F79)</f>
        <v>0</v>
      </c>
      <c r="G80" s="17">
        <f t="shared" si="79"/>
        <v>0</v>
      </c>
      <c r="H80" s="17">
        <f t="shared" si="79"/>
        <v>-410.25763969053469</v>
      </c>
      <c r="I80" s="17">
        <f t="shared" si="79"/>
        <v>0</v>
      </c>
      <c r="J80" s="17">
        <f t="shared" si="79"/>
        <v>0</v>
      </c>
      <c r="K80" s="17">
        <f>SUM(K78:K79)</f>
        <v>-649.28916132938821</v>
      </c>
      <c r="L80" s="17">
        <f t="shared" si="79"/>
        <v>0</v>
      </c>
    </row>
    <row r="81" spans="1:19" x14ac:dyDescent="0.35">
      <c r="A81" s="4" t="s">
        <v>14</v>
      </c>
      <c r="C81" s="17">
        <f>-SUM(12898,8,2190,253,1472)</f>
        <v>-16821</v>
      </c>
      <c r="D81" s="17">
        <f>-SUM(12886,345,1767,3047,1471)</f>
        <v>-19516</v>
      </c>
      <c r="E81" s="17">
        <f>-SUM(12885,345,4112,1167,1471)</f>
        <v>-19980</v>
      </c>
      <c r="F81" s="17">
        <f>-18494-1471</f>
        <v>-19965</v>
      </c>
      <c r="G81" s="18">
        <v>-19965</v>
      </c>
      <c r="H81" s="75">
        <f>-H87*H70</f>
        <v>-21475.514288460585</v>
      </c>
    </row>
    <row r="82" spans="1:19" x14ac:dyDescent="0.35">
      <c r="A82" s="4" t="s">
        <v>15</v>
      </c>
      <c r="C82" s="17">
        <f t="shared" ref="C82:D82" si="80">SUM(C75,C76,C80,C81)</f>
        <v>280019</v>
      </c>
      <c r="D82" s="17">
        <f t="shared" si="80"/>
        <v>262502</v>
      </c>
      <c r="E82" s="17">
        <f>SUM(E75,E76,E80,E81)</f>
        <v>242216</v>
      </c>
      <c r="F82" s="17">
        <f t="shared" ref="F82" si="81">SUM(F75,F76,F80,F81)</f>
        <v>338667.77053493937</v>
      </c>
      <c r="G82" s="17">
        <f>SUM(G75,G76,G80,G81)</f>
        <v>321090.38799891609</v>
      </c>
      <c r="H82" s="17">
        <f t="shared" ref="H82:L82" si="82">SUM(H75,H76,H80,H81)</f>
        <v>299204.61607076495</v>
      </c>
      <c r="I82" s="17">
        <f t="shared" si="82"/>
        <v>438298.26714968239</v>
      </c>
      <c r="J82" s="17">
        <f t="shared" si="82"/>
        <v>441150.0516190604</v>
      </c>
      <c r="K82" s="17">
        <f t="shared" si="82"/>
        <v>440500.76245773095</v>
      </c>
      <c r="L82" s="17">
        <f t="shared" si="82"/>
        <v>606794.31982268835</v>
      </c>
    </row>
    <row r="83" spans="1:19" ht="29" x14ac:dyDescent="0.35">
      <c r="A83" s="4" t="s">
        <v>432</v>
      </c>
      <c r="C83" s="17"/>
      <c r="D83" s="17"/>
      <c r="E83" s="17"/>
      <c r="F83" s="17"/>
      <c r="G83" s="17"/>
    </row>
    <row r="84" spans="1:19" x14ac:dyDescent="0.35">
      <c r="A84" s="4" t="s">
        <v>16</v>
      </c>
      <c r="C84" s="17">
        <f>C70+C76+C78</f>
        <v>607542</v>
      </c>
      <c r="D84" s="17">
        <f>D70+D76+D78</f>
        <v>609541</v>
      </c>
      <c r="E84" s="17">
        <f>E70+E76+E78</f>
        <v>608256</v>
      </c>
      <c r="F84" s="17">
        <f t="shared" ref="F84:J84" si="83">F70+F76+F78</f>
        <v>725651.77053493937</v>
      </c>
      <c r="G84" s="17">
        <f t="shared" si="83"/>
        <v>728039.38799891609</v>
      </c>
      <c r="H84" s="17">
        <f t="shared" si="83"/>
        <v>726504.57637249783</v>
      </c>
      <c r="I84" s="17">
        <f t="shared" si="83"/>
        <v>866722.78143814299</v>
      </c>
      <c r="J84" s="17">
        <f t="shared" si="83"/>
        <v>869574.56590752094</v>
      </c>
      <c r="K84" s="17">
        <f>K70+K76+K78</f>
        <v>867741.37779188773</v>
      </c>
      <c r="L84" s="17">
        <f>L70+L76+L78</f>
        <v>1035218.834111149</v>
      </c>
    </row>
    <row r="85" spans="1:19" x14ac:dyDescent="0.35">
      <c r="A85" s="4" t="s">
        <v>6</v>
      </c>
      <c r="C85" s="17">
        <f>-SUM(258471,25029,24056,253,19714)</f>
        <v>-327523</v>
      </c>
      <c r="D85" s="17">
        <f>C85+D81</f>
        <v>-347039</v>
      </c>
      <c r="E85" s="17">
        <f t="shared" ref="E85:L85" si="84">D85+E81</f>
        <v>-367019</v>
      </c>
      <c r="F85" s="17">
        <f t="shared" si="84"/>
        <v>-386984</v>
      </c>
      <c r="G85" s="17">
        <f t="shared" si="84"/>
        <v>-406949</v>
      </c>
      <c r="H85" s="17">
        <f t="shared" si="84"/>
        <v>-428424.5142884606</v>
      </c>
      <c r="I85" s="17">
        <f t="shared" si="84"/>
        <v>-428424.5142884606</v>
      </c>
      <c r="J85" s="17">
        <f t="shared" si="84"/>
        <v>-428424.5142884606</v>
      </c>
      <c r="K85" s="17">
        <f t="shared" si="84"/>
        <v>-428424.5142884606</v>
      </c>
      <c r="L85" s="17">
        <f t="shared" si="84"/>
        <v>-428424.5142884606</v>
      </c>
    </row>
    <row r="86" spans="1:19" x14ac:dyDescent="0.35">
      <c r="A86" s="4" t="s">
        <v>7</v>
      </c>
      <c r="C86" s="17">
        <f>SUM(C84:C85)</f>
        <v>280019</v>
      </c>
      <c r="D86" s="17">
        <f t="shared" ref="D86:L86" si="85">SUM(D84:D85)</f>
        <v>262502</v>
      </c>
      <c r="E86" s="17">
        <f t="shared" si="85"/>
        <v>241237</v>
      </c>
      <c r="F86" s="17">
        <f t="shared" si="85"/>
        <v>338667.77053493937</v>
      </c>
      <c r="G86" s="17">
        <f t="shared" si="85"/>
        <v>321090.38799891609</v>
      </c>
      <c r="H86" s="17">
        <f t="shared" si="85"/>
        <v>298080.06208403723</v>
      </c>
      <c r="I86" s="17">
        <f t="shared" si="85"/>
        <v>438298.26714968239</v>
      </c>
      <c r="J86" s="17">
        <f t="shared" si="85"/>
        <v>441150.05161906034</v>
      </c>
      <c r="K86" s="17">
        <f t="shared" si="85"/>
        <v>439316.86350342713</v>
      </c>
      <c r="L86" s="17">
        <f t="shared" si="85"/>
        <v>606794.31982268835</v>
      </c>
    </row>
    <row r="87" spans="1:19" x14ac:dyDescent="0.35">
      <c r="A87" s="4" t="s">
        <v>433</v>
      </c>
      <c r="C87" s="67">
        <f>-C81/C84</f>
        <v>2.7686974727673147E-2</v>
      </c>
      <c r="D87" s="67">
        <f t="shared" ref="D87:G87" si="86">-D81/D84</f>
        <v>3.2017534505472151E-2</v>
      </c>
      <c r="E87" s="67">
        <f t="shared" si="86"/>
        <v>3.284801136363636E-2</v>
      </c>
      <c r="F87" s="67">
        <f t="shared" si="86"/>
        <v>2.7513196839969271E-2</v>
      </c>
      <c r="G87" s="67">
        <f t="shared" si="86"/>
        <v>2.7422966846444474E-2</v>
      </c>
      <c r="H87" s="76">
        <f>AVERAGE($C$87:$G$87)</f>
        <v>2.9497736856639079E-2</v>
      </c>
      <c r="I87" s="76">
        <f t="shared" ref="I87:L87" si="87">AVERAGE($C$87:$G$87)</f>
        <v>2.9497736856639079E-2</v>
      </c>
      <c r="J87" s="76">
        <f t="shared" si="87"/>
        <v>2.9497736856639079E-2</v>
      </c>
      <c r="K87" s="76">
        <f t="shared" si="87"/>
        <v>2.9497736856639079E-2</v>
      </c>
      <c r="L87" s="76">
        <f t="shared" si="87"/>
        <v>2.9497736856639079E-2</v>
      </c>
    </row>
    <row r="88" spans="1:19" x14ac:dyDescent="0.35">
      <c r="C88" s="17"/>
      <c r="D88" s="17"/>
      <c r="E88" s="17"/>
      <c r="F88" s="15"/>
      <c r="G88" s="23"/>
    </row>
    <row r="89" spans="1:19" x14ac:dyDescent="0.35">
      <c r="A89" s="7" t="s">
        <v>23</v>
      </c>
      <c r="B89" s="7"/>
      <c r="C89" s="17"/>
      <c r="D89" s="17"/>
      <c r="E89" s="17"/>
      <c r="F89" s="17"/>
      <c r="G89" s="23"/>
    </row>
    <row r="90" spans="1:19" ht="29" x14ac:dyDescent="0.35">
      <c r="A90" s="4" t="s">
        <v>430</v>
      </c>
      <c r="C90" s="17"/>
      <c r="D90" s="17"/>
      <c r="E90" s="17"/>
      <c r="F90" s="17"/>
      <c r="G90" s="23"/>
    </row>
    <row r="91" spans="1:19" ht="29" x14ac:dyDescent="0.35">
      <c r="A91" s="4" t="s">
        <v>5</v>
      </c>
      <c r="B91" s="4" t="s">
        <v>444</v>
      </c>
      <c r="C91" s="17">
        <v>313611</v>
      </c>
      <c r="D91" s="17">
        <f>C106</f>
        <v>391517</v>
      </c>
      <c r="E91" s="17">
        <f t="shared" ref="E91:G91" si="88">D106</f>
        <v>429465</v>
      </c>
      <c r="F91" s="17">
        <f t="shared" si="88"/>
        <v>497747</v>
      </c>
      <c r="G91" s="17">
        <f t="shared" si="88"/>
        <v>632100</v>
      </c>
      <c r="H91" s="17">
        <f t="shared" ref="H91:I91" si="89">G106</f>
        <v>719772</v>
      </c>
      <c r="I91" s="17">
        <f t="shared" si="89"/>
        <v>954852.22895915108</v>
      </c>
      <c r="J91" s="17">
        <f t="shared" ref="J91:L91" si="90">I106</f>
        <v>1136191.7797603977</v>
      </c>
      <c r="K91" s="17">
        <f t="shared" si="90"/>
        <v>1441066.2579853535</v>
      </c>
      <c r="L91" s="17">
        <f t="shared" si="90"/>
        <v>1638760.8191015387</v>
      </c>
      <c r="M91" t="s">
        <v>436</v>
      </c>
      <c r="N91" t="s">
        <v>9</v>
      </c>
      <c r="O91" t="s">
        <v>10</v>
      </c>
      <c r="P91" t="s">
        <v>443</v>
      </c>
      <c r="R91" t="s">
        <v>368</v>
      </c>
    </row>
    <row r="92" spans="1:19" ht="29.5" thickBot="1" x14ac:dyDescent="0.4">
      <c r="A92" s="4" t="s">
        <v>6</v>
      </c>
      <c r="B92" s="4" t="s">
        <v>445</v>
      </c>
      <c r="C92" s="17">
        <v>-211409</v>
      </c>
      <c r="D92" s="17">
        <f t="shared" ref="D92:D93" si="91">C107</f>
        <v>-244804</v>
      </c>
      <c r="E92" s="17">
        <f t="shared" ref="E92:G92" si="92">D107</f>
        <v>-209813</v>
      </c>
      <c r="F92" s="17">
        <f t="shared" si="92"/>
        <v>-252281</v>
      </c>
      <c r="G92" s="17">
        <f t="shared" si="92"/>
        <v>-330208</v>
      </c>
      <c r="H92" s="17">
        <f t="shared" ref="H92:I92" si="93">G107</f>
        <v>-424310</v>
      </c>
      <c r="I92" s="17">
        <f t="shared" si="93"/>
        <v>-520905.25710249593</v>
      </c>
      <c r="J92" s="17">
        <f t="shared" ref="J92:L92" si="94">I107</f>
        <v>-644588.06809645623</v>
      </c>
      <c r="K92" s="17">
        <f t="shared" si="94"/>
        <v>-817373.06298854807</v>
      </c>
      <c r="L92" s="17">
        <f t="shared" si="94"/>
        <v>-1010739.6036544632</v>
      </c>
      <c r="M92">
        <v>-37040</v>
      </c>
      <c r="N92">
        <v>102202</v>
      </c>
      <c r="O92">
        <v>81726</v>
      </c>
      <c r="P92">
        <v>-175</v>
      </c>
    </row>
    <row r="93" spans="1:19" x14ac:dyDescent="0.35">
      <c r="A93" s="4" t="s">
        <v>7</v>
      </c>
      <c r="C93" s="17">
        <f>SUM(C91:C92)</f>
        <v>102202</v>
      </c>
      <c r="D93" s="17">
        <f t="shared" si="91"/>
        <v>146713</v>
      </c>
      <c r="E93" s="17">
        <f t="shared" ref="E93:G93" si="95">D108</f>
        <v>219652</v>
      </c>
      <c r="F93" s="17">
        <f t="shared" si="95"/>
        <v>245466</v>
      </c>
      <c r="G93" s="17">
        <f t="shared" si="95"/>
        <v>301892</v>
      </c>
      <c r="H93" s="17">
        <f t="shared" ref="H93:I93" si="96">G108</f>
        <v>295462</v>
      </c>
      <c r="I93" s="17">
        <f t="shared" si="96"/>
        <v>433946.97185665515</v>
      </c>
      <c r="J93" s="17">
        <f t="shared" ref="J93:L93" si="97">I108</f>
        <v>491603.7116639415</v>
      </c>
      <c r="K93" s="17">
        <f t="shared" si="97"/>
        <v>623693.1949968054</v>
      </c>
      <c r="L93" s="17">
        <f t="shared" si="97"/>
        <v>628021.21544707555</v>
      </c>
      <c r="M93">
        <v>-66541</v>
      </c>
      <c r="N93">
        <v>146713</v>
      </c>
      <c r="O93">
        <v>145239</v>
      </c>
      <c r="P93">
        <v>-5759</v>
      </c>
      <c r="R93" s="35" t="s">
        <v>369</v>
      </c>
      <c r="S93" s="35"/>
    </row>
    <row r="94" spans="1:19" x14ac:dyDescent="0.35">
      <c r="A94" s="4" t="s">
        <v>431</v>
      </c>
      <c r="C94" s="17"/>
      <c r="D94" s="17"/>
      <c r="E94" s="17"/>
      <c r="F94" s="17"/>
      <c r="G94" s="23"/>
      <c r="M94">
        <v>-69372</v>
      </c>
      <c r="N94">
        <v>219652</v>
      </c>
      <c r="O94">
        <v>98451</v>
      </c>
      <c r="P94">
        <v>-3265</v>
      </c>
      <c r="R94" t="s">
        <v>370</v>
      </c>
      <c r="S94">
        <v>0.98356338227677886</v>
      </c>
    </row>
    <row r="95" spans="1:19" x14ac:dyDescent="0.35">
      <c r="A95" s="4" t="s">
        <v>8</v>
      </c>
      <c r="C95" s="17"/>
      <c r="D95" s="17"/>
      <c r="E95" s="17"/>
      <c r="F95" s="17"/>
      <c r="G95" s="23"/>
      <c r="M95">
        <v>-86589</v>
      </c>
      <c r="N95">
        <v>245466</v>
      </c>
      <c r="O95">
        <v>143901</v>
      </c>
      <c r="P95">
        <v>-886</v>
      </c>
      <c r="R95" t="s">
        <v>371</v>
      </c>
      <c r="S95">
        <v>0.96739692695573698</v>
      </c>
    </row>
    <row r="96" spans="1:19" x14ac:dyDescent="0.35">
      <c r="A96" s="4" t="s">
        <v>9</v>
      </c>
      <c r="C96" s="17">
        <f>C93</f>
        <v>102202</v>
      </c>
      <c r="D96" s="17">
        <f t="shared" ref="D96:L96" si="98">D93</f>
        <v>146713</v>
      </c>
      <c r="E96" s="17">
        <f t="shared" si="98"/>
        <v>219652</v>
      </c>
      <c r="F96" s="17">
        <f t="shared" si="98"/>
        <v>245466</v>
      </c>
      <c r="G96" s="17">
        <f t="shared" si="98"/>
        <v>301892</v>
      </c>
      <c r="H96" s="17">
        <f t="shared" si="98"/>
        <v>295462</v>
      </c>
      <c r="I96" s="17">
        <f t="shared" si="98"/>
        <v>433946.97185665515</v>
      </c>
      <c r="J96" s="17">
        <f t="shared" si="98"/>
        <v>491603.7116639415</v>
      </c>
      <c r="K96" s="17">
        <f t="shared" si="98"/>
        <v>623693.1949968054</v>
      </c>
      <c r="L96" s="17">
        <f t="shared" si="98"/>
        <v>628021.21544707555</v>
      </c>
      <c r="M96">
        <v>-102483</v>
      </c>
      <c r="N96">
        <v>301892</v>
      </c>
      <c r="O96">
        <v>96493</v>
      </c>
      <c r="P96">
        <v>-440</v>
      </c>
      <c r="R96" t="s">
        <v>372</v>
      </c>
      <c r="S96">
        <v>0.86958770782294792</v>
      </c>
    </row>
    <row r="97" spans="1:26" x14ac:dyDescent="0.35">
      <c r="A97" s="4" t="s">
        <v>10</v>
      </c>
      <c r="C97" s="17">
        <v>81726</v>
      </c>
      <c r="D97" s="17">
        <v>145239</v>
      </c>
      <c r="E97" s="17">
        <v>98451</v>
      </c>
      <c r="F97" s="17">
        <v>143901</v>
      </c>
      <c r="G97" s="24">
        <v>96493</v>
      </c>
      <c r="H97" s="75">
        <f>D97/D91*H91</f>
        <v>267010.02895915118</v>
      </c>
      <c r="I97" s="75">
        <f>E97/E91*I91</f>
        <v>218891.31080124664</v>
      </c>
      <c r="J97" s="75">
        <f t="shared" ref="J97:K97" si="99">F97/F91*J91</f>
        <v>328478.39022495563</v>
      </c>
      <c r="K97" s="75">
        <f t="shared" si="99"/>
        <v>219985.45551618529</v>
      </c>
      <c r="L97" s="75">
        <f>H97/H91*L91</f>
        <v>607922.47234599874</v>
      </c>
      <c r="R97" t="s">
        <v>373</v>
      </c>
      <c r="S97">
        <v>8846.0140282933171</v>
      </c>
    </row>
    <row r="98" spans="1:26" x14ac:dyDescent="0.35">
      <c r="A98" s="4" t="s">
        <v>455</v>
      </c>
      <c r="C98" s="17"/>
      <c r="D98" s="17"/>
      <c r="E98" s="17"/>
      <c r="F98" s="17"/>
      <c r="G98" s="24"/>
      <c r="H98" s="75"/>
      <c r="I98" s="75"/>
      <c r="J98" s="75"/>
      <c r="K98" s="75"/>
      <c r="L98" s="75">
        <v>66765.636264777742</v>
      </c>
    </row>
    <row r="99" spans="1:26" ht="15" thickBot="1" x14ac:dyDescent="0.4">
      <c r="A99" s="4" t="s">
        <v>11</v>
      </c>
      <c r="C99" s="17"/>
      <c r="D99" s="67"/>
      <c r="E99" s="67"/>
      <c r="F99" s="67"/>
      <c r="G99" s="67"/>
      <c r="H99" s="67"/>
      <c r="I99" s="76"/>
      <c r="R99" s="19" t="s">
        <v>374</v>
      </c>
      <c r="S99" s="19">
        <v>5</v>
      </c>
    </row>
    <row r="100" spans="1:26" x14ac:dyDescent="0.35">
      <c r="A100" s="4" t="s">
        <v>12</v>
      </c>
      <c r="C100" s="27">
        <v>-3820</v>
      </c>
      <c r="D100" s="28">
        <v>-107291</v>
      </c>
      <c r="E100" s="28">
        <v>-30169</v>
      </c>
      <c r="F100" s="28">
        <v>-9548</v>
      </c>
      <c r="G100" s="68">
        <v>-8821</v>
      </c>
      <c r="H100" s="77">
        <f>AVERAGE(C100:G100)</f>
        <v>-31929.8</v>
      </c>
      <c r="I100" s="77">
        <f t="shared" ref="I100:L101" si="100">AVERAGE(D100:H100)</f>
        <v>-37551.759999999995</v>
      </c>
      <c r="J100" s="77">
        <f t="shared" si="100"/>
        <v>-23603.912</v>
      </c>
      <c r="K100" s="77">
        <f t="shared" si="100"/>
        <v>-22290.894399999997</v>
      </c>
      <c r="L100" s="77">
        <f t="shared" si="100"/>
        <v>-24839.473279999998</v>
      </c>
      <c r="M100" t="s">
        <v>444</v>
      </c>
    </row>
    <row r="101" spans="1:26" ht="15" thickBot="1" x14ac:dyDescent="0.4">
      <c r="A101" s="4" t="s">
        <v>13</v>
      </c>
      <c r="C101" s="30">
        <v>3645</v>
      </c>
      <c r="D101" s="31">
        <v>101532</v>
      </c>
      <c r="E101" s="31">
        <v>26904</v>
      </c>
      <c r="F101" s="31">
        <v>8662</v>
      </c>
      <c r="G101" s="71">
        <v>8381</v>
      </c>
      <c r="H101" s="77">
        <f t="shared" ref="H101" si="101">AVERAGE(C101:G101)</f>
        <v>29824.799999999999</v>
      </c>
      <c r="I101" s="77">
        <f t="shared" si="100"/>
        <v>35060.759999999995</v>
      </c>
      <c r="J101" s="77">
        <f t="shared" si="100"/>
        <v>21766.511999999999</v>
      </c>
      <c r="K101" s="77">
        <f t="shared" si="100"/>
        <v>20739.0144</v>
      </c>
      <c r="L101" s="77">
        <f t="shared" si="100"/>
        <v>23154.417280000001</v>
      </c>
      <c r="M101" t="s">
        <v>445</v>
      </c>
      <c r="R101" t="s">
        <v>375</v>
      </c>
    </row>
    <row r="102" spans="1:26" x14ac:dyDescent="0.35">
      <c r="C102" s="18">
        <f t="shared" ref="C102:F102" si="102">SUM(C100:C101)</f>
        <v>-175</v>
      </c>
      <c r="D102" s="18">
        <f t="shared" si="102"/>
        <v>-5759</v>
      </c>
      <c r="E102" s="18">
        <f t="shared" si="102"/>
        <v>-3265</v>
      </c>
      <c r="F102" s="18">
        <f t="shared" si="102"/>
        <v>-886</v>
      </c>
      <c r="G102" s="18">
        <f>SUM(G100:G101)</f>
        <v>-440</v>
      </c>
      <c r="H102" s="77">
        <f>AVERAGE(C102:G102)</f>
        <v>-2105</v>
      </c>
      <c r="I102" s="77">
        <f t="shared" ref="I102:L102" si="103">AVERAGE(D102:H102)</f>
        <v>-2491</v>
      </c>
      <c r="J102" s="77">
        <f t="shared" si="103"/>
        <v>-1837.4</v>
      </c>
      <c r="K102" s="77">
        <f t="shared" si="103"/>
        <v>-1551.8799999999999</v>
      </c>
      <c r="L102" s="77">
        <f t="shared" si="103"/>
        <v>-1685.0559999999998</v>
      </c>
      <c r="R102" s="34"/>
      <c r="S102" s="34" t="s">
        <v>380</v>
      </c>
      <c r="T102" s="34" t="s">
        <v>381</v>
      </c>
      <c r="U102" s="34" t="s">
        <v>382</v>
      </c>
      <c r="V102" s="34" t="s">
        <v>383</v>
      </c>
      <c r="W102" s="34" t="s">
        <v>384</v>
      </c>
    </row>
    <row r="103" spans="1:26" x14ac:dyDescent="0.35">
      <c r="A103" s="4" t="s">
        <v>14</v>
      </c>
      <c r="C103" s="17">
        <v>-37040</v>
      </c>
      <c r="D103" s="17">
        <v>-66541</v>
      </c>
      <c r="E103" s="17">
        <v>-69372</v>
      </c>
      <c r="F103" s="17">
        <v>-86589</v>
      </c>
      <c r="G103" s="18">
        <v>-102483</v>
      </c>
      <c r="H103" s="14">
        <f>$S$108+$S$109*(H96)+H97*($S$110)+$S$111*(H102)</f>
        <v>-126420.05710249596</v>
      </c>
      <c r="I103" s="14">
        <f t="shared" ref="I103:L103" si="104">$S$108+$S$109*(I96)+I97*($S$110)+$S$111*(I102)</f>
        <v>-158743.57099396028</v>
      </c>
      <c r="J103" s="14">
        <f t="shared" si="104"/>
        <v>-194551.5068920918</v>
      </c>
      <c r="K103" s="14">
        <f t="shared" si="104"/>
        <v>-214105.55506591513</v>
      </c>
      <c r="L103" s="14">
        <f t="shared" si="104"/>
        <v>-283451.88790509943</v>
      </c>
      <c r="R103" t="s">
        <v>376</v>
      </c>
      <c r="S103">
        <v>3</v>
      </c>
      <c r="T103">
        <v>2321888785.8112378</v>
      </c>
      <c r="U103">
        <v>773962928.60374594</v>
      </c>
      <c r="V103">
        <v>9.8906517763153552</v>
      </c>
      <c r="W103">
        <v>0.22864479620302666</v>
      </c>
    </row>
    <row r="104" spans="1:26" x14ac:dyDescent="0.35">
      <c r="A104" s="4" t="s">
        <v>15</v>
      </c>
      <c r="C104" s="17">
        <f>SUM(C96,C97,C102,C103)</f>
        <v>146713</v>
      </c>
      <c r="D104" s="17">
        <f t="shared" ref="D104:G104" si="105">SUM(D96,D97,D102,D103)</f>
        <v>219652</v>
      </c>
      <c r="E104" s="17">
        <f t="shared" si="105"/>
        <v>245466</v>
      </c>
      <c r="F104" s="17">
        <f t="shared" si="105"/>
        <v>301892</v>
      </c>
      <c r="G104" s="17">
        <f t="shared" si="105"/>
        <v>295462</v>
      </c>
      <c r="H104" s="17">
        <f>SUM(H96,H97,H102,H103)</f>
        <v>433946.97185665515</v>
      </c>
      <c r="I104" s="17">
        <f t="shared" ref="I104" si="106">SUM(I96,I97,I102,I103)</f>
        <v>491603.7116639415</v>
      </c>
      <c r="J104" s="17">
        <f t="shared" ref="J104" si="107">SUM(J96,J97,J102,J103)</f>
        <v>623693.19499680528</v>
      </c>
      <c r="K104" s="17">
        <f t="shared" ref="K104" si="108">SUM(K96,K97,K102,K103)</f>
        <v>628021.21544707555</v>
      </c>
      <c r="L104" s="17">
        <f>SUM(L96,L97,L102,L103,L98)</f>
        <v>1017572.3801527524</v>
      </c>
      <c r="R104" t="s">
        <v>377</v>
      </c>
      <c r="S104">
        <v>1</v>
      </c>
      <c r="T104">
        <v>78251964.188762158</v>
      </c>
      <c r="U104">
        <v>78251964.188762158</v>
      </c>
    </row>
    <row r="105" spans="1:26" ht="29.5" thickBot="1" x14ac:dyDescent="0.4">
      <c r="A105" s="4" t="s">
        <v>432</v>
      </c>
      <c r="C105" s="17"/>
      <c r="D105" s="17"/>
      <c r="E105" s="17"/>
      <c r="F105" s="17"/>
      <c r="G105" s="23"/>
      <c r="R105" s="19" t="s">
        <v>378</v>
      </c>
      <c r="S105" s="19">
        <v>4</v>
      </c>
      <c r="T105" s="19">
        <v>2400140750</v>
      </c>
      <c r="U105" s="19"/>
      <c r="V105" s="19"/>
      <c r="W105" s="19"/>
    </row>
    <row r="106" spans="1:26" ht="15" thickBot="1" x14ac:dyDescent="0.4">
      <c r="A106" s="4" t="s">
        <v>16</v>
      </c>
      <c r="C106" s="17">
        <v>391517</v>
      </c>
      <c r="D106" s="17">
        <f>D91+D97+D100</f>
        <v>429465</v>
      </c>
      <c r="E106" s="17">
        <f>E91+E97+E100</f>
        <v>497747</v>
      </c>
      <c r="F106" s="17">
        <f>F91+F97+F100</f>
        <v>632100</v>
      </c>
      <c r="G106" s="17">
        <f>G91+G97+G100</f>
        <v>719772</v>
      </c>
      <c r="H106" s="17">
        <f>H91+H97+H100</f>
        <v>954852.22895915108</v>
      </c>
      <c r="I106" s="17">
        <f t="shared" ref="I106:L106" si="109">I91+I97+I100</f>
        <v>1136191.7797603977</v>
      </c>
      <c r="J106" s="17">
        <f t="shared" si="109"/>
        <v>1441066.2579853535</v>
      </c>
      <c r="K106" s="17">
        <f t="shared" si="109"/>
        <v>1638760.8191015387</v>
      </c>
      <c r="L106" s="17">
        <f t="shared" si="109"/>
        <v>2221843.8181675375</v>
      </c>
    </row>
    <row r="107" spans="1:26" x14ac:dyDescent="0.35">
      <c r="A107" s="4" t="s">
        <v>6</v>
      </c>
      <c r="C107" s="17">
        <v>-244804</v>
      </c>
      <c r="D107" s="17">
        <f>C107+D103+D101</f>
        <v>-209813</v>
      </c>
      <c r="E107" s="17">
        <f t="shared" ref="E107:G107" si="110">D107+E103+E101</f>
        <v>-252281</v>
      </c>
      <c r="F107" s="17">
        <f t="shared" si="110"/>
        <v>-330208</v>
      </c>
      <c r="G107" s="17">
        <f t="shared" si="110"/>
        <v>-424310</v>
      </c>
      <c r="H107" s="17">
        <f t="shared" ref="H107:L107" si="111">G107+H103+H101</f>
        <v>-520905.25710249593</v>
      </c>
      <c r="I107" s="17">
        <f t="shared" si="111"/>
        <v>-644588.06809645623</v>
      </c>
      <c r="J107" s="17">
        <f t="shared" si="111"/>
        <v>-817373.06298854807</v>
      </c>
      <c r="K107" s="17">
        <f t="shared" si="111"/>
        <v>-1010739.6036544632</v>
      </c>
      <c r="L107" s="17">
        <f t="shared" si="111"/>
        <v>-1271037.0742795628</v>
      </c>
      <c r="R107" s="34"/>
      <c r="S107" s="34" t="s">
        <v>385</v>
      </c>
      <c r="T107" s="34" t="s">
        <v>373</v>
      </c>
      <c r="U107" s="34" t="s">
        <v>386</v>
      </c>
      <c r="V107" s="34" t="s">
        <v>387</v>
      </c>
      <c r="W107" s="34" t="s">
        <v>388</v>
      </c>
      <c r="X107" s="34" t="s">
        <v>389</v>
      </c>
      <c r="Y107" s="34" t="s">
        <v>390</v>
      </c>
      <c r="Z107" s="34" t="s">
        <v>391</v>
      </c>
    </row>
    <row r="108" spans="1:26" x14ac:dyDescent="0.35">
      <c r="A108" s="4" t="s">
        <v>7</v>
      </c>
      <c r="C108" s="17">
        <f>SUM(C106:C107)</f>
        <v>146713</v>
      </c>
      <c r="D108" s="17">
        <f>SUM(D106:D107)</f>
        <v>219652</v>
      </c>
      <c r="E108" s="17">
        <f t="shared" ref="E108:H108" si="112">SUM(E106:E107)</f>
        <v>245466</v>
      </c>
      <c r="F108" s="17">
        <f t="shared" si="112"/>
        <v>301892</v>
      </c>
      <c r="G108" s="17">
        <f t="shared" si="112"/>
        <v>295462</v>
      </c>
      <c r="H108" s="17">
        <f t="shared" si="112"/>
        <v>433946.97185665515</v>
      </c>
      <c r="I108" s="17">
        <f t="shared" ref="I108" si="113">SUM(I106:I107)</f>
        <v>491603.7116639415</v>
      </c>
      <c r="J108" s="17">
        <f t="shared" ref="J108" si="114">SUM(J106:J107)</f>
        <v>623693.1949968054</v>
      </c>
      <c r="K108" s="17">
        <f t="shared" ref="K108" si="115">SUM(K106:K107)</f>
        <v>628021.21544707555</v>
      </c>
      <c r="L108" s="17">
        <f t="shared" ref="L108" si="116">SUM(L106:L107)</f>
        <v>950806.74388797465</v>
      </c>
      <c r="R108" t="s">
        <v>379</v>
      </c>
      <c r="S108">
        <v>7949.0103016211633</v>
      </c>
      <c r="T108">
        <v>20288.812022212471</v>
      </c>
      <c r="U108">
        <v>0.39179279165869729</v>
      </c>
      <c r="V108">
        <v>0.76227902363618349</v>
      </c>
      <c r="W108">
        <v>-249844.78910637327</v>
      </c>
      <c r="X108">
        <v>265742.8097096156</v>
      </c>
      <c r="Y108">
        <v>-249844.78910637327</v>
      </c>
      <c r="Z108">
        <v>265742.8097096156</v>
      </c>
    </row>
    <row r="109" spans="1:26" x14ac:dyDescent="0.35">
      <c r="A109" s="4" t="s">
        <v>403</v>
      </c>
      <c r="C109" s="67">
        <f>-C103/C106</f>
        <v>9.4606364474594973E-2</v>
      </c>
      <c r="D109" s="67">
        <f t="shared" ref="D109:L109" si="117">-D103/D106</f>
        <v>0.15493928492426623</v>
      </c>
      <c r="E109" s="67">
        <f t="shared" si="117"/>
        <v>0.13937201027831408</v>
      </c>
      <c r="F109" s="67">
        <f t="shared" si="117"/>
        <v>0.13698623635500712</v>
      </c>
      <c r="G109" s="67">
        <f t="shared" si="117"/>
        <v>0.14238258781947616</v>
      </c>
      <c r="H109" s="67">
        <f t="shared" si="117"/>
        <v>0.13239750955003976</v>
      </c>
      <c r="I109" s="67">
        <f t="shared" si="117"/>
        <v>0.13971547217797722</v>
      </c>
      <c r="J109" s="67">
        <f t="shared" si="117"/>
        <v>0.13500524754779816</v>
      </c>
      <c r="K109" s="67">
        <f t="shared" si="117"/>
        <v>0.13065088728646801</v>
      </c>
      <c r="L109" s="67">
        <f t="shared" si="117"/>
        <v>0.12757507327354628</v>
      </c>
      <c r="R109" t="s">
        <v>9</v>
      </c>
      <c r="S109">
        <v>-0.29304217802897325</v>
      </c>
      <c r="T109">
        <v>6.0515663110564721E-2</v>
      </c>
      <c r="U109">
        <v>-4.8424186890850489</v>
      </c>
      <c r="V109">
        <v>0.12964488274963576</v>
      </c>
      <c r="W109">
        <v>-1.0619665832571838</v>
      </c>
      <c r="X109">
        <v>0.47588222719923723</v>
      </c>
      <c r="Y109">
        <v>-1.0619665832571838</v>
      </c>
      <c r="Z109">
        <v>0.47588222719923723</v>
      </c>
    </row>
    <row r="110" spans="1:26" x14ac:dyDescent="0.35">
      <c r="C110" s="17"/>
      <c r="D110" s="17"/>
      <c r="E110" s="17"/>
      <c r="F110" s="17"/>
      <c r="G110" s="23"/>
      <c r="R110" t="s">
        <v>10</v>
      </c>
      <c r="S110">
        <v>-0.17532888931374205</v>
      </c>
      <c r="T110">
        <v>0.18654088328416707</v>
      </c>
      <c r="U110">
        <v>-0.93989524562642268</v>
      </c>
      <c r="V110">
        <v>0.5197184038814332</v>
      </c>
      <c r="W110">
        <v>-2.5455555439892388</v>
      </c>
      <c r="X110">
        <v>2.1948977653617545</v>
      </c>
      <c r="Y110">
        <v>-2.5455555439892388</v>
      </c>
      <c r="Z110">
        <v>2.1948977653617545</v>
      </c>
    </row>
    <row r="111" spans="1:26" ht="15" thickBot="1" x14ac:dyDescent="0.4">
      <c r="A111" s="7" t="s">
        <v>24</v>
      </c>
      <c r="B111" s="7"/>
      <c r="C111" s="17"/>
      <c r="D111" s="17"/>
      <c r="E111" s="17"/>
      <c r="F111" s="17"/>
      <c r="G111" s="23"/>
      <c r="R111" s="19" t="s">
        <v>443</v>
      </c>
      <c r="S111" s="19">
        <v>0.46159980345964496</v>
      </c>
      <c r="T111" s="19">
        <v>2.3872212748280415</v>
      </c>
      <c r="U111" s="19">
        <v>0.19336280567158373</v>
      </c>
      <c r="V111" s="19">
        <v>0.87840207558642391</v>
      </c>
      <c r="W111" s="19">
        <v>-29.870922465057436</v>
      </c>
      <c r="X111" s="19">
        <v>30.794122071976727</v>
      </c>
      <c r="Y111" s="19">
        <v>-29.870922465057436</v>
      </c>
      <c r="Z111" s="19">
        <v>30.794122071976727</v>
      </c>
    </row>
    <row r="112" spans="1:26" ht="29" x14ac:dyDescent="0.35">
      <c r="A112" s="4" t="s">
        <v>430</v>
      </c>
      <c r="C112" s="17"/>
      <c r="D112" s="17"/>
      <c r="E112" s="17"/>
      <c r="F112" s="17"/>
      <c r="G112" s="23"/>
    </row>
    <row r="113" spans="1:26" ht="29" x14ac:dyDescent="0.35">
      <c r="A113" s="4" t="s">
        <v>5</v>
      </c>
      <c r="B113" s="4" t="s">
        <v>450</v>
      </c>
      <c r="C113" s="17">
        <v>95636</v>
      </c>
      <c r="D113" s="17">
        <f>C128</f>
        <v>96315</v>
      </c>
      <c r="E113" s="17">
        <f t="shared" ref="E113:G115" si="118">D128</f>
        <v>101168</v>
      </c>
      <c r="F113" s="17">
        <f t="shared" si="118"/>
        <v>351154</v>
      </c>
      <c r="G113" s="17">
        <f t="shared" si="118"/>
        <v>444937</v>
      </c>
      <c r="H113" s="17">
        <f t="shared" ref="H113:L113" si="119">G128</f>
        <v>483068</v>
      </c>
      <c r="I113" s="17">
        <f t="shared" si="119"/>
        <v>544729.20000000007</v>
      </c>
      <c r="J113" s="17">
        <f t="shared" si="119"/>
        <v>618586.84000000008</v>
      </c>
      <c r="K113" s="17">
        <f t="shared" si="119"/>
        <v>708841.62938854529</v>
      </c>
      <c r="L113" s="17">
        <f t="shared" si="119"/>
        <v>765153.91098854528</v>
      </c>
      <c r="M113" t="s">
        <v>436</v>
      </c>
      <c r="N113" t="s">
        <v>9</v>
      </c>
      <c r="O113" t="s">
        <v>10</v>
      </c>
      <c r="P113" t="s">
        <v>170</v>
      </c>
      <c r="Q113" t="s">
        <v>443</v>
      </c>
      <c r="R113" t="s">
        <v>368</v>
      </c>
    </row>
    <row r="114" spans="1:26" ht="29.5" thickBot="1" x14ac:dyDescent="0.4">
      <c r="A114" s="4" t="s">
        <v>6</v>
      </c>
      <c r="B114" s="4" t="s">
        <v>451</v>
      </c>
      <c r="C114" s="17">
        <v>-35340</v>
      </c>
      <c r="D114" s="17">
        <f t="shared" ref="D114:D115" si="120">C129</f>
        <v>-45482</v>
      </c>
      <c r="E114" s="17">
        <f t="shared" si="118"/>
        <v>-55292</v>
      </c>
      <c r="F114" s="17">
        <f t="shared" si="118"/>
        <v>-97824</v>
      </c>
      <c r="G114" s="17">
        <f t="shared" si="118"/>
        <v>-154868</v>
      </c>
      <c r="H114" s="17">
        <f t="shared" ref="H114:L114" si="121">G129</f>
        <v>-197997</v>
      </c>
      <c r="I114" s="17">
        <f t="shared" si="121"/>
        <v>-242378.84866705947</v>
      </c>
      <c r="J114" s="17">
        <f t="shared" si="121"/>
        <v>-197995</v>
      </c>
      <c r="K114" s="17">
        <f t="shared" si="121"/>
        <v>-197994</v>
      </c>
      <c r="L114" s="17">
        <f t="shared" si="121"/>
        <v>-197993</v>
      </c>
      <c r="M114" s="17">
        <v>-12385</v>
      </c>
      <c r="N114" s="17">
        <v>60296</v>
      </c>
      <c r="O114" s="17">
        <v>3571</v>
      </c>
      <c r="P114" s="17">
        <v>0</v>
      </c>
      <c r="Q114" s="17">
        <v>-649</v>
      </c>
    </row>
    <row r="115" spans="1:26" x14ac:dyDescent="0.35">
      <c r="A115" s="4" t="s">
        <v>7</v>
      </c>
      <c r="B115" s="4" t="s">
        <v>452</v>
      </c>
      <c r="C115" s="17">
        <f>SUM(C113:C114)</f>
        <v>60296</v>
      </c>
      <c r="D115" s="17">
        <f t="shared" si="120"/>
        <v>50833</v>
      </c>
      <c r="E115" s="17">
        <f t="shared" si="118"/>
        <v>45876</v>
      </c>
      <c r="F115" s="17">
        <f t="shared" si="118"/>
        <v>253330</v>
      </c>
      <c r="G115" s="17">
        <f t="shared" si="118"/>
        <v>290069</v>
      </c>
      <c r="H115" s="17">
        <f>G130</f>
        <v>285071</v>
      </c>
      <c r="I115" s="17">
        <f>H130</f>
        <v>302350.35133294063</v>
      </c>
      <c r="J115" s="17">
        <f t="shared" ref="J115:L115" si="122">I130</f>
        <v>420591.84000000008</v>
      </c>
      <c r="K115" s="17">
        <f t="shared" si="122"/>
        <v>510847.62938854529</v>
      </c>
      <c r="L115" s="17">
        <f t="shared" si="122"/>
        <v>567160.91098854528</v>
      </c>
      <c r="M115" s="17">
        <v>-9943</v>
      </c>
      <c r="N115" s="17">
        <v>50833</v>
      </c>
      <c r="O115" s="17">
        <v>4989</v>
      </c>
      <c r="P115" s="17">
        <v>-136</v>
      </c>
      <c r="Q115" s="17">
        <v>-3</v>
      </c>
      <c r="R115" s="35" t="s">
        <v>369</v>
      </c>
      <c r="S115" s="35"/>
    </row>
    <row r="116" spans="1:26" x14ac:dyDescent="0.35">
      <c r="A116" s="4" t="s">
        <v>431</v>
      </c>
      <c r="B116" s="4" t="s">
        <v>456</v>
      </c>
      <c r="C116" s="17"/>
      <c r="D116" s="17"/>
      <c r="E116" s="17"/>
      <c r="F116" s="17"/>
      <c r="G116" s="23"/>
      <c r="M116" s="17">
        <v>-42776</v>
      </c>
      <c r="N116" s="17">
        <v>45876</v>
      </c>
      <c r="O116" s="17">
        <v>247145</v>
      </c>
      <c r="P116" s="17">
        <v>5596</v>
      </c>
      <c r="Q116" s="17">
        <v>-2521</v>
      </c>
      <c r="R116" t="s">
        <v>370</v>
      </c>
      <c r="S116">
        <v>1</v>
      </c>
    </row>
    <row r="117" spans="1:26" x14ac:dyDescent="0.35">
      <c r="A117" s="4" t="s">
        <v>8</v>
      </c>
      <c r="C117" s="17"/>
      <c r="D117" s="17"/>
      <c r="E117" s="17"/>
      <c r="F117" s="17"/>
      <c r="G117" s="23"/>
      <c r="M117" s="17">
        <v>-63863</v>
      </c>
      <c r="N117" s="17">
        <v>253194</v>
      </c>
      <c r="O117" s="17">
        <v>128008</v>
      </c>
      <c r="P117" s="17">
        <v>0</v>
      </c>
      <c r="Q117" s="17">
        <v>-27406</v>
      </c>
      <c r="R117" t="s">
        <v>371</v>
      </c>
      <c r="S117">
        <v>1</v>
      </c>
    </row>
    <row r="118" spans="1:26" x14ac:dyDescent="0.35">
      <c r="A118" s="4" t="s">
        <v>9</v>
      </c>
      <c r="C118" s="17">
        <f>C115</f>
        <v>60296</v>
      </c>
      <c r="D118" s="17">
        <f t="shared" ref="D118:F118" si="123">D115</f>
        <v>50833</v>
      </c>
      <c r="E118" s="17">
        <f t="shared" si="123"/>
        <v>45876</v>
      </c>
      <c r="F118" s="17">
        <f t="shared" si="123"/>
        <v>253330</v>
      </c>
      <c r="G118" s="17">
        <f>G115</f>
        <v>290069</v>
      </c>
      <c r="H118" s="17">
        <f>H115</f>
        <v>285071</v>
      </c>
      <c r="I118" s="17">
        <f t="shared" ref="I118:L118" si="124">I115</f>
        <v>302350.35133294063</v>
      </c>
      <c r="J118" s="17">
        <f t="shared" si="124"/>
        <v>420591.84000000008</v>
      </c>
      <c r="K118" s="17">
        <f t="shared" si="124"/>
        <v>510847.62938854529</v>
      </c>
      <c r="L118" s="17">
        <f t="shared" si="124"/>
        <v>567160.91098854528</v>
      </c>
      <c r="M118" s="18">
        <v>-60404</v>
      </c>
      <c r="N118" s="17">
        <v>289933</v>
      </c>
      <c r="O118" s="18">
        <v>20856</v>
      </c>
      <c r="P118" s="23">
        <v>0</v>
      </c>
      <c r="Q118" s="17">
        <v>-21705</v>
      </c>
      <c r="R118" t="s">
        <v>372</v>
      </c>
      <c r="S118">
        <v>65535</v>
      </c>
    </row>
    <row r="119" spans="1:26" x14ac:dyDescent="0.35">
      <c r="A119" s="4" t="s">
        <v>10</v>
      </c>
      <c r="C119" s="17">
        <v>3571</v>
      </c>
      <c r="D119" s="17">
        <v>4989</v>
      </c>
      <c r="E119" s="17">
        <v>247145</v>
      </c>
      <c r="F119" s="17">
        <v>128008</v>
      </c>
      <c r="G119" s="18">
        <v>20856</v>
      </c>
      <c r="H119" s="14">
        <f>AVERAGE(C119:G119)</f>
        <v>80913.8</v>
      </c>
      <c r="I119" s="14">
        <f t="shared" ref="I119:L119" si="125">AVERAGE(D119:H119)</f>
        <v>96382.36</v>
      </c>
      <c r="J119" s="14">
        <f t="shared" si="125"/>
        <v>114661.03200000001</v>
      </c>
      <c r="K119" s="14">
        <f t="shared" si="125"/>
        <v>88164.238400000002</v>
      </c>
      <c r="L119" s="14">
        <f t="shared" si="125"/>
        <v>80195.486080000017</v>
      </c>
      <c r="R119" t="s">
        <v>373</v>
      </c>
      <c r="S119">
        <v>0</v>
      </c>
    </row>
    <row r="120" spans="1:26" ht="15" thickBot="1" x14ac:dyDescent="0.4">
      <c r="A120" s="4" t="s">
        <v>170</v>
      </c>
      <c r="C120" s="17"/>
      <c r="D120" s="17"/>
      <c r="E120" s="17">
        <v>5596</v>
      </c>
      <c r="F120" s="17"/>
      <c r="G120" s="23"/>
      <c r="J120" s="75">
        <f>E120/E119*J119</f>
        <v>2596.2213885451861</v>
      </c>
      <c r="R120" s="19" t="s">
        <v>374</v>
      </c>
      <c r="S120" s="19">
        <v>5</v>
      </c>
    </row>
    <row r="121" spans="1:26" x14ac:dyDescent="0.35">
      <c r="A121" s="4" t="s">
        <v>11</v>
      </c>
      <c r="C121" s="17"/>
      <c r="D121" s="17"/>
      <c r="E121" s="17"/>
      <c r="F121" s="17"/>
      <c r="L121" s="75"/>
    </row>
    <row r="122" spans="1:26" ht="15" thickBot="1" x14ac:dyDescent="0.4">
      <c r="A122" s="4" t="s">
        <v>12</v>
      </c>
      <c r="C122" s="27">
        <v>-2892</v>
      </c>
      <c r="D122" s="28">
        <v>-136</v>
      </c>
      <c r="E122" s="28">
        <v>-2755</v>
      </c>
      <c r="F122" s="28">
        <v>-34225</v>
      </c>
      <c r="G122" s="68">
        <v>-56255</v>
      </c>
      <c r="H122" s="77">
        <f>AVERAGE(C122:G122)</f>
        <v>-19252.599999999999</v>
      </c>
      <c r="I122" s="77">
        <f t="shared" ref="I122:L122" si="126">AVERAGE(D122:H122)</f>
        <v>-22524.720000000001</v>
      </c>
      <c r="J122" s="77">
        <f t="shared" si="126"/>
        <v>-27002.464</v>
      </c>
      <c r="K122" s="77">
        <f t="shared" si="126"/>
        <v>-31851.956800000004</v>
      </c>
      <c r="L122" s="81">
        <f t="shared" si="126"/>
        <v>-31377.348160000005</v>
      </c>
      <c r="M122" t="s">
        <v>450</v>
      </c>
      <c r="R122" t="s">
        <v>375</v>
      </c>
    </row>
    <row r="123" spans="1:26" x14ac:dyDescent="0.35">
      <c r="A123" s="4" t="s">
        <v>13</v>
      </c>
      <c r="C123" s="30">
        <v>2243</v>
      </c>
      <c r="D123" s="31">
        <v>133</v>
      </c>
      <c r="E123" s="31">
        <v>234</v>
      </c>
      <c r="F123" s="31">
        <v>6819</v>
      </c>
      <c r="G123" s="71">
        <v>17275</v>
      </c>
      <c r="H123" s="39">
        <f>AVERAGE(C123:G123)</f>
        <v>5340.8</v>
      </c>
      <c r="I123" s="39">
        <f t="shared" ref="I123:K123" si="127">AVERAGE(D123:H123)</f>
        <v>5960.36</v>
      </c>
      <c r="J123" s="39">
        <f t="shared" si="127"/>
        <v>7125.8319999999994</v>
      </c>
      <c r="K123" s="39">
        <f t="shared" si="127"/>
        <v>8504.1983999999993</v>
      </c>
      <c r="L123" s="82">
        <f>AVERAGE(G123:K123)</f>
        <v>8841.2380799999992</v>
      </c>
      <c r="M123" t="s">
        <v>451</v>
      </c>
      <c r="R123" s="34"/>
      <c r="S123" s="34" t="s">
        <v>380</v>
      </c>
      <c r="T123" s="34" t="s">
        <v>381</v>
      </c>
      <c r="U123" s="34" t="s">
        <v>382</v>
      </c>
      <c r="V123" s="34" t="s">
        <v>383</v>
      </c>
      <c r="W123" s="34" t="s">
        <v>384</v>
      </c>
    </row>
    <row r="124" spans="1:26" x14ac:dyDescent="0.35">
      <c r="C124" s="17">
        <f>SUM(C122:C123)</f>
        <v>-649</v>
      </c>
      <c r="D124" s="17">
        <f t="shared" ref="D124:G124" si="128">SUM(D122:D123)</f>
        <v>-3</v>
      </c>
      <c r="E124" s="17">
        <f t="shared" si="128"/>
        <v>-2521</v>
      </c>
      <c r="F124" s="17">
        <f t="shared" si="128"/>
        <v>-27406</v>
      </c>
      <c r="G124" s="17">
        <f t="shared" si="128"/>
        <v>-38980</v>
      </c>
      <c r="H124" s="17">
        <f>SUM(H122:H123)</f>
        <v>-13911.8</v>
      </c>
      <c r="I124" s="17">
        <f t="shared" ref="I124" si="129">SUM(I122:I123)</f>
        <v>-16564.36</v>
      </c>
      <c r="J124" s="17">
        <f t="shared" ref="J124" si="130">SUM(J122:J123)</f>
        <v>-19876.632000000001</v>
      </c>
      <c r="K124" s="17">
        <f t="shared" ref="K124" si="131">SUM(K122:K123)</f>
        <v>-23347.758400000006</v>
      </c>
      <c r="L124" s="17">
        <f t="shared" ref="L124" si="132">SUM(L122:L123)</f>
        <v>-22536.110080000006</v>
      </c>
      <c r="M124" t="s">
        <v>452</v>
      </c>
      <c r="R124" t="s">
        <v>376</v>
      </c>
      <c r="S124">
        <v>4</v>
      </c>
      <c r="T124">
        <v>2636888506.7999997</v>
      </c>
      <c r="U124">
        <v>659222126.69999993</v>
      </c>
      <c r="V124" t="e">
        <v>#NUM!</v>
      </c>
      <c r="W124" t="e">
        <v>#NUM!</v>
      </c>
    </row>
    <row r="125" spans="1:26" x14ac:dyDescent="0.35">
      <c r="A125" s="4" t="s">
        <v>14</v>
      </c>
      <c r="C125" s="17">
        <v>-12385</v>
      </c>
      <c r="D125" s="17">
        <v>-9943</v>
      </c>
      <c r="E125" s="17">
        <v>-42766</v>
      </c>
      <c r="F125" s="17">
        <v>-63863</v>
      </c>
      <c r="G125" s="18">
        <v>-60404</v>
      </c>
      <c r="H125" s="14">
        <f>$S$129+$S$130*(H118)+$S$131*(H119)+$S$133*(H120)+$S$134*(H124)</f>
        <v>-49722.64866705946</v>
      </c>
      <c r="I125" s="14">
        <f>$S$129+$S$130*(I118)+$S$131*(I119)+$S$133*(I120)+$S$134*(I124)</f>
        <v>-54642.846876922413</v>
      </c>
      <c r="J125" s="14">
        <f t="shared" ref="J125:L125" si="133">$S$129+$S$130*(J118)+$S$131*(J119)+$S$133*(J120)+$S$134*(J124)</f>
        <v>-83775.042679593855</v>
      </c>
      <c r="K125" s="14">
        <f t="shared" si="133"/>
        <v>-82552.879107157889</v>
      </c>
      <c r="L125" s="14">
        <f t="shared" si="133"/>
        <v>-86731.052558682291</v>
      </c>
      <c r="M125" t="s">
        <v>456</v>
      </c>
      <c r="R125" t="s">
        <v>377</v>
      </c>
      <c r="S125">
        <v>0</v>
      </c>
      <c r="T125">
        <v>0</v>
      </c>
      <c r="U125">
        <v>65535</v>
      </c>
    </row>
    <row r="126" spans="1:26" ht="15" thickBot="1" x14ac:dyDescent="0.4">
      <c r="A126" s="4" t="s">
        <v>15</v>
      </c>
      <c r="C126" s="17">
        <f>SUM(C118:C120,C124:C125)</f>
        <v>50833</v>
      </c>
      <c r="D126" s="17">
        <f t="shared" ref="D126:F126" si="134">SUM(D118:D120,D124:D125)</f>
        <v>45876</v>
      </c>
      <c r="E126" s="17">
        <f t="shared" si="134"/>
        <v>253330</v>
      </c>
      <c r="F126" s="17">
        <f t="shared" si="134"/>
        <v>290069</v>
      </c>
      <c r="G126" s="17">
        <f>SUM(G118:G120,G124:G125)</f>
        <v>211541</v>
      </c>
      <c r="H126" s="17">
        <f>SUM(H118:H120,H124:H125)</f>
        <v>302350.35133294051</v>
      </c>
      <c r="I126" s="17">
        <f t="shared" ref="I126:L126" si="135">SUM(I118:I120,I124:I125)</f>
        <v>327525.50445601821</v>
      </c>
      <c r="J126" s="17">
        <f t="shared" si="135"/>
        <v>434197.4187089515</v>
      </c>
      <c r="K126" s="17">
        <f t="shared" si="135"/>
        <v>493111.2302813874</v>
      </c>
      <c r="L126" s="17">
        <f t="shared" si="135"/>
        <v>538089.23442986305</v>
      </c>
      <c r="R126" s="19" t="s">
        <v>378</v>
      </c>
      <c r="S126" s="19">
        <v>4</v>
      </c>
      <c r="T126" s="19">
        <v>2636888506.7999997</v>
      </c>
      <c r="U126" s="19"/>
      <c r="V126" s="19"/>
      <c r="W126" s="19"/>
    </row>
    <row r="127" spans="1:26" ht="29.5" thickBot="1" x14ac:dyDescent="0.4">
      <c r="A127" s="4" t="s">
        <v>432</v>
      </c>
      <c r="C127" s="17"/>
      <c r="D127" s="17"/>
      <c r="E127" s="17"/>
      <c r="F127" s="17"/>
      <c r="G127" s="23"/>
    </row>
    <row r="128" spans="1:26" x14ac:dyDescent="0.35">
      <c r="A128" s="4" t="s">
        <v>16</v>
      </c>
      <c r="C128" s="17">
        <v>96315</v>
      </c>
      <c r="D128" s="17">
        <f>D113+D119+D120+D122</f>
        <v>101168</v>
      </c>
      <c r="E128" s="17">
        <f>E113+E119+E120+E122</f>
        <v>351154</v>
      </c>
      <c r="F128" s="17">
        <f>F113+F119+F120+F122</f>
        <v>444937</v>
      </c>
      <c r="G128" s="17">
        <f>G113+G119+G120+G123</f>
        <v>483068</v>
      </c>
      <c r="H128" s="17">
        <f>H113+H119+H120+H122</f>
        <v>544729.20000000007</v>
      </c>
      <c r="I128" s="17">
        <f t="shared" ref="I128:L128" si="136">I113+I119+I120+I122</f>
        <v>618586.84000000008</v>
      </c>
      <c r="J128" s="17">
        <f t="shared" si="136"/>
        <v>708841.62938854529</v>
      </c>
      <c r="K128" s="17">
        <f t="shared" si="136"/>
        <v>765153.91098854528</v>
      </c>
      <c r="L128" s="17">
        <f t="shared" si="136"/>
        <v>813972.04890854529</v>
      </c>
      <c r="R128" s="34"/>
      <c r="S128" s="34" t="s">
        <v>385</v>
      </c>
      <c r="T128" s="34" t="s">
        <v>373</v>
      </c>
      <c r="U128" s="34" t="s">
        <v>386</v>
      </c>
      <c r="V128" s="34" t="s">
        <v>387</v>
      </c>
      <c r="W128" s="34" t="s">
        <v>388</v>
      </c>
      <c r="X128" s="34" t="s">
        <v>389</v>
      </c>
      <c r="Y128" s="34" t="s">
        <v>390</v>
      </c>
      <c r="Z128" s="34" t="s">
        <v>391</v>
      </c>
    </row>
    <row r="129" spans="1:26" x14ac:dyDescent="0.35">
      <c r="A129" s="4" t="s">
        <v>6</v>
      </c>
      <c r="C129" s="17">
        <v>-45482</v>
      </c>
      <c r="D129" s="17">
        <f>C129+D125+D123</f>
        <v>-55292</v>
      </c>
      <c r="E129" s="17">
        <f>D129+E125+E123</f>
        <v>-97824</v>
      </c>
      <c r="F129" s="17">
        <f>E129+F125+F123</f>
        <v>-154868</v>
      </c>
      <c r="G129" s="17">
        <f>F129+G125+G123</f>
        <v>-197997</v>
      </c>
      <c r="H129" s="17">
        <f>G129+H125+H123</f>
        <v>-242378.84866705947</v>
      </c>
      <c r="I129" s="18">
        <v>-197995</v>
      </c>
      <c r="J129" s="18">
        <v>-197994</v>
      </c>
      <c r="K129" s="18">
        <v>-197993</v>
      </c>
      <c r="L129" s="18">
        <v>-197992</v>
      </c>
      <c r="R129" t="s">
        <v>379</v>
      </c>
      <c r="S129">
        <v>-6019.6099034184208</v>
      </c>
      <c r="T129">
        <v>0</v>
      </c>
      <c r="U129">
        <v>65535</v>
      </c>
      <c r="V129" t="e">
        <v>#NUM!</v>
      </c>
      <c r="W129" t="e">
        <v>#VALUE!</v>
      </c>
      <c r="X129" t="e">
        <v>#VALUE!</v>
      </c>
      <c r="Y129">
        <v>-6019.6099034184208</v>
      </c>
      <c r="Z129">
        <v>-6019.6099034184208</v>
      </c>
    </row>
    <row r="130" spans="1:26" x14ac:dyDescent="0.35">
      <c r="A130" s="4" t="s">
        <v>7</v>
      </c>
      <c r="C130" s="17">
        <f>SUM(C128:C129)</f>
        <v>50833</v>
      </c>
      <c r="D130" s="17">
        <f>SUM(D128:D129)</f>
        <v>45876</v>
      </c>
      <c r="E130" s="17">
        <f>SUM(E128:E129)</f>
        <v>253330</v>
      </c>
      <c r="F130" s="17">
        <f>SUM(F128:F129)</f>
        <v>290069</v>
      </c>
      <c r="G130" s="17">
        <f>SUM(G128:G129)</f>
        <v>285071</v>
      </c>
      <c r="H130" s="17">
        <f t="shared" ref="H130:L130" si="137">SUM(H128:H129)</f>
        <v>302350.35133294063</v>
      </c>
      <c r="I130" s="17">
        <f t="shared" si="137"/>
        <v>420591.84000000008</v>
      </c>
      <c r="J130" s="17">
        <f t="shared" si="137"/>
        <v>510847.62938854529</v>
      </c>
      <c r="K130" s="17">
        <f t="shared" si="137"/>
        <v>567160.91098854528</v>
      </c>
      <c r="L130" s="17">
        <f t="shared" si="137"/>
        <v>615980.04890854529</v>
      </c>
      <c r="R130" t="s">
        <v>9</v>
      </c>
      <c r="S130">
        <v>-9.2042342139603078E-2</v>
      </c>
      <c r="T130">
        <v>0</v>
      </c>
      <c r="U130">
        <v>65535</v>
      </c>
      <c r="V130" t="e">
        <v>#NUM!</v>
      </c>
      <c r="W130">
        <v>-9.2042342139603078E-2</v>
      </c>
      <c r="X130">
        <v>-9.2042342139603078E-2</v>
      </c>
      <c r="Y130">
        <v>-9.2042342139603078E-2</v>
      </c>
      <c r="Z130">
        <v>-9.2042342139603078E-2</v>
      </c>
    </row>
    <row r="131" spans="1:26" x14ac:dyDescent="0.35">
      <c r="C131" s="67">
        <f>-C125/C128</f>
        <v>0.12858848569797021</v>
      </c>
      <c r="D131" s="67">
        <f t="shared" ref="D131:L131" si="138">-D125/D128</f>
        <v>9.8282065475249092E-2</v>
      </c>
      <c r="E131" s="67">
        <f t="shared" si="138"/>
        <v>0.12178702221817209</v>
      </c>
      <c r="F131" s="67">
        <f t="shared" si="138"/>
        <v>0.14353267990749252</v>
      </c>
      <c r="G131" s="67">
        <f t="shared" si="138"/>
        <v>0.1250424370896023</v>
      </c>
      <c r="H131" s="67">
        <f t="shared" si="138"/>
        <v>9.1279572798850239E-2</v>
      </c>
      <c r="I131" s="67">
        <f t="shared" si="138"/>
        <v>8.8334965025965315E-2</v>
      </c>
      <c r="J131" s="67">
        <f t="shared" si="138"/>
        <v>0.11818583898897013</v>
      </c>
      <c r="K131" s="67">
        <f t="shared" si="138"/>
        <v>0.10789055368024349</v>
      </c>
      <c r="L131" s="67">
        <f t="shared" si="138"/>
        <v>0.10655286342446268</v>
      </c>
      <c r="R131" t="s">
        <v>10</v>
      </c>
      <c r="S131">
        <v>4.2748488507030578E-3</v>
      </c>
      <c r="T131">
        <v>0</v>
      </c>
      <c r="U131">
        <v>65535</v>
      </c>
      <c r="V131" t="e">
        <v>#NUM!</v>
      </c>
      <c r="W131">
        <v>4.2748488507030578E-3</v>
      </c>
      <c r="X131">
        <v>4.2748488507030578E-3</v>
      </c>
      <c r="Y131">
        <v>4.2748488507030578E-3</v>
      </c>
      <c r="Z131">
        <v>4.2748488507030578E-3</v>
      </c>
    </row>
    <row r="132" spans="1:26" x14ac:dyDescent="0.35">
      <c r="C132" s="67"/>
      <c r="D132" s="67"/>
      <c r="E132" s="67"/>
      <c r="F132" s="67"/>
      <c r="G132" s="67"/>
      <c r="H132" s="67"/>
      <c r="I132" s="67"/>
      <c r="J132" s="67"/>
      <c r="K132" s="67"/>
      <c r="L132" s="67"/>
    </row>
    <row r="133" spans="1:26" x14ac:dyDescent="0.35">
      <c r="A133" s="7" t="s">
        <v>32</v>
      </c>
      <c r="B133" s="7"/>
      <c r="C133" s="31">
        <f t="shared" ref="C133:L133" si="139">SUM(C134:C140)</f>
        <v>12695993</v>
      </c>
      <c r="D133" s="31">
        <f t="shared" si="139"/>
        <v>16837591</v>
      </c>
      <c r="E133" s="31">
        <f t="shared" si="139"/>
        <v>5185100</v>
      </c>
      <c r="F133" s="31">
        <f t="shared" si="139"/>
        <v>6416479</v>
      </c>
      <c r="G133" s="31">
        <f t="shared" si="139"/>
        <v>9981976</v>
      </c>
      <c r="H133" s="31">
        <f t="shared" si="139"/>
        <v>11832130.052397633</v>
      </c>
      <c r="I133" s="31">
        <f t="shared" si="139"/>
        <v>11038283.487910761</v>
      </c>
      <c r="J133" s="31">
        <f t="shared" si="139"/>
        <v>9321969.9190244395</v>
      </c>
      <c r="K133" s="31">
        <f t="shared" si="139"/>
        <v>10044893.725721201</v>
      </c>
      <c r="L133" s="31">
        <f t="shared" si="139"/>
        <v>10851943.77340007</v>
      </c>
      <c r="R133" t="s">
        <v>170</v>
      </c>
      <c r="S133">
        <v>-5.4258217372326651</v>
      </c>
      <c r="T133">
        <v>0</v>
      </c>
      <c r="U133">
        <v>65535</v>
      </c>
      <c r="V133" t="e">
        <v>#NUM!</v>
      </c>
      <c r="W133">
        <v>-5.4258217372326651</v>
      </c>
      <c r="X133">
        <v>-5.4258217372326651</v>
      </c>
      <c r="Y133">
        <v>-5.4258217372326651</v>
      </c>
      <c r="Z133">
        <v>-5.4258217372326651</v>
      </c>
    </row>
    <row r="134" spans="1:26" ht="15" thickBot="1" x14ac:dyDescent="0.4">
      <c r="A134" s="4" t="s">
        <v>25</v>
      </c>
      <c r="B134" s="4" t="s">
        <v>505</v>
      </c>
      <c r="C134" s="17">
        <v>32000</v>
      </c>
      <c r="D134" s="17">
        <v>32000</v>
      </c>
      <c r="E134" s="17">
        <v>32000</v>
      </c>
      <c r="F134" s="17">
        <v>32000</v>
      </c>
      <c r="G134" s="17">
        <v>9000</v>
      </c>
      <c r="H134" s="14">
        <f>SUM($C$134:$G$134)/SUM($C$24:$G$24)*H24</f>
        <v>24741.840346518184</v>
      </c>
      <c r="I134" s="14">
        <f t="shared" ref="I134:L134" si="140">SUM($C$134:$G$134)/SUM($C$24:$G$24)*I24</f>
        <v>23665.140309775332</v>
      </c>
      <c r="J134" s="14">
        <f t="shared" si="140"/>
        <v>23238.474558975202</v>
      </c>
      <c r="K134" s="14">
        <f t="shared" si="140"/>
        <v>22140.281246582395</v>
      </c>
      <c r="L134" s="14">
        <f t="shared" si="140"/>
        <v>21042.087934189592</v>
      </c>
      <c r="M134" t="s">
        <v>505</v>
      </c>
      <c r="R134" s="19" t="s">
        <v>443</v>
      </c>
      <c r="S134" s="19">
        <v>1.280231926314227</v>
      </c>
      <c r="T134" s="19">
        <v>0</v>
      </c>
      <c r="U134" s="19">
        <v>65535</v>
      </c>
      <c r="V134" s="19" t="e">
        <v>#NUM!</v>
      </c>
      <c r="W134" s="19">
        <v>1.280231926314227</v>
      </c>
      <c r="X134" s="19">
        <v>1.280231926314227</v>
      </c>
      <c r="Y134" s="19">
        <v>1.280231926314227</v>
      </c>
      <c r="Z134" s="19">
        <v>1.280231926314227</v>
      </c>
    </row>
    <row r="135" spans="1:26" x14ac:dyDescent="0.35">
      <c r="A135" s="4" t="s">
        <v>26</v>
      </c>
      <c r="B135" s="4" t="s">
        <v>506</v>
      </c>
      <c r="C135" s="17">
        <v>20494</v>
      </c>
      <c r="D135" s="17">
        <v>27437</v>
      </c>
      <c r="E135" s="17">
        <v>5021610</v>
      </c>
      <c r="F135" s="17">
        <v>5913016</v>
      </c>
      <c r="G135" s="17">
        <v>8920285</v>
      </c>
      <c r="H135" s="14">
        <f>SUM($C$135:$G$135)/SUM($C$64:$G$64)*H64</f>
        <v>5393772.0446623536</v>
      </c>
      <c r="I135" s="14">
        <f t="shared" ref="I135:L135" si="141">SUM($C$135:$G$135)/SUM($C$64:$G$64)*I64</f>
        <v>5831308.2390757222</v>
      </c>
      <c r="J135" s="14">
        <f t="shared" si="141"/>
        <v>6336194.8466188805</v>
      </c>
      <c r="K135" s="14">
        <f t="shared" si="141"/>
        <v>6589210.7155698221</v>
      </c>
      <c r="L135" s="14">
        <f t="shared" si="141"/>
        <v>6813052.527509707</v>
      </c>
      <c r="M135" t="s">
        <v>506</v>
      </c>
    </row>
    <row r="136" spans="1:26" ht="29" x14ac:dyDescent="0.35">
      <c r="A136" s="4" t="s">
        <v>27</v>
      </c>
      <c r="B136" s="4" t="s">
        <v>470</v>
      </c>
      <c r="C136" s="17">
        <v>12299108</v>
      </c>
      <c r="D136" s="17">
        <v>16185611</v>
      </c>
      <c r="E136" s="17">
        <v>86934</v>
      </c>
      <c r="F136" s="17">
        <v>149494</v>
      </c>
      <c r="G136" s="17">
        <v>232555</v>
      </c>
      <c r="H136" s="14">
        <f t="shared" ref="H136:H139" si="142">AVERAGE(C136:G136)</f>
        <v>5790740.4000000004</v>
      </c>
      <c r="I136" s="14">
        <f t="shared" ref="I136:L139" si="143">AVERAGE(D136:H136)</f>
        <v>4489066.88</v>
      </c>
      <c r="J136" s="14">
        <f t="shared" si="143"/>
        <v>2149758.0560000003</v>
      </c>
      <c r="K136" s="14">
        <f t="shared" si="143"/>
        <v>2562322.8672000002</v>
      </c>
      <c r="L136" s="14">
        <f t="shared" si="143"/>
        <v>3044888.6406400003</v>
      </c>
      <c r="M136" t="s">
        <v>470</v>
      </c>
    </row>
    <row r="137" spans="1:26" x14ac:dyDescent="0.35">
      <c r="A137" s="4" t="s">
        <v>28</v>
      </c>
      <c r="B137" s="4" t="s">
        <v>507</v>
      </c>
      <c r="C137" s="17">
        <v>31161</v>
      </c>
      <c r="D137" s="17">
        <v>55656</v>
      </c>
      <c r="E137" s="17">
        <v>13650</v>
      </c>
      <c r="F137" s="17">
        <v>23285</v>
      </c>
      <c r="G137" s="17">
        <v>129556</v>
      </c>
      <c r="H137" s="14">
        <f>SUM($C$137:$G$137)/SUM($C$108:$G$108)*H108</f>
        <v>90906.056184178276</v>
      </c>
      <c r="I137" s="14">
        <f t="shared" ref="I137:L137" si="144">SUM($C$137:$G$137)/SUM($C$108:$G$108)*I108</f>
        <v>102984.3679785721</v>
      </c>
      <c r="J137" s="14">
        <f t="shared" si="144"/>
        <v>130655.33879286527</v>
      </c>
      <c r="K137" s="14">
        <f t="shared" si="144"/>
        <v>131562.00088693443</v>
      </c>
      <c r="L137" s="14">
        <f t="shared" si="144"/>
        <v>199181.22924182413</v>
      </c>
      <c r="M137" t="s">
        <v>507</v>
      </c>
    </row>
    <row r="138" spans="1:26" x14ac:dyDescent="0.35">
      <c r="A138" s="4" t="s">
        <v>29</v>
      </c>
      <c r="B138" s="4" t="s">
        <v>508</v>
      </c>
      <c r="C138" s="17">
        <v>313230</v>
      </c>
      <c r="D138" s="17">
        <v>432954</v>
      </c>
      <c r="E138" s="17">
        <v>30144</v>
      </c>
      <c r="F138" s="17">
        <v>15396</v>
      </c>
      <c r="G138" s="17">
        <v>206730</v>
      </c>
      <c r="H138" s="14">
        <f>SUM($C$138:$G$138)/SUM($C$203:$G$203)*H203</f>
        <v>319007.21120458283</v>
      </c>
      <c r="I138" s="14">
        <f t="shared" ref="I138:L138" si="145">SUM($C$138:$G$138)/SUM($C$203:$G$203)*I203</f>
        <v>378296.36054669123</v>
      </c>
      <c r="J138" s="14">
        <f t="shared" si="145"/>
        <v>447354.80305371713</v>
      </c>
      <c r="K138" s="14">
        <f t="shared" si="145"/>
        <v>458088.18081786286</v>
      </c>
      <c r="L138" s="14">
        <f t="shared" si="145"/>
        <v>492553.27207434917</v>
      </c>
      <c r="M138" t="s">
        <v>508</v>
      </c>
    </row>
    <row r="139" spans="1:26" x14ac:dyDescent="0.35">
      <c r="A139" s="4" t="s">
        <v>30</v>
      </c>
      <c r="B139" s="4" t="s">
        <v>470</v>
      </c>
      <c r="C139" s="17" t="s">
        <v>18</v>
      </c>
      <c r="D139" s="17">
        <v>103933</v>
      </c>
      <c r="E139" s="17">
        <v>762</v>
      </c>
      <c r="F139" s="17">
        <v>283288</v>
      </c>
      <c r="G139" s="17">
        <v>463867</v>
      </c>
      <c r="H139" s="14">
        <f t="shared" si="142"/>
        <v>212962.5</v>
      </c>
      <c r="I139" s="14">
        <f t="shared" si="143"/>
        <v>212962.5</v>
      </c>
      <c r="J139" s="14">
        <f t="shared" si="143"/>
        <v>234768.4</v>
      </c>
      <c r="K139" s="14">
        <f t="shared" si="143"/>
        <v>281569.68</v>
      </c>
      <c r="L139" s="14">
        <f t="shared" si="143"/>
        <v>281226.01599999995</v>
      </c>
      <c r="M139" t="s">
        <v>470</v>
      </c>
    </row>
    <row r="140" spans="1:26" x14ac:dyDescent="0.35">
      <c r="A140" s="4" t="s">
        <v>31</v>
      </c>
      <c r="B140" s="4" t="s">
        <v>504</v>
      </c>
      <c r="C140" s="17">
        <v>0</v>
      </c>
      <c r="D140" s="17">
        <v>0</v>
      </c>
      <c r="E140" s="17">
        <v>0</v>
      </c>
      <c r="F140" s="17">
        <v>0</v>
      </c>
      <c r="G140" s="17">
        <v>19983</v>
      </c>
      <c r="H140" s="14"/>
      <c r="I140" s="14"/>
      <c r="J140" s="14"/>
      <c r="K140" s="14"/>
      <c r="L140" s="14"/>
      <c r="M140" t="s">
        <v>504</v>
      </c>
    </row>
    <row r="142" spans="1:26" x14ac:dyDescent="0.35">
      <c r="C142" s="17"/>
      <c r="D142" s="17"/>
      <c r="E142" s="17"/>
      <c r="F142" s="17"/>
      <c r="G142" s="17"/>
    </row>
    <row r="143" spans="1:26" x14ac:dyDescent="0.35">
      <c r="A143" s="6" t="s">
        <v>33</v>
      </c>
      <c r="B143" s="6"/>
      <c r="C143" s="17">
        <f>SUM(C157,C171,C186)</f>
        <v>2747801</v>
      </c>
      <c r="D143" s="17">
        <f>SUM(D157,D171,D186)</f>
        <v>2305604</v>
      </c>
      <c r="E143" s="17">
        <f>SUM(E157,E171,E186)</f>
        <v>2036649</v>
      </c>
      <c r="F143" s="17">
        <f>SUM(F157,F171,F186)</f>
        <v>1617227</v>
      </c>
      <c r="G143" s="17">
        <f>SUM(G157,G171,G186)</f>
        <v>1156505</v>
      </c>
      <c r="H143" s="17">
        <f t="shared" ref="H143:L143" si="146">SUM(H157,H171,H186)</f>
        <v>950402.01111374318</v>
      </c>
      <c r="I143" s="17">
        <f>SUM(I157,I171,I186)</f>
        <v>676888.88567469979</v>
      </c>
      <c r="J143" s="17">
        <f t="shared" si="146"/>
        <v>406866.78583941562</v>
      </c>
      <c r="K143" s="17">
        <f t="shared" si="146"/>
        <v>87732.002571302495</v>
      </c>
      <c r="L143" s="17">
        <f t="shared" si="146"/>
        <v>144142.87927656545</v>
      </c>
    </row>
    <row r="144" spans="1:26" x14ac:dyDescent="0.35">
      <c r="C144" s="17"/>
      <c r="D144" s="17"/>
      <c r="E144" s="17"/>
      <c r="F144" s="17"/>
      <c r="G144" s="17"/>
    </row>
    <row r="145" spans="1:14" x14ac:dyDescent="0.35">
      <c r="A145" s="7" t="s">
        <v>37</v>
      </c>
      <c r="B145" s="7"/>
      <c r="C145" s="17"/>
      <c r="D145" s="17"/>
      <c r="E145" s="17"/>
      <c r="F145" s="17"/>
      <c r="G145" s="17"/>
    </row>
    <row r="146" spans="1:14" ht="43.5" x14ac:dyDescent="0.35">
      <c r="A146" s="4" t="s">
        <v>449</v>
      </c>
      <c r="B146" s="4" t="s">
        <v>454</v>
      </c>
      <c r="C146" s="17">
        <v>2778739</v>
      </c>
      <c r="D146" s="15">
        <f>C155</f>
        <v>3097058</v>
      </c>
      <c r="E146" s="15">
        <f t="shared" ref="E146:L146" si="147">D155</f>
        <v>3097058</v>
      </c>
      <c r="F146" s="15">
        <f t="shared" si="147"/>
        <v>3269835</v>
      </c>
      <c r="G146" s="15">
        <f t="shared" si="147"/>
        <v>3269835</v>
      </c>
      <c r="H146" s="15">
        <f t="shared" si="147"/>
        <v>3269835</v>
      </c>
      <c r="I146" s="15">
        <f t="shared" si="147"/>
        <v>3515383</v>
      </c>
      <c r="J146" s="15">
        <f t="shared" si="147"/>
        <v>3724545.5</v>
      </c>
      <c r="K146" s="15">
        <f t="shared" si="147"/>
        <v>3933708</v>
      </c>
      <c r="L146" s="15">
        <f t="shared" si="147"/>
        <v>4154999</v>
      </c>
    </row>
    <row r="147" spans="1:14" ht="29" x14ac:dyDescent="0.35">
      <c r="A147" s="4" t="s">
        <v>429</v>
      </c>
      <c r="C147" s="14"/>
      <c r="D147" s="17"/>
      <c r="E147" s="17"/>
      <c r="F147" s="17"/>
      <c r="G147" s="17"/>
    </row>
    <row r="148" spans="1:14" x14ac:dyDescent="0.35">
      <c r="A148" s="4" t="s">
        <v>8</v>
      </c>
      <c r="C148" s="67"/>
      <c r="D148" s="67"/>
      <c r="E148" s="67"/>
      <c r="F148" s="17"/>
      <c r="G148" s="17"/>
    </row>
    <row r="149" spans="1:14" x14ac:dyDescent="0.35">
      <c r="A149" s="4" t="s">
        <v>22</v>
      </c>
      <c r="C149" s="17">
        <v>2778739</v>
      </c>
      <c r="D149" s="17">
        <f>C157</f>
        <v>2697868</v>
      </c>
      <c r="E149" s="17">
        <f t="shared" ref="E149:G149" si="148">D157</f>
        <v>2266846</v>
      </c>
      <c r="F149" s="17">
        <f t="shared" si="148"/>
        <v>2020259</v>
      </c>
      <c r="G149" s="17">
        <f t="shared" si="148"/>
        <v>1570597</v>
      </c>
      <c r="H149" s="17">
        <f>G157</f>
        <v>1120936</v>
      </c>
      <c r="I149" s="17">
        <f>H157</f>
        <v>927441.11621377431</v>
      </c>
      <c r="J149" s="17">
        <f t="shared" ref="J149:L149" si="149">I157</f>
        <v>664590.84188935952</v>
      </c>
      <c r="K149" s="17">
        <f t="shared" si="149"/>
        <v>373656.18190636067</v>
      </c>
      <c r="L149" s="17">
        <f t="shared" si="149"/>
        <v>66765.636264777742</v>
      </c>
      <c r="N149" t="s">
        <v>454</v>
      </c>
    </row>
    <row r="150" spans="1:14" x14ac:dyDescent="0.35">
      <c r="A150" s="4" t="s">
        <v>338</v>
      </c>
      <c r="C150" s="17">
        <v>318319</v>
      </c>
      <c r="D150" s="17"/>
      <c r="E150" s="17">
        <v>172777</v>
      </c>
      <c r="F150" s="17"/>
      <c r="G150" s="17"/>
      <c r="H150" s="75">
        <f>AVERAGE(C150:G150)</f>
        <v>245548</v>
      </c>
      <c r="I150" s="75">
        <f t="shared" ref="I150:K150" si="150">AVERAGE(D150:H150)</f>
        <v>209162.5</v>
      </c>
      <c r="J150" s="75">
        <f t="shared" si="150"/>
        <v>209162.5</v>
      </c>
      <c r="K150" s="75">
        <f t="shared" si="150"/>
        <v>221291</v>
      </c>
      <c r="L150" s="75"/>
    </row>
    <row r="151" spans="1:14" x14ac:dyDescent="0.35">
      <c r="A151" s="4" t="s">
        <v>446</v>
      </c>
      <c r="C151" s="17"/>
      <c r="D151" s="17"/>
      <c r="E151" s="17"/>
      <c r="F151" s="17"/>
      <c r="G151" s="17"/>
      <c r="H151" s="17"/>
      <c r="L151">
        <v>-66766</v>
      </c>
    </row>
    <row r="152" spans="1:14" x14ac:dyDescent="0.35">
      <c r="A152" s="4" t="s">
        <v>447</v>
      </c>
      <c r="C152" s="17">
        <v>-399190</v>
      </c>
      <c r="D152" s="17">
        <v>-431022</v>
      </c>
      <c r="E152" s="17">
        <v>-419364</v>
      </c>
      <c r="F152" s="17">
        <v>-449662</v>
      </c>
      <c r="G152" s="17">
        <v>-449661</v>
      </c>
      <c r="H152" s="17">
        <f>-G155*H158</f>
        <v>-439042.88378622546</v>
      </c>
      <c r="I152" s="17">
        <f t="shared" ref="I152:K152" si="151">-H155*I158</f>
        <v>-472012.77432441473</v>
      </c>
      <c r="J152" s="17">
        <f t="shared" si="151"/>
        <v>-500097.15998299886</v>
      </c>
      <c r="K152" s="17">
        <f t="shared" si="151"/>
        <v>-528181.54564158292</v>
      </c>
      <c r="L152" s="17">
        <v>0</v>
      </c>
    </row>
    <row r="153" spans="1:14" x14ac:dyDescent="0.35">
      <c r="A153" s="4" t="s">
        <v>35</v>
      </c>
      <c r="C153" s="17">
        <f>SUM(C149:C152)</f>
        <v>2697868</v>
      </c>
      <c r="D153" s="17">
        <f t="shared" ref="D153:L153" si="152">SUM(D149:D152)</f>
        <v>2266846</v>
      </c>
      <c r="E153" s="17">
        <f t="shared" si="152"/>
        <v>2020259</v>
      </c>
      <c r="F153" s="17">
        <f t="shared" si="152"/>
        <v>1570597</v>
      </c>
      <c r="G153" s="17">
        <f t="shared" si="152"/>
        <v>1120936</v>
      </c>
      <c r="H153" s="17">
        <f t="shared" si="152"/>
        <v>927441.11621377454</v>
      </c>
      <c r="I153" s="17">
        <f t="shared" si="152"/>
        <v>664590.84188935952</v>
      </c>
      <c r="J153" s="17">
        <f t="shared" si="152"/>
        <v>373656.18190636067</v>
      </c>
      <c r="K153" s="17">
        <f t="shared" si="152"/>
        <v>66765.636264777742</v>
      </c>
      <c r="L153" s="17">
        <f t="shared" si="152"/>
        <v>-0.36373522225767374</v>
      </c>
    </row>
    <row r="154" spans="1:14" x14ac:dyDescent="0.35">
      <c r="A154" s="4" t="s">
        <v>36</v>
      </c>
      <c r="C154" s="17"/>
      <c r="D154" s="17"/>
      <c r="E154" s="17"/>
      <c r="F154" s="17"/>
      <c r="G154" s="17"/>
    </row>
    <row r="155" spans="1:14" x14ac:dyDescent="0.35">
      <c r="A155" s="4" t="s">
        <v>21</v>
      </c>
      <c r="C155" s="17">
        <f>SUM(C149:C150)</f>
        <v>3097058</v>
      </c>
      <c r="D155" s="17">
        <f>C155+D150-D151</f>
        <v>3097058</v>
      </c>
      <c r="E155" s="17">
        <f t="shared" ref="E155:K155" si="153">D155+E150-E151</f>
        <v>3269835</v>
      </c>
      <c r="F155" s="17">
        <f t="shared" si="153"/>
        <v>3269835</v>
      </c>
      <c r="G155" s="17">
        <f t="shared" si="153"/>
        <v>3269835</v>
      </c>
      <c r="H155" s="17">
        <f t="shared" si="153"/>
        <v>3515383</v>
      </c>
      <c r="I155" s="17">
        <f t="shared" si="153"/>
        <v>3724545.5</v>
      </c>
      <c r="J155" s="17">
        <f t="shared" si="153"/>
        <v>3933708</v>
      </c>
      <c r="K155" s="17">
        <f t="shared" si="153"/>
        <v>4154999</v>
      </c>
      <c r="L155" s="17">
        <f>K155+L150-L151</f>
        <v>4221765</v>
      </c>
    </row>
    <row r="156" spans="1:14" x14ac:dyDescent="0.35">
      <c r="A156" s="4" t="s">
        <v>6</v>
      </c>
      <c r="C156" s="17">
        <f>C152</f>
        <v>-399190</v>
      </c>
      <c r="D156" s="17">
        <f>C156+D152</f>
        <v>-830212</v>
      </c>
      <c r="E156" s="17">
        <f t="shared" ref="E156:L156" si="154">D156+E152</f>
        <v>-1249576</v>
      </c>
      <c r="F156" s="17">
        <f t="shared" si="154"/>
        <v>-1699238</v>
      </c>
      <c r="G156" s="17">
        <f t="shared" si="154"/>
        <v>-2148899</v>
      </c>
      <c r="H156" s="17">
        <f t="shared" si="154"/>
        <v>-2587941.8837862257</v>
      </c>
      <c r="I156" s="17">
        <f t="shared" si="154"/>
        <v>-3059954.6581106405</v>
      </c>
      <c r="J156" s="17">
        <f t="shared" si="154"/>
        <v>-3560051.8180936393</v>
      </c>
      <c r="K156" s="17">
        <f t="shared" si="154"/>
        <v>-4088233.3637352223</v>
      </c>
      <c r="L156" s="17">
        <f t="shared" si="154"/>
        <v>-4088233.3637352223</v>
      </c>
    </row>
    <row r="157" spans="1:14" x14ac:dyDescent="0.35">
      <c r="A157" s="4" t="s">
        <v>7</v>
      </c>
      <c r="C157" s="17">
        <f>SUM(C155:C156)</f>
        <v>2697868</v>
      </c>
      <c r="D157" s="17">
        <f t="shared" ref="D157:L157" si="155">SUM(D155:D156)</f>
        <v>2266846</v>
      </c>
      <c r="E157" s="17">
        <f t="shared" si="155"/>
        <v>2020259</v>
      </c>
      <c r="F157" s="17">
        <f t="shared" si="155"/>
        <v>1570597</v>
      </c>
      <c r="G157" s="17">
        <f t="shared" si="155"/>
        <v>1120936</v>
      </c>
      <c r="H157" s="17">
        <f t="shared" si="155"/>
        <v>927441.11621377431</v>
      </c>
      <c r="I157" s="17">
        <f t="shared" si="155"/>
        <v>664590.84188935952</v>
      </c>
      <c r="J157" s="17">
        <f t="shared" si="155"/>
        <v>373656.18190636067</v>
      </c>
      <c r="K157" s="17">
        <f t="shared" si="155"/>
        <v>66765.636264777742</v>
      </c>
      <c r="L157" s="17">
        <f t="shared" si="155"/>
        <v>133531.63626477774</v>
      </c>
    </row>
    <row r="158" spans="1:14" x14ac:dyDescent="0.35">
      <c r="A158" s="4" t="s">
        <v>39</v>
      </c>
      <c r="C158" s="67">
        <f>-C152/C155</f>
        <v>0.12889329163354382</v>
      </c>
      <c r="D158" s="67">
        <f t="shared" ref="D158:G158" si="156">-D152/D155</f>
        <v>0.13917143301804485</v>
      </c>
      <c r="E158" s="67">
        <f t="shared" si="156"/>
        <v>0.12825234300813343</v>
      </c>
      <c r="F158" s="67">
        <f>-F152/F155</f>
        <v>0.13751825397917633</v>
      </c>
      <c r="G158" s="67">
        <f t="shared" si="156"/>
        <v>0.1375179481533472</v>
      </c>
      <c r="H158" s="76">
        <f>AVERAGE($C$158:$G$158)</f>
        <v>0.13427065395844912</v>
      </c>
      <c r="I158" s="76">
        <f t="shared" ref="I158:L158" si="157">AVERAGE($C$158:$G$158)</f>
        <v>0.13427065395844912</v>
      </c>
      <c r="J158" s="76">
        <f t="shared" si="157"/>
        <v>0.13427065395844912</v>
      </c>
      <c r="K158" s="76">
        <f t="shared" si="157"/>
        <v>0.13427065395844912</v>
      </c>
      <c r="L158" s="76">
        <f t="shared" si="157"/>
        <v>0.13427065395844912</v>
      </c>
    </row>
    <row r="159" spans="1:14" x14ac:dyDescent="0.35">
      <c r="C159" s="17"/>
      <c r="D159" s="17"/>
      <c r="E159" s="17"/>
      <c r="F159" s="17"/>
      <c r="G159" s="17"/>
    </row>
    <row r="160" spans="1:14" x14ac:dyDescent="0.35">
      <c r="A160" s="7" t="s">
        <v>38</v>
      </c>
      <c r="B160" s="7"/>
      <c r="C160" s="17"/>
      <c r="D160" s="17"/>
      <c r="E160" s="17"/>
      <c r="F160" s="17"/>
      <c r="G160" s="17"/>
    </row>
    <row r="161" spans="1:25" ht="43.5" x14ac:dyDescent="0.35">
      <c r="A161" s="4" t="s">
        <v>449</v>
      </c>
      <c r="B161" s="4" t="s">
        <v>453</v>
      </c>
      <c r="C161" s="15"/>
      <c r="D161" s="15">
        <f>C169</f>
        <v>66704</v>
      </c>
      <c r="E161" s="15">
        <f t="shared" ref="E161:L161" si="158">D169</f>
        <v>66704</v>
      </c>
      <c r="F161" s="15">
        <f t="shared" si="158"/>
        <v>66704</v>
      </c>
      <c r="G161" s="15">
        <f t="shared" si="158"/>
        <v>110782</v>
      </c>
      <c r="H161" s="15">
        <f t="shared" si="158"/>
        <v>110782</v>
      </c>
      <c r="I161" s="15">
        <f t="shared" si="158"/>
        <v>110782</v>
      </c>
      <c r="J161" s="15">
        <f t="shared" si="158"/>
        <v>110782</v>
      </c>
      <c r="K161" s="15">
        <f t="shared" si="158"/>
        <v>143855.40902807983</v>
      </c>
      <c r="L161" s="15">
        <f t="shared" si="158"/>
        <v>143855.40902807983</v>
      </c>
      <c r="N161" t="s">
        <v>22</v>
      </c>
      <c r="O161" t="s">
        <v>34</v>
      </c>
      <c r="P161" t="s">
        <v>448</v>
      </c>
      <c r="Q161" t="s">
        <v>368</v>
      </c>
    </row>
    <row r="162" spans="1:25" ht="29.5" thickBot="1" x14ac:dyDescent="0.4">
      <c r="A162" s="4" t="s">
        <v>429</v>
      </c>
      <c r="C162" s="17"/>
      <c r="D162" s="17"/>
      <c r="E162" s="17"/>
      <c r="F162" s="17"/>
      <c r="G162" s="17"/>
      <c r="N162">
        <v>66704</v>
      </c>
      <c r="O162">
        <v>0</v>
      </c>
      <c r="P162">
        <v>-16771</v>
      </c>
    </row>
    <row r="163" spans="1:25" x14ac:dyDescent="0.35">
      <c r="A163" s="4" t="s">
        <v>8</v>
      </c>
      <c r="C163" s="17"/>
      <c r="D163" s="17"/>
      <c r="E163" s="17"/>
      <c r="F163" s="17"/>
      <c r="G163" s="17"/>
      <c r="N163">
        <v>49933</v>
      </c>
      <c r="O163">
        <v>0</v>
      </c>
      <c r="P163">
        <v>-16771</v>
      </c>
      <c r="Q163" s="35" t="s">
        <v>369</v>
      </c>
      <c r="R163" s="35"/>
    </row>
    <row r="164" spans="1:25" x14ac:dyDescent="0.35">
      <c r="A164" s="4" t="s">
        <v>22</v>
      </c>
      <c r="C164" s="17">
        <v>66704</v>
      </c>
      <c r="D164" s="17">
        <f>C171</f>
        <v>49933</v>
      </c>
      <c r="E164" s="17">
        <f t="shared" ref="E164:H164" si="159">D171</f>
        <v>33162</v>
      </c>
      <c r="F164" s="17">
        <f t="shared" si="159"/>
        <v>16390</v>
      </c>
      <c r="G164" s="17">
        <f t="shared" si="159"/>
        <v>46630</v>
      </c>
      <c r="H164" s="17">
        <f t="shared" si="159"/>
        <v>35569</v>
      </c>
      <c r="I164" s="17">
        <f t="shared" ref="I164" si="160">H171</f>
        <v>22960.894899968887</v>
      </c>
      <c r="J164" s="17">
        <f t="shared" ref="J164" si="161">I171</f>
        <v>12298.043785340269</v>
      </c>
      <c r="K164" s="17">
        <f t="shared" ref="K164" si="162">J171</f>
        <v>33210.603933054939</v>
      </c>
      <c r="L164" s="17">
        <f t="shared" ref="L164" si="163">K171</f>
        <v>20966.366306524753</v>
      </c>
      <c r="N164">
        <v>49933</v>
      </c>
      <c r="O164">
        <v>0</v>
      </c>
      <c r="P164">
        <v>-16772</v>
      </c>
      <c r="Q164" t="s">
        <v>370</v>
      </c>
      <c r="R164">
        <v>0.5410259675294995</v>
      </c>
    </row>
    <row r="165" spans="1:25" x14ac:dyDescent="0.35">
      <c r="A165" s="4" t="s">
        <v>34</v>
      </c>
      <c r="C165" s="17"/>
      <c r="D165" s="17"/>
      <c r="E165" s="17"/>
      <c r="F165" s="17">
        <v>44078</v>
      </c>
      <c r="G165" s="17"/>
      <c r="H165" s="14"/>
      <c r="I165" s="14"/>
      <c r="J165" s="14">
        <f>F165/F164*J164</f>
        <v>33073.409028079826</v>
      </c>
      <c r="K165" s="14"/>
      <c r="L165" s="14"/>
      <c r="N165">
        <v>16390</v>
      </c>
      <c r="O165">
        <v>44078</v>
      </c>
      <c r="P165">
        <v>-13838</v>
      </c>
      <c r="Q165" t="s">
        <v>371</v>
      </c>
      <c r="R165">
        <v>0.29270909754123109</v>
      </c>
    </row>
    <row r="166" spans="1:25" x14ac:dyDescent="0.35">
      <c r="A166" s="4" t="s">
        <v>448</v>
      </c>
      <c r="C166" s="17">
        <v>-16771</v>
      </c>
      <c r="D166" s="17">
        <v>-16771</v>
      </c>
      <c r="E166" s="17">
        <v>-16772</v>
      </c>
      <c r="F166" s="17">
        <v>-13838</v>
      </c>
      <c r="G166" s="17">
        <v>-11061</v>
      </c>
      <c r="H166" s="75">
        <f>$R$177+$R$178*(H164)+$R$179*(H165)</f>
        <v>-12608.105100031118</v>
      </c>
      <c r="I166" s="75">
        <f t="shared" ref="I166:K166" si="164">$R$177+$R$178*(I164)+$R$179*(I165)</f>
        <v>-10662.851114628615</v>
      </c>
      <c r="J166" s="75">
        <f t="shared" si="164"/>
        <v>-12160.848880365156</v>
      </c>
      <c r="K166" s="75">
        <f t="shared" si="164"/>
        <v>-12244.237626530192</v>
      </c>
      <c r="L166" s="75">
        <f>$R$177+$R$178*(L164)+$R$179*(L165)</f>
        <v>-10355.123294737039</v>
      </c>
      <c r="N166">
        <v>46630</v>
      </c>
      <c r="O166">
        <v>0</v>
      </c>
      <c r="P166">
        <v>-11061</v>
      </c>
      <c r="Q166" t="s">
        <v>372</v>
      </c>
      <c r="R166">
        <v>-0.41458180491753782</v>
      </c>
    </row>
    <row r="167" spans="1:25" x14ac:dyDescent="0.35">
      <c r="A167" s="4" t="s">
        <v>35</v>
      </c>
      <c r="C167" s="17">
        <f>SUM(C164:C166)</f>
        <v>49933</v>
      </c>
      <c r="D167" s="17">
        <f t="shared" ref="D167" si="165">SUM(D164:D166)</f>
        <v>33162</v>
      </c>
      <c r="E167" s="17">
        <f t="shared" ref="E167" si="166">SUM(E164:E166)</f>
        <v>16390</v>
      </c>
      <c r="F167" s="17">
        <f t="shared" ref="F167" si="167">SUM(F164:F166)</f>
        <v>46630</v>
      </c>
      <c r="G167" s="17">
        <f t="shared" ref="G167:L167" si="168">SUM(G164:G166)</f>
        <v>35569</v>
      </c>
      <c r="H167" s="17">
        <f t="shared" si="168"/>
        <v>22960.89489996888</v>
      </c>
      <c r="I167" s="17">
        <f t="shared" si="168"/>
        <v>12298.043785340273</v>
      </c>
      <c r="J167" s="17">
        <f t="shared" si="168"/>
        <v>33210.603933054939</v>
      </c>
      <c r="K167" s="17">
        <f t="shared" si="168"/>
        <v>20966.366306524746</v>
      </c>
      <c r="L167" s="17">
        <f t="shared" si="168"/>
        <v>10611.243011787714</v>
      </c>
      <c r="Q167" t="s">
        <v>373</v>
      </c>
      <c r="R167">
        <v>3047.9796814743322</v>
      </c>
    </row>
    <row r="168" spans="1:25" ht="15" thickBot="1" x14ac:dyDescent="0.4">
      <c r="A168" s="4" t="s">
        <v>36</v>
      </c>
      <c r="C168" s="17"/>
      <c r="D168" s="17"/>
      <c r="E168" s="17"/>
      <c r="F168" s="17"/>
      <c r="G168" s="17"/>
      <c r="M168" t="s">
        <v>453</v>
      </c>
      <c r="Q168" s="19" t="s">
        <v>374</v>
      </c>
      <c r="R168" s="19">
        <v>5</v>
      </c>
    </row>
    <row r="169" spans="1:25" x14ac:dyDescent="0.35">
      <c r="A169" s="4" t="s">
        <v>21</v>
      </c>
      <c r="C169" s="17">
        <f>C164</f>
        <v>66704</v>
      </c>
      <c r="D169" s="17">
        <f>C169+D165</f>
        <v>66704</v>
      </c>
      <c r="E169" s="17">
        <f t="shared" ref="E169:H169" si="169">D169+E165</f>
        <v>66704</v>
      </c>
      <c r="F169" s="17">
        <f t="shared" si="169"/>
        <v>110782</v>
      </c>
      <c r="G169" s="17">
        <f t="shared" si="169"/>
        <v>110782</v>
      </c>
      <c r="H169" s="17">
        <f t="shared" si="169"/>
        <v>110782</v>
      </c>
      <c r="I169" s="17">
        <f t="shared" ref="I169:I170" si="170">H169+I165</f>
        <v>110782</v>
      </c>
      <c r="J169" s="17">
        <f t="shared" ref="J169:J170" si="171">I169+J165</f>
        <v>143855.40902807983</v>
      </c>
      <c r="K169" s="17">
        <f t="shared" ref="K169:K170" si="172">J169+K165</f>
        <v>143855.40902807983</v>
      </c>
      <c r="L169" s="17">
        <f t="shared" ref="L169:L170" si="173">K169+L165</f>
        <v>143855.40902807983</v>
      </c>
    </row>
    <row r="170" spans="1:25" ht="15" thickBot="1" x14ac:dyDescent="0.4">
      <c r="A170" s="4" t="s">
        <v>6</v>
      </c>
      <c r="C170" s="17">
        <f>C166</f>
        <v>-16771</v>
      </c>
      <c r="D170" s="17">
        <f>C170+D166</f>
        <v>-33542</v>
      </c>
      <c r="E170" s="17">
        <f>D170+E166</f>
        <v>-50314</v>
      </c>
      <c r="F170" s="17">
        <f>E170+F166</f>
        <v>-64152</v>
      </c>
      <c r="G170" s="17">
        <f>F170+G166</f>
        <v>-75213</v>
      </c>
      <c r="H170" s="17">
        <f>G170+H166</f>
        <v>-87821.105100031113</v>
      </c>
      <c r="I170" s="17">
        <f t="shared" si="170"/>
        <v>-98483.956214659731</v>
      </c>
      <c r="J170" s="17">
        <f t="shared" si="171"/>
        <v>-110644.80509502489</v>
      </c>
      <c r="K170" s="17">
        <f t="shared" si="172"/>
        <v>-122889.04272155507</v>
      </c>
      <c r="L170" s="17">
        <f t="shared" si="173"/>
        <v>-133244.16601629212</v>
      </c>
      <c r="Q170" t="s">
        <v>375</v>
      </c>
    </row>
    <row r="171" spans="1:25" x14ac:dyDescent="0.35">
      <c r="A171" s="4" t="s">
        <v>7</v>
      </c>
      <c r="C171" s="17">
        <f>SUM(C169:C170)</f>
        <v>49933</v>
      </c>
      <c r="D171" s="17">
        <f t="shared" ref="D171:H171" si="174">SUM(D169:D170)</f>
        <v>33162</v>
      </c>
      <c r="E171" s="17">
        <f t="shared" si="174"/>
        <v>16390</v>
      </c>
      <c r="F171" s="17">
        <f t="shared" si="174"/>
        <v>46630</v>
      </c>
      <c r="G171" s="17">
        <f t="shared" si="174"/>
        <v>35569</v>
      </c>
      <c r="H171" s="17">
        <f t="shared" si="174"/>
        <v>22960.894899968887</v>
      </c>
      <c r="I171" s="17">
        <f t="shared" ref="I171" si="175">SUM(I169:I170)</f>
        <v>12298.043785340269</v>
      </c>
      <c r="J171" s="17">
        <f t="shared" ref="J171" si="176">SUM(J169:J170)</f>
        <v>33210.603933054939</v>
      </c>
      <c r="K171" s="17">
        <f t="shared" ref="K171" si="177">SUM(K169:K170)</f>
        <v>20966.366306524753</v>
      </c>
      <c r="L171" s="17">
        <f t="shared" ref="L171" si="178">SUM(L169:L170)</f>
        <v>10611.243011787708</v>
      </c>
      <c r="Q171" s="34"/>
      <c r="R171" s="34" t="s">
        <v>380</v>
      </c>
      <c r="S171" s="34" t="s">
        <v>381</v>
      </c>
      <c r="T171" s="34" t="s">
        <v>382</v>
      </c>
      <c r="U171" s="34" t="s">
        <v>383</v>
      </c>
      <c r="V171" s="34" t="s">
        <v>384</v>
      </c>
    </row>
    <row r="172" spans="1:25" x14ac:dyDescent="0.35">
      <c r="A172" s="4" t="s">
        <v>39</v>
      </c>
      <c r="C172" s="67">
        <f>-C166/C169</f>
        <v>0.25142420244662989</v>
      </c>
      <c r="D172" s="67">
        <f t="shared" ref="D172:L172" si="179">-D166/D169</f>
        <v>0.25142420244662989</v>
      </c>
      <c r="E172" s="67">
        <f t="shared" si="179"/>
        <v>0.25143919405133125</v>
      </c>
      <c r="F172" s="67">
        <f t="shared" si="179"/>
        <v>0.12491198931234317</v>
      </c>
      <c r="G172" s="67">
        <f t="shared" si="179"/>
        <v>9.9844740120236142E-2</v>
      </c>
      <c r="H172" s="67">
        <f t="shared" si="179"/>
        <v>0.11381005127214816</v>
      </c>
      <c r="I172" s="67">
        <f t="shared" si="179"/>
        <v>9.6250754767278207E-2</v>
      </c>
      <c r="J172" s="67">
        <f t="shared" si="179"/>
        <v>8.4535221598733362E-2</v>
      </c>
      <c r="K172" s="67">
        <f t="shared" si="179"/>
        <v>8.5114892163284453E-2</v>
      </c>
      <c r="L172" s="67">
        <f t="shared" si="179"/>
        <v>7.1982856707986376E-2</v>
      </c>
      <c r="Q172" t="s">
        <v>376</v>
      </c>
      <c r="R172">
        <v>2</v>
      </c>
      <c r="S172">
        <v>7689396.9226392582</v>
      </c>
      <c r="T172">
        <v>3844698.4613196291</v>
      </c>
      <c r="U172">
        <v>0.41384541568918937</v>
      </c>
      <c r="V172">
        <v>0.7072909024587688</v>
      </c>
    </row>
    <row r="173" spans="1:25" x14ac:dyDescent="0.35">
      <c r="C173" s="17"/>
      <c r="D173" s="17"/>
      <c r="E173" s="17"/>
      <c r="F173" s="17"/>
      <c r="G173" s="17"/>
      <c r="Q173" t="s">
        <v>377</v>
      </c>
      <c r="R173">
        <v>2</v>
      </c>
      <c r="S173">
        <v>18580360.277360741</v>
      </c>
      <c r="T173">
        <v>9290180.1386803705</v>
      </c>
    </row>
    <row r="174" spans="1:25" ht="15" thickBot="1" x14ac:dyDescent="0.4">
      <c r="A174" s="7" t="s">
        <v>24</v>
      </c>
      <c r="B174" s="7"/>
      <c r="C174" s="17"/>
      <c r="D174" s="17"/>
      <c r="E174" s="17"/>
      <c r="F174" s="17"/>
      <c r="G174" s="17"/>
      <c r="Q174" s="19" t="s">
        <v>378</v>
      </c>
      <c r="R174" s="19">
        <v>4</v>
      </c>
      <c r="S174" s="19">
        <v>26269757.199999999</v>
      </c>
      <c r="T174" s="19"/>
      <c r="U174" s="19"/>
      <c r="V174" s="19"/>
    </row>
    <row r="175" spans="1:25" ht="15" thickBot="1" x14ac:dyDescent="0.4">
      <c r="A175" s="4" t="s">
        <v>449</v>
      </c>
      <c r="C175" s="15"/>
      <c r="D175" s="15"/>
      <c r="E175" s="15"/>
      <c r="F175" s="15"/>
      <c r="G175" s="15"/>
    </row>
    <row r="176" spans="1:25" ht="29" x14ac:dyDescent="0.35">
      <c r="A176" s="4" t="s">
        <v>429</v>
      </c>
      <c r="C176" s="17"/>
      <c r="D176" s="17"/>
      <c r="E176" s="17"/>
      <c r="F176" s="17"/>
      <c r="G176" s="17"/>
      <c r="Q176" s="34"/>
      <c r="R176" s="34" t="s">
        <v>385</v>
      </c>
      <c r="S176" s="34" t="s">
        <v>373</v>
      </c>
      <c r="T176" s="34" t="s">
        <v>386</v>
      </c>
      <c r="U176" s="34" t="s">
        <v>387</v>
      </c>
      <c r="V176" s="34" t="s">
        <v>388</v>
      </c>
      <c r="W176" s="34" t="s">
        <v>389</v>
      </c>
      <c r="X176" s="34" t="s">
        <v>390</v>
      </c>
      <c r="Y176" s="34" t="s">
        <v>391</v>
      </c>
    </row>
    <row r="177" spans="1:25" x14ac:dyDescent="0.35">
      <c r="A177" s="4" t="s">
        <v>8</v>
      </c>
      <c r="C177" s="17"/>
      <c r="D177" s="17"/>
      <c r="E177" s="17"/>
      <c r="F177" s="17"/>
      <c r="G177" s="17"/>
      <c r="Q177" t="s">
        <v>379</v>
      </c>
      <c r="R177">
        <v>-7120.3066990952893</v>
      </c>
      <c r="S177">
        <v>10452.181440537177</v>
      </c>
      <c r="T177">
        <v>-0.68122685581024034</v>
      </c>
      <c r="U177">
        <v>0.5660244746974149</v>
      </c>
      <c r="V177">
        <v>-52092.413706059255</v>
      </c>
      <c r="W177">
        <v>37851.800307868682</v>
      </c>
      <c r="X177">
        <v>-52092.413706059255</v>
      </c>
      <c r="Y177">
        <v>37851.800307868682</v>
      </c>
    </row>
    <row r="178" spans="1:25" x14ac:dyDescent="0.35">
      <c r="A178" s="4" t="s">
        <v>22</v>
      </c>
      <c r="C178" s="17"/>
      <c r="D178" s="17"/>
      <c r="E178" s="17">
        <f>D186</f>
        <v>5596</v>
      </c>
      <c r="F178" s="17"/>
      <c r="G178" s="17"/>
      <c r="Q178" t="s">
        <v>22</v>
      </c>
      <c r="R178">
        <v>-0.1542859906361109</v>
      </c>
      <c r="S178">
        <v>0.19400527614545277</v>
      </c>
      <c r="T178">
        <v>-0.79526698294760356</v>
      </c>
      <c r="U178">
        <v>0.50984558161549298</v>
      </c>
      <c r="V178">
        <v>-0.98902332162914175</v>
      </c>
      <c r="W178">
        <v>0.6804513403569199</v>
      </c>
      <c r="X178">
        <v>-0.98902332162914175</v>
      </c>
      <c r="Y178">
        <v>0.6804513403569199</v>
      </c>
    </row>
    <row r="179" spans="1:25" ht="15" thickBot="1" x14ac:dyDescent="0.4">
      <c r="A179" s="4" t="s">
        <v>34</v>
      </c>
      <c r="C179" s="17"/>
      <c r="D179" s="17">
        <v>5849</v>
      </c>
      <c r="E179" s="17"/>
      <c r="F179" s="17"/>
      <c r="G179" s="17"/>
      <c r="Q179" s="19" t="s">
        <v>34</v>
      </c>
      <c r="R179" s="19">
        <v>-9.5034845373629787E-2</v>
      </c>
      <c r="S179" s="19">
        <v>0.1799139905491802</v>
      </c>
      <c r="T179" s="19">
        <v>-0.52822376449735653</v>
      </c>
      <c r="U179" s="19">
        <v>0.65010008671321695</v>
      </c>
      <c r="V179" s="19">
        <v>-0.86914226793017924</v>
      </c>
      <c r="W179" s="19">
        <v>0.67907257718291958</v>
      </c>
      <c r="X179" s="19">
        <v>-0.86914226793017924</v>
      </c>
      <c r="Y179" s="19">
        <v>0.67907257718291958</v>
      </c>
    </row>
    <row r="180" spans="1:25" x14ac:dyDescent="0.35">
      <c r="A180" s="4" t="s">
        <v>171</v>
      </c>
      <c r="C180" s="17"/>
      <c r="D180" s="17"/>
      <c r="E180" s="17">
        <v>-5596</v>
      </c>
      <c r="F180" s="17"/>
      <c r="G180" s="17"/>
    </row>
    <row r="181" spans="1:25" x14ac:dyDescent="0.35">
      <c r="A181" s="4" t="s">
        <v>448</v>
      </c>
      <c r="C181" s="17"/>
      <c r="D181" s="17">
        <v>-253</v>
      </c>
      <c r="E181" s="17"/>
      <c r="F181" s="17"/>
      <c r="G181" s="17"/>
    </row>
    <row r="182" spans="1:25" x14ac:dyDescent="0.35">
      <c r="A182" s="4" t="s">
        <v>35</v>
      </c>
      <c r="C182" s="17"/>
      <c r="D182" s="17">
        <f>SUM(D178:D181)</f>
        <v>5596</v>
      </c>
      <c r="E182" s="17">
        <f>SUM(E178:E181)</f>
        <v>0</v>
      </c>
      <c r="F182" s="17"/>
      <c r="G182" s="17"/>
    </row>
    <row r="183" spans="1:25" x14ac:dyDescent="0.35">
      <c r="A183" s="4" t="s">
        <v>36</v>
      </c>
      <c r="C183" s="17"/>
      <c r="D183" s="17"/>
      <c r="E183" s="17"/>
      <c r="F183" s="17"/>
      <c r="G183" s="17"/>
    </row>
    <row r="184" spans="1:25" x14ac:dyDescent="0.35">
      <c r="A184" s="4" t="s">
        <v>21</v>
      </c>
      <c r="C184" s="17"/>
      <c r="D184" s="17">
        <v>5849</v>
      </c>
      <c r="E184" s="17">
        <f>D184+E179</f>
        <v>5849</v>
      </c>
      <c r="F184" s="17"/>
      <c r="G184" s="17"/>
    </row>
    <row r="185" spans="1:25" x14ac:dyDescent="0.35">
      <c r="A185" s="4" t="s">
        <v>6</v>
      </c>
      <c r="C185" s="17"/>
      <c r="D185" s="17">
        <f>D181</f>
        <v>-253</v>
      </c>
      <c r="E185" s="17">
        <f>E180+D185</f>
        <v>-5849</v>
      </c>
      <c r="F185" s="17"/>
      <c r="G185" s="17"/>
    </row>
    <row r="186" spans="1:25" x14ac:dyDescent="0.35">
      <c r="A186" s="4" t="s">
        <v>7</v>
      </c>
      <c r="C186" s="17">
        <f>SUM(C184:C185)</f>
        <v>0</v>
      </c>
      <c r="D186" s="17">
        <f t="shared" ref="D186:G186" si="180">SUM(D184:D185)</f>
        <v>5596</v>
      </c>
      <c r="E186" s="17">
        <f>SUM(E184:E185)</f>
        <v>0</v>
      </c>
      <c r="F186" s="17">
        <f t="shared" si="180"/>
        <v>0</v>
      </c>
      <c r="G186" s="17">
        <f t="shared" si="180"/>
        <v>0</v>
      </c>
    </row>
    <row r="187" spans="1:25" x14ac:dyDescent="0.35">
      <c r="A187" s="4" t="s">
        <v>39</v>
      </c>
      <c r="C187" s="17"/>
      <c r="D187" s="67">
        <f>-D181/D184</f>
        <v>4.3255257308941697E-2</v>
      </c>
      <c r="E187" s="67">
        <f>-E181/E184</f>
        <v>0</v>
      </c>
      <c r="F187" s="17"/>
      <c r="G187" s="17"/>
    </row>
    <row r="188" spans="1:25" x14ac:dyDescent="0.35">
      <c r="C188" s="17"/>
      <c r="D188" s="17"/>
      <c r="E188" s="17"/>
      <c r="F188" s="17"/>
      <c r="G188" s="17"/>
    </row>
    <row r="189" spans="1:25" x14ac:dyDescent="0.35">
      <c r="C189" s="17"/>
      <c r="D189" s="17"/>
      <c r="E189" s="17"/>
      <c r="F189" s="17"/>
      <c r="G189" s="17"/>
    </row>
    <row r="190" spans="1:25" x14ac:dyDescent="0.35">
      <c r="A190" s="6" t="s">
        <v>40</v>
      </c>
      <c r="B190" s="6"/>
      <c r="C190" s="17"/>
      <c r="D190" s="17"/>
      <c r="E190" s="17"/>
      <c r="F190" s="17"/>
      <c r="G190" s="17"/>
    </row>
    <row r="191" spans="1:25" x14ac:dyDescent="0.35">
      <c r="A191" s="7" t="s">
        <v>41</v>
      </c>
      <c r="B191" s="7"/>
      <c r="C191" s="17"/>
      <c r="D191" s="17"/>
      <c r="E191" s="17"/>
      <c r="F191" s="17"/>
      <c r="G191" s="17"/>
    </row>
    <row r="192" spans="1:25" x14ac:dyDescent="0.35">
      <c r="A192" s="4" t="s">
        <v>449</v>
      </c>
      <c r="C192" s="84">
        <v>220487</v>
      </c>
      <c r="D192" s="84">
        <f>C201</f>
        <v>268042</v>
      </c>
      <c r="E192" s="84">
        <f t="shared" ref="E192:L192" si="181">D201</f>
        <v>316240</v>
      </c>
      <c r="F192" s="84">
        <f t="shared" si="181"/>
        <v>788671</v>
      </c>
      <c r="G192" s="84">
        <f t="shared" si="181"/>
        <v>860883</v>
      </c>
      <c r="H192" s="84">
        <f t="shared" si="181"/>
        <v>899035</v>
      </c>
      <c r="I192" s="84">
        <f t="shared" si="181"/>
        <v>1048853.0054989881</v>
      </c>
      <c r="J192" s="84">
        <f t="shared" si="181"/>
        <v>1245101.925498988</v>
      </c>
      <c r="K192" s="84">
        <f t="shared" si="181"/>
        <v>1470961.0294989881</v>
      </c>
      <c r="L192" s="84">
        <f t="shared" si="181"/>
        <v>1576328.2880719618</v>
      </c>
    </row>
    <row r="193" spans="1:12" x14ac:dyDescent="0.35">
      <c r="C193" s="15"/>
      <c r="D193" s="15"/>
      <c r="E193" s="15"/>
      <c r="F193" s="15"/>
      <c r="G193" s="15"/>
      <c r="H193" s="15"/>
      <c r="I193" s="15"/>
      <c r="J193" s="15"/>
      <c r="K193" s="15"/>
      <c r="L193" s="15"/>
    </row>
    <row r="194" spans="1:12" x14ac:dyDescent="0.35">
      <c r="A194" s="4" t="s">
        <v>8</v>
      </c>
      <c r="C194" s="17"/>
      <c r="D194" s="17"/>
      <c r="E194" s="17"/>
      <c r="F194" s="17"/>
      <c r="G194" s="17"/>
    </row>
    <row r="195" spans="1:12" x14ac:dyDescent="0.35">
      <c r="A195" s="4" t="s">
        <v>43</v>
      </c>
      <c r="C195" s="17">
        <v>106773</v>
      </c>
      <c r="D195" s="18">
        <f>C199</f>
        <v>78966</v>
      </c>
      <c r="E195" s="18">
        <f t="shared" ref="E195:H195" si="182">D199</f>
        <v>101971</v>
      </c>
      <c r="F195" s="18">
        <f t="shared" si="182"/>
        <v>711832</v>
      </c>
      <c r="G195" s="18">
        <f t="shared" si="182"/>
        <v>686598</v>
      </c>
      <c r="H195" s="18">
        <f t="shared" si="182"/>
        <v>620205</v>
      </c>
      <c r="I195" s="18">
        <f t="shared" ref="I195:K195" si="183">H199</f>
        <v>702765.80549898813</v>
      </c>
      <c r="J195" s="18">
        <f t="shared" si="183"/>
        <v>833378.48549898807</v>
      </c>
      <c r="K195" s="18">
        <f t="shared" si="183"/>
        <v>985512.70149898808</v>
      </c>
      <c r="L195" s="18">
        <f>K199</f>
        <v>1009158.0944719617</v>
      </c>
    </row>
    <row r="196" spans="1:12" x14ac:dyDescent="0.35">
      <c r="A196" s="4" t="s">
        <v>44</v>
      </c>
      <c r="C196" s="17">
        <v>47555</v>
      </c>
      <c r="D196" s="18">
        <v>48198</v>
      </c>
      <c r="E196" s="17">
        <v>651216</v>
      </c>
      <c r="F196" s="17">
        <v>72212</v>
      </c>
      <c r="G196" s="17">
        <v>38152</v>
      </c>
      <c r="H196" s="17">
        <f>AVERAGE(C196:G196)</f>
        <v>171466.6</v>
      </c>
      <c r="I196" s="17">
        <f t="shared" ref="I196:L196" si="184">AVERAGE(D196:H196)</f>
        <v>196248.91999999998</v>
      </c>
      <c r="J196" s="17">
        <f t="shared" si="184"/>
        <v>225859.10399999999</v>
      </c>
      <c r="K196" s="17">
        <f t="shared" si="184"/>
        <v>140787.7248</v>
      </c>
      <c r="L196" s="17">
        <f t="shared" si="184"/>
        <v>154502.86976</v>
      </c>
    </row>
    <row r="197" spans="1:12" x14ac:dyDescent="0.35">
      <c r="A197" s="4" t="s">
        <v>45</v>
      </c>
      <c r="C197" s="17">
        <v>-75362</v>
      </c>
      <c r="D197" s="18">
        <v>-25193</v>
      </c>
      <c r="E197" s="17">
        <v>-33740</v>
      </c>
      <c r="F197" s="17">
        <v>-97446</v>
      </c>
      <c r="G197" s="17">
        <v>-104545</v>
      </c>
      <c r="H197" s="17">
        <f>AVERAGE(C197:G197)</f>
        <v>-67257.2</v>
      </c>
      <c r="I197" s="17">
        <f t="shared" ref="I197:L197" si="185">AVERAGE(D197:H197)</f>
        <v>-65636.240000000005</v>
      </c>
      <c r="J197" s="17">
        <f t="shared" si="185"/>
        <v>-73724.888000000006</v>
      </c>
      <c r="K197" s="17">
        <f t="shared" si="185"/>
        <v>-81721.86559999999</v>
      </c>
      <c r="L197" s="17">
        <f t="shared" si="185"/>
        <v>-78577.038719999997</v>
      </c>
    </row>
    <row r="198" spans="1:12" x14ac:dyDescent="0.35">
      <c r="A198" s="4" t="s">
        <v>172</v>
      </c>
      <c r="C198" s="31" t="s">
        <v>18</v>
      </c>
      <c r="D198" s="71"/>
      <c r="E198" s="31">
        <v>-7615</v>
      </c>
      <c r="F198" s="31"/>
      <c r="G198" s="31"/>
      <c r="H198" s="31">
        <f>E198/D201*G201</f>
        <v>-21648.594501011888</v>
      </c>
      <c r="I198" s="31">
        <f t="shared" ref="I198:L198" si="186">F198/E201*H201</f>
        <v>0</v>
      </c>
      <c r="J198" s="31">
        <f t="shared" si="186"/>
        <v>0</v>
      </c>
      <c r="K198" s="31">
        <f t="shared" si="186"/>
        <v>-35420.466227026292</v>
      </c>
      <c r="L198" s="31">
        <f t="shared" si="186"/>
        <v>0</v>
      </c>
    </row>
    <row r="199" spans="1:12" x14ac:dyDescent="0.35">
      <c r="A199" s="4" t="s">
        <v>156</v>
      </c>
      <c r="C199" s="33">
        <f>SUM(C195:C198)</f>
        <v>78966</v>
      </c>
      <c r="D199" s="33">
        <f t="shared" ref="D199:H199" si="187">SUM(D195:D198)</f>
        <v>101971</v>
      </c>
      <c r="E199" s="33">
        <f>SUM(E195:E198)</f>
        <v>711832</v>
      </c>
      <c r="F199" s="33">
        <f t="shared" si="187"/>
        <v>686598</v>
      </c>
      <c r="G199" s="33">
        <f t="shared" si="187"/>
        <v>620205</v>
      </c>
      <c r="H199" s="33">
        <f t="shared" si="187"/>
        <v>702765.80549898813</v>
      </c>
      <c r="I199" s="33">
        <f t="shared" ref="I199" si="188">SUM(I195:I198)</f>
        <v>833378.48549898807</v>
      </c>
      <c r="J199" s="33">
        <f t="shared" ref="J199" si="189">SUM(J195:J198)</f>
        <v>985512.70149898808</v>
      </c>
      <c r="K199" s="33">
        <f t="shared" ref="K199" si="190">SUM(K195:K198)</f>
        <v>1009158.0944719617</v>
      </c>
      <c r="L199" s="33">
        <f t="shared" ref="L199" si="191">SUM(L195:L198)</f>
        <v>1085083.9255119616</v>
      </c>
    </row>
    <row r="200" spans="1:12" x14ac:dyDescent="0.35">
      <c r="A200" s="4" t="s">
        <v>36</v>
      </c>
      <c r="C200" s="17"/>
      <c r="D200" s="18"/>
      <c r="E200" s="17"/>
      <c r="F200" s="17"/>
      <c r="G200" s="17"/>
      <c r="H200" s="17"/>
      <c r="I200" s="17"/>
      <c r="J200" s="17"/>
      <c r="K200" s="17"/>
      <c r="L200" s="17"/>
    </row>
    <row r="201" spans="1:12" x14ac:dyDescent="0.35">
      <c r="A201" s="4" t="s">
        <v>21</v>
      </c>
      <c r="C201" s="17">
        <f>C192+C196</f>
        <v>268042</v>
      </c>
      <c r="D201" s="18">
        <f>C201+D196+D198</f>
        <v>316240</v>
      </c>
      <c r="E201" s="17">
        <v>788671</v>
      </c>
      <c r="F201" s="17">
        <f>E201+F196+F198</f>
        <v>860883</v>
      </c>
      <c r="G201" s="17">
        <f>F201+G196+G198</f>
        <v>899035</v>
      </c>
      <c r="H201" s="17">
        <f>G201+H196+H198</f>
        <v>1048853.0054989881</v>
      </c>
      <c r="I201" s="17">
        <f t="shared" ref="I201:L201" si="192">H201+I196+I198</f>
        <v>1245101.925498988</v>
      </c>
      <c r="J201" s="17">
        <f t="shared" si="192"/>
        <v>1470961.0294989881</v>
      </c>
      <c r="K201" s="17">
        <f t="shared" si="192"/>
        <v>1576328.2880719618</v>
      </c>
      <c r="L201" s="17">
        <f t="shared" si="192"/>
        <v>1730831.1578319618</v>
      </c>
    </row>
    <row r="202" spans="1:12" x14ac:dyDescent="0.35">
      <c r="A202" s="4" t="s">
        <v>46</v>
      </c>
      <c r="C202" s="31">
        <v>-189076</v>
      </c>
      <c r="D202" s="71">
        <f>C202+D197</f>
        <v>-214269</v>
      </c>
      <c r="E202" s="31">
        <v>-76839</v>
      </c>
      <c r="F202" s="31">
        <f>E202+F197</f>
        <v>-174285</v>
      </c>
      <c r="G202" s="31">
        <f>F202+G197</f>
        <v>-278830</v>
      </c>
      <c r="H202" s="31">
        <f>G202+H197</f>
        <v>-346087.2</v>
      </c>
      <c r="I202" s="31">
        <f t="shared" ref="I202:L202" si="193">H202+I197</f>
        <v>-411723.44</v>
      </c>
      <c r="J202" s="31">
        <f t="shared" si="193"/>
        <v>-485448.32799999998</v>
      </c>
      <c r="K202" s="31">
        <f t="shared" si="193"/>
        <v>-567170.1936</v>
      </c>
      <c r="L202" s="31">
        <f t="shared" si="193"/>
        <v>-645747.23231999995</v>
      </c>
    </row>
    <row r="203" spans="1:12" x14ac:dyDescent="0.35">
      <c r="A203" s="4" t="s">
        <v>42</v>
      </c>
      <c r="C203" s="33">
        <f t="shared" ref="C203:H203" si="194">SUM(C201:C202)</f>
        <v>78966</v>
      </c>
      <c r="D203" s="33">
        <f t="shared" si="194"/>
        <v>101971</v>
      </c>
      <c r="E203" s="33">
        <f t="shared" si="194"/>
        <v>711832</v>
      </c>
      <c r="F203" s="33">
        <f t="shared" si="194"/>
        <v>686598</v>
      </c>
      <c r="G203" s="33">
        <f t="shared" si="194"/>
        <v>620205</v>
      </c>
      <c r="H203" s="33">
        <f t="shared" si="194"/>
        <v>702765.80549898813</v>
      </c>
      <c r="I203" s="33">
        <f t="shared" ref="I203:L203" si="195">SUM(I201:I202)</f>
        <v>833378.48549898807</v>
      </c>
      <c r="J203" s="33">
        <f t="shared" si="195"/>
        <v>985512.70149898808</v>
      </c>
      <c r="K203" s="33">
        <f t="shared" si="195"/>
        <v>1009158.0944719618</v>
      </c>
      <c r="L203" s="33">
        <f t="shared" si="195"/>
        <v>1085083.9255119618</v>
      </c>
    </row>
    <row r="204" spans="1:12" x14ac:dyDescent="0.35">
      <c r="C204" s="85"/>
      <c r="D204" s="80"/>
      <c r="E204" s="80"/>
      <c r="F204" s="80"/>
      <c r="G204" s="80"/>
      <c r="H204" s="8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7191-405C-46C1-8E8A-25B13F8136BA}">
  <dimension ref="A1:V157"/>
  <sheetViews>
    <sheetView topLeftCell="A146" zoomScale="64" workbookViewId="0">
      <selection activeCell="G156" sqref="G156"/>
    </sheetView>
  </sheetViews>
  <sheetFormatPr defaultRowHeight="14.5" x14ac:dyDescent="0.35"/>
  <cols>
    <col min="1" max="1" width="36.08984375" customWidth="1"/>
    <col min="2" max="2" width="18.7265625" customWidth="1"/>
    <col min="3" max="3" width="12.453125" customWidth="1"/>
    <col min="4" max="4" width="12.36328125" customWidth="1"/>
    <col min="5" max="5" width="12.54296875" customWidth="1"/>
    <col min="6" max="6" width="11.7265625" customWidth="1"/>
    <col min="7" max="7" width="16.7265625" customWidth="1"/>
    <col min="8" max="8" width="11.54296875" customWidth="1"/>
    <col min="9" max="9" width="13.81640625" customWidth="1"/>
    <col min="10" max="10" width="12.453125" customWidth="1"/>
    <col min="11" max="11" width="13.36328125" customWidth="1"/>
    <col min="12" max="12" width="12.36328125" customWidth="1"/>
  </cols>
  <sheetData>
    <row r="1" spans="1:22" ht="15" thickBot="1" x14ac:dyDescent="0.4">
      <c r="B1" s="25">
        <v>2019</v>
      </c>
      <c r="C1" s="25">
        <v>2020</v>
      </c>
      <c r="D1" s="25">
        <v>2021</v>
      </c>
      <c r="E1" s="25">
        <v>2022</v>
      </c>
      <c r="F1" s="25">
        <v>2023</v>
      </c>
      <c r="G1" s="25">
        <v>2024</v>
      </c>
      <c r="H1" s="25">
        <v>2025</v>
      </c>
      <c r="I1" s="25">
        <v>2026</v>
      </c>
      <c r="J1" s="25">
        <v>2027</v>
      </c>
      <c r="K1" s="25">
        <v>2028</v>
      </c>
    </row>
    <row r="2" spans="1:22" x14ac:dyDescent="0.35">
      <c r="A2" s="256" t="s">
        <v>457</v>
      </c>
      <c r="B2" s="66">
        <f>Assumptions!C455</f>
        <v>37836632</v>
      </c>
      <c r="C2" s="66">
        <f>Assumptions!D455</f>
        <v>35331398</v>
      </c>
      <c r="D2" s="66">
        <f>Assumptions!E455</f>
        <v>70019594</v>
      </c>
      <c r="E2" s="66">
        <f>Assumptions!F455</f>
        <v>82059583</v>
      </c>
      <c r="F2" s="66">
        <f>Assumptions!G455</f>
        <v>81224448</v>
      </c>
      <c r="G2" s="89">
        <f>Assumptions!H455</f>
        <v>75781432.984762698</v>
      </c>
      <c r="H2" s="89">
        <f>Assumptions!I455</f>
        <v>73739480.630697727</v>
      </c>
      <c r="I2" s="89">
        <f>Assumptions!J455</f>
        <v>83720738.781879231</v>
      </c>
      <c r="J2" s="89">
        <f>Assumptions!K455</f>
        <v>93935977.946521103</v>
      </c>
      <c r="K2" s="89">
        <f>Assumptions!L455</f>
        <v>104278840.86547732</v>
      </c>
      <c r="L2" s="446" t="s">
        <v>531</v>
      </c>
      <c r="M2" s="15"/>
      <c r="N2" s="17"/>
      <c r="O2" s="17"/>
      <c r="P2" s="17"/>
      <c r="Q2" s="17"/>
      <c r="R2" s="12"/>
      <c r="S2" s="12"/>
      <c r="T2" s="12"/>
      <c r="U2" s="12"/>
      <c r="V2" s="12"/>
    </row>
    <row r="3" spans="1:22" x14ac:dyDescent="0.35">
      <c r="A3" t="s">
        <v>177</v>
      </c>
      <c r="B3" s="89">
        <v>44223191</v>
      </c>
      <c r="C3" s="89">
        <v>42002709</v>
      </c>
      <c r="D3" s="89">
        <v>77442765</v>
      </c>
      <c r="E3" s="89">
        <v>92990439</v>
      </c>
      <c r="F3" s="89">
        <v>89862918</v>
      </c>
      <c r="G3" s="89">
        <f>Assumptions!H447</f>
        <v>82029147.660311937</v>
      </c>
      <c r="H3" s="89">
        <f>Assumptions!I447</f>
        <v>79460814.317109287</v>
      </c>
      <c r="I3" s="89">
        <f>Assumptions!J447</f>
        <v>90649901.734410644</v>
      </c>
      <c r="J3" s="89">
        <f>Assumptions!K447</f>
        <v>100521982.15100497</v>
      </c>
      <c r="K3" s="89">
        <f>Assumptions!L447</f>
        <v>111450059.05508977</v>
      </c>
      <c r="L3" s="446"/>
      <c r="M3" s="15"/>
      <c r="N3" s="17"/>
      <c r="O3" s="17"/>
      <c r="P3" s="17"/>
      <c r="Q3" s="17"/>
    </row>
    <row r="4" spans="1:22" x14ac:dyDescent="0.35">
      <c r="A4" t="s">
        <v>176</v>
      </c>
      <c r="B4" s="89"/>
      <c r="C4" s="89"/>
      <c r="D4" s="89"/>
      <c r="E4" s="89"/>
      <c r="F4" s="89"/>
      <c r="G4" s="89">
        <f>Assumptions!H448</f>
        <v>0</v>
      </c>
      <c r="H4" s="89">
        <f>Assumptions!I448</f>
        <v>0</v>
      </c>
      <c r="I4" s="89">
        <f>Assumptions!J448</f>
        <v>0</v>
      </c>
      <c r="J4" s="89">
        <f>Assumptions!K448</f>
        <v>0</v>
      </c>
      <c r="K4" s="89">
        <f>Assumptions!L448</f>
        <v>0</v>
      </c>
      <c r="L4" s="446"/>
      <c r="M4" s="15"/>
      <c r="N4" s="17"/>
      <c r="O4" s="17"/>
      <c r="P4" s="17"/>
      <c r="Q4" s="17"/>
    </row>
    <row r="5" spans="1:22" x14ac:dyDescent="0.35">
      <c r="A5" t="s">
        <v>415</v>
      </c>
      <c r="B5" s="89">
        <v>6404399</v>
      </c>
      <c r="C5" s="89">
        <v>6118942</v>
      </c>
      <c r="D5" s="89">
        <v>11115481</v>
      </c>
      <c r="E5" s="89">
        <v>13188768</v>
      </c>
      <c r="F5" s="89">
        <v>13464502</v>
      </c>
      <c r="G5" s="89">
        <f>Assumptions!H449</f>
        <v>11905209.9979204</v>
      </c>
      <c r="H5" s="89">
        <f>Assumptions!I449</f>
        <v>11532457.76694382</v>
      </c>
      <c r="I5" s="89">
        <f>Assumptions!J449</f>
        <v>13156373.645476244</v>
      </c>
      <c r="J5" s="89">
        <f>Assumptions!K449</f>
        <v>14589147.163526304</v>
      </c>
      <c r="K5" s="89">
        <f>Assumptions!L449</f>
        <v>16175181.568702746</v>
      </c>
      <c r="L5" s="446"/>
      <c r="M5" s="15"/>
      <c r="N5" s="17"/>
      <c r="O5" s="17"/>
      <c r="P5" s="17"/>
      <c r="Q5" s="17"/>
      <c r="R5" s="14"/>
      <c r="S5" s="14"/>
      <c r="T5" s="14"/>
      <c r="U5" s="14"/>
      <c r="V5" s="14"/>
    </row>
    <row r="6" spans="1:22" ht="13.5" customHeight="1" x14ac:dyDescent="0.35">
      <c r="A6" t="s">
        <v>394</v>
      </c>
      <c r="B6" s="89">
        <v>523257</v>
      </c>
      <c r="C6" s="89">
        <v>795459</v>
      </c>
      <c r="D6" s="89">
        <v>1194308</v>
      </c>
      <c r="E6" s="89">
        <v>2297964</v>
      </c>
      <c r="F6" s="89">
        <v>2575010</v>
      </c>
      <c r="G6" s="89">
        <f>Assumptions!H450</f>
        <v>1748423.1364688524</v>
      </c>
      <c r="H6" s="89">
        <f>Assumptions!I450</f>
        <v>1693679.9925072023</v>
      </c>
      <c r="I6" s="89">
        <f>Assumptions!J450</f>
        <v>1932171.551597819</v>
      </c>
      <c r="J6" s="89">
        <f>Assumptions!K450</f>
        <v>2142591.558360924</v>
      </c>
      <c r="K6" s="89">
        <f>Assumptions!L450</f>
        <v>2375519.7679204787</v>
      </c>
      <c r="L6" s="446"/>
      <c r="M6" s="15"/>
      <c r="N6" s="17"/>
      <c r="O6" s="17"/>
      <c r="P6" s="17"/>
      <c r="Q6" s="17"/>
      <c r="R6" s="17"/>
      <c r="S6" s="17"/>
      <c r="T6" s="17"/>
      <c r="U6" s="17"/>
      <c r="V6" s="17"/>
    </row>
    <row r="7" spans="1:22" ht="13.5" customHeight="1" x14ac:dyDescent="0.35">
      <c r="B7" s="89">
        <v>-6927656</v>
      </c>
      <c r="C7" s="89">
        <v>-6914401</v>
      </c>
      <c r="D7" s="89">
        <v>-12309789</v>
      </c>
      <c r="E7" s="89">
        <v>-15486732</v>
      </c>
      <c r="F7" s="89">
        <v>-16039512</v>
      </c>
      <c r="G7" s="89">
        <f>Assumptions!H451</f>
        <v>-13653633.134389251</v>
      </c>
      <c r="H7" s="89">
        <f>Assumptions!I451</f>
        <v>-13226137.759451022</v>
      </c>
      <c r="I7" s="89">
        <f>Assumptions!J451</f>
        <v>-15088545.197074063</v>
      </c>
      <c r="J7" s="89">
        <f>Assumptions!K451</f>
        <v>-16731738.721887227</v>
      </c>
      <c r="K7" s="89">
        <f>Assumptions!L451</f>
        <v>-18550701.336623225</v>
      </c>
      <c r="L7" s="446"/>
      <c r="M7" s="15"/>
      <c r="N7" s="17"/>
      <c r="O7" s="17"/>
      <c r="P7" s="17"/>
      <c r="Q7" s="17"/>
      <c r="R7" s="17"/>
      <c r="S7" s="17"/>
      <c r="T7" s="17"/>
      <c r="U7" s="17"/>
      <c r="V7" s="17"/>
    </row>
    <row r="8" spans="1:22" ht="13.5" customHeight="1" x14ac:dyDescent="0.35">
      <c r="B8" s="89">
        <v>37295535</v>
      </c>
      <c r="C8" s="89">
        <v>35088308</v>
      </c>
      <c r="D8" s="89">
        <v>65132976</v>
      </c>
      <c r="E8" s="89">
        <v>77503707</v>
      </c>
      <c r="F8" s="89">
        <v>73823406</v>
      </c>
      <c r="G8" s="89">
        <f>Assumptions!H452</f>
        <v>68375514.525922686</v>
      </c>
      <c r="H8" s="89">
        <f>Assumptions!I452</f>
        <v>66234676.557658263</v>
      </c>
      <c r="I8" s="89">
        <f>Assumptions!J452</f>
        <v>75561356.537336588</v>
      </c>
      <c r="J8" s="89">
        <f>Assumptions!K452</f>
        <v>83790243.429117739</v>
      </c>
      <c r="K8" s="89">
        <f>Assumptions!L452</f>
        <v>92899357.71846655</v>
      </c>
      <c r="L8" s="446"/>
      <c r="M8" s="15"/>
      <c r="N8" s="17"/>
      <c r="O8" s="17"/>
      <c r="P8" s="17"/>
      <c r="Q8" s="17"/>
      <c r="R8" s="17"/>
      <c r="S8" s="17"/>
      <c r="T8" s="17"/>
      <c r="U8" s="17"/>
      <c r="V8" s="17"/>
    </row>
    <row r="9" spans="1:22" ht="13.5" customHeight="1" x14ac:dyDescent="0.35">
      <c r="A9" t="s">
        <v>178</v>
      </c>
      <c r="B9" s="89">
        <v>469164</v>
      </c>
      <c r="C9" s="89">
        <v>158059</v>
      </c>
      <c r="D9" s="89">
        <v>4805957</v>
      </c>
      <c r="E9" s="89">
        <v>4479059</v>
      </c>
      <c r="F9" s="89">
        <v>7294749</v>
      </c>
      <c r="G9" s="89">
        <f>Assumptions!H453</f>
        <v>7317665.4541452993</v>
      </c>
      <c r="H9" s="89">
        <f>Assumptions!I453</f>
        <v>7410021.5714749806</v>
      </c>
      <c r="I9" s="89">
        <f>Assumptions!J453</f>
        <v>8058070.3032716857</v>
      </c>
      <c r="J9" s="89">
        <f>Assumptions!K453</f>
        <v>10037893.209920056</v>
      </c>
      <c r="K9" s="89">
        <f>Assumptions!L453</f>
        <v>11265112.56313844</v>
      </c>
      <c r="L9" s="446"/>
      <c r="M9" s="15"/>
      <c r="N9" s="17"/>
      <c r="O9" s="17"/>
      <c r="P9" s="17"/>
      <c r="Q9" s="17"/>
      <c r="R9" s="17"/>
      <c r="S9" s="17"/>
      <c r="T9" s="17"/>
      <c r="U9" s="17"/>
      <c r="V9" s="17"/>
    </row>
    <row r="10" spans="1:22" x14ac:dyDescent="0.35">
      <c r="A10" t="s">
        <v>179</v>
      </c>
      <c r="B10" s="89">
        <v>71933</v>
      </c>
      <c r="C10" s="89">
        <v>85031</v>
      </c>
      <c r="D10" s="89">
        <v>80661</v>
      </c>
      <c r="E10" s="89">
        <v>76817</v>
      </c>
      <c r="F10" s="89">
        <v>106293</v>
      </c>
      <c r="G10" s="89">
        <f>Assumptions!H454</f>
        <v>88253.004694721152</v>
      </c>
      <c r="H10" s="89">
        <f>Assumptions!I454</f>
        <v>94782.501564482649</v>
      </c>
      <c r="I10" s="89">
        <f>Assumptions!J454</f>
        <v>101311.94127096643</v>
      </c>
      <c r="J10" s="89">
        <f>Assumptions!K454</f>
        <v>107841.30748330941</v>
      </c>
      <c r="K10" s="89">
        <f>Assumptions!L454</f>
        <v>114370.58387232639</v>
      </c>
      <c r="L10" s="446"/>
      <c r="M10" s="15"/>
      <c r="N10" s="17"/>
      <c r="O10" s="17"/>
      <c r="P10" s="17"/>
      <c r="Q10" s="17"/>
      <c r="R10" s="17"/>
      <c r="S10" s="17"/>
      <c r="T10" s="17"/>
      <c r="U10" s="17"/>
      <c r="V10" s="17"/>
    </row>
    <row r="11" spans="1:22" x14ac:dyDescent="0.35">
      <c r="B11" s="66"/>
      <c r="C11" s="66"/>
      <c r="D11" s="66"/>
      <c r="E11" s="66"/>
      <c r="F11" s="66"/>
      <c r="G11" s="66"/>
      <c r="H11" s="66"/>
      <c r="I11" s="66"/>
      <c r="J11" s="66"/>
      <c r="K11" s="66"/>
      <c r="M11" s="15"/>
      <c r="N11" s="17"/>
      <c r="O11" s="17"/>
      <c r="P11" s="17"/>
      <c r="Q11" s="17"/>
      <c r="R11" s="17"/>
      <c r="S11" s="17"/>
      <c r="T11" s="17"/>
      <c r="U11" s="17"/>
      <c r="V11" s="17"/>
    </row>
    <row r="12" spans="1:22" x14ac:dyDescent="0.35">
      <c r="B12" s="66"/>
      <c r="C12" s="66"/>
      <c r="D12" s="66"/>
      <c r="E12" s="66"/>
      <c r="F12" s="66"/>
      <c r="G12" s="66"/>
      <c r="H12" s="66"/>
      <c r="I12" s="66"/>
      <c r="J12" s="66"/>
      <c r="K12" s="66"/>
      <c r="M12" s="15"/>
      <c r="N12" s="17"/>
      <c r="O12" s="17"/>
      <c r="P12" s="17"/>
      <c r="Q12" s="17"/>
      <c r="R12" s="17"/>
      <c r="S12" s="17"/>
      <c r="T12" s="17"/>
      <c r="U12" s="17"/>
      <c r="V12" s="17"/>
    </row>
    <row r="13" spans="1:22" x14ac:dyDescent="0.35">
      <c r="A13" s="6" t="s">
        <v>180</v>
      </c>
      <c r="B13" s="23"/>
      <c r="C13" s="23"/>
      <c r="D13" s="23"/>
      <c r="E13" s="23"/>
      <c r="F13" s="23"/>
      <c r="M13" s="17"/>
      <c r="N13" s="17"/>
      <c r="O13" s="17"/>
      <c r="P13" s="17"/>
      <c r="Q13" s="17"/>
      <c r="R13" s="12"/>
      <c r="S13" s="12"/>
      <c r="T13" s="12"/>
      <c r="U13" s="12"/>
      <c r="V13" s="12"/>
    </row>
    <row r="14" spans="1:22" x14ac:dyDescent="0.35">
      <c r="A14" s="4" t="s">
        <v>182</v>
      </c>
      <c r="B14" s="23">
        <v>15856</v>
      </c>
      <c r="C14" s="24">
        <f>-B39</f>
        <v>25120</v>
      </c>
      <c r="D14" s="24">
        <f t="shared" ref="D14:K14" si="0">-C39</f>
        <v>28354</v>
      </c>
      <c r="E14" s="24">
        <f t="shared" si="0"/>
        <v>56008</v>
      </c>
      <c r="F14" s="24">
        <f t="shared" si="0"/>
        <v>0</v>
      </c>
      <c r="G14" s="24">
        <f t="shared" si="0"/>
        <v>431254</v>
      </c>
      <c r="H14" s="24">
        <f t="shared" si="0"/>
        <v>135184</v>
      </c>
      <c r="I14" s="24">
        <f t="shared" si="0"/>
        <v>162700</v>
      </c>
      <c r="J14" s="24">
        <f t="shared" si="0"/>
        <v>196286.5</v>
      </c>
      <c r="K14" s="24">
        <f t="shared" si="0"/>
        <v>231356.125</v>
      </c>
      <c r="M14" s="17"/>
      <c r="N14" s="17"/>
      <c r="O14" s="17"/>
      <c r="P14" s="17"/>
      <c r="Q14" s="17"/>
      <c r="R14" s="14"/>
      <c r="S14" s="14"/>
      <c r="T14" s="14"/>
      <c r="U14" s="14"/>
      <c r="V14" s="14"/>
    </row>
    <row r="15" spans="1:22" ht="29" x14ac:dyDescent="0.35">
      <c r="A15" s="4" t="s">
        <v>183</v>
      </c>
      <c r="B15" s="27">
        <v>17274480</v>
      </c>
      <c r="C15" s="27">
        <v>11425736</v>
      </c>
      <c r="D15" s="28">
        <v>31987105</v>
      </c>
      <c r="E15" s="28">
        <v>37915000</v>
      </c>
      <c r="F15" s="28">
        <v>39839676</v>
      </c>
      <c r="G15" s="69">
        <f>Regression!H56</f>
        <v>36697417.412905</v>
      </c>
      <c r="H15" s="69">
        <f>Regression!I56</f>
        <v>35721180.857996635</v>
      </c>
      <c r="I15" s="69">
        <f>Regression!J56</f>
        <v>40660204.845639035</v>
      </c>
      <c r="J15" s="69">
        <f>Regression!K56</f>
        <v>46527573.454627998</v>
      </c>
      <c r="K15" s="69">
        <f>Regression!L56</f>
        <v>52002921.563290641</v>
      </c>
      <c r="L15" s="88" t="s">
        <v>461</v>
      </c>
      <c r="M15" s="88"/>
      <c r="N15" s="88"/>
      <c r="O15" s="88"/>
      <c r="P15" s="88"/>
    </row>
    <row r="16" spans="1:22" ht="29" x14ac:dyDescent="0.35">
      <c r="A16" s="4" t="s">
        <v>184</v>
      </c>
      <c r="B16" s="86">
        <v>1503316</v>
      </c>
      <c r="C16" s="18">
        <v>1622575</v>
      </c>
      <c r="D16" s="17">
        <v>2199965</v>
      </c>
      <c r="E16" s="17">
        <v>1828058</v>
      </c>
      <c r="F16" s="17">
        <v>2020350</v>
      </c>
      <c r="G16" s="90">
        <f>Regression!N71</f>
        <v>2390984.5273813982</v>
      </c>
      <c r="H16" s="90">
        <f>Regression!O71</f>
        <v>2599380.4959165957</v>
      </c>
      <c r="I16" s="90">
        <f>Regression!P71</f>
        <v>2722102.5209465185</v>
      </c>
      <c r="J16" s="90">
        <f>Regression!Q71</f>
        <v>3040593.0880523063</v>
      </c>
      <c r="K16" s="90">
        <f>Regression!R71</f>
        <v>3220688.3779029236</v>
      </c>
      <c r="L16" s="88" t="s">
        <v>461</v>
      </c>
      <c r="M16" s="87"/>
      <c r="N16" s="87"/>
      <c r="O16" s="87"/>
      <c r="P16" s="87"/>
    </row>
    <row r="17" spans="1:16" x14ac:dyDescent="0.35">
      <c r="A17" s="4" t="s">
        <v>185</v>
      </c>
      <c r="B17" s="86">
        <v>6299932</v>
      </c>
      <c r="C17" s="18">
        <v>5033762</v>
      </c>
      <c r="D17" s="17">
        <v>7159270</v>
      </c>
      <c r="E17" s="17">
        <v>8557549</v>
      </c>
      <c r="F17" s="17">
        <v>11856064</v>
      </c>
      <c r="G17">
        <f>TREND(B17:F17)</f>
        <v>4854105.2000000011</v>
      </c>
      <c r="H17">
        <f t="shared" ref="H17:K17" si="1">TREND(C17:G17)</f>
        <v>6624653.96</v>
      </c>
      <c r="I17">
        <f t="shared" si="1"/>
        <v>8764863.6080000009</v>
      </c>
      <c r="J17">
        <f t="shared" si="1"/>
        <v>9094803.3184000012</v>
      </c>
      <c r="K17">
        <f t="shared" si="1"/>
        <v>8561250.6083199997</v>
      </c>
      <c r="L17" s="87" t="s">
        <v>462</v>
      </c>
      <c r="M17" s="87"/>
      <c r="N17" s="87"/>
      <c r="O17" s="87"/>
      <c r="P17" s="87"/>
    </row>
    <row r="18" spans="1:16" ht="29" x14ac:dyDescent="0.35">
      <c r="A18" s="4" t="s">
        <v>186</v>
      </c>
      <c r="B18" s="86">
        <v>409887</v>
      </c>
      <c r="C18" s="18">
        <v>480553</v>
      </c>
      <c r="D18" s="17">
        <v>661914</v>
      </c>
      <c r="E18" s="17">
        <v>560762</v>
      </c>
      <c r="F18" s="17">
        <v>152734</v>
      </c>
      <c r="G18" s="14">
        <f t="shared" ref="G18" si="2">AVERAGE(B18:F18)</f>
        <v>453170</v>
      </c>
      <c r="H18" s="14">
        <f t="shared" ref="H18" si="3">AVERAGE(C18:G18)</f>
        <v>461826.6</v>
      </c>
      <c r="I18" s="14">
        <f t="shared" ref="I18" si="4">AVERAGE(D18:H18)</f>
        <v>458081.32</v>
      </c>
      <c r="J18" s="14">
        <f t="shared" ref="J18" si="5">AVERAGE(E18:I18)</f>
        <v>417314.78400000004</v>
      </c>
      <c r="K18" s="14">
        <f t="shared" ref="K18" si="6">AVERAGE(F18:J18)</f>
        <v>388625.34080000001</v>
      </c>
      <c r="L18" s="87" t="s">
        <v>465</v>
      </c>
      <c r="M18" s="87"/>
      <c r="N18" s="87"/>
      <c r="O18" s="87"/>
      <c r="P18" s="87"/>
    </row>
    <row r="19" spans="1:16" ht="43.5" x14ac:dyDescent="0.35">
      <c r="A19" s="4" t="s">
        <v>187</v>
      </c>
      <c r="B19" s="86">
        <v>1058073</v>
      </c>
      <c r="C19" s="18">
        <v>1262101</v>
      </c>
      <c r="D19" s="17">
        <v>1783250</v>
      </c>
      <c r="E19" s="17">
        <f>E48</f>
        <v>2393566</v>
      </c>
      <c r="F19" s="17">
        <f>F48</f>
        <v>2899437</v>
      </c>
      <c r="G19" s="17">
        <f t="shared" ref="G19:J19" si="7">G48</f>
        <v>2852471.378075629</v>
      </c>
      <c r="H19" s="17">
        <f t="shared" si="7"/>
        <v>3167033.0979445549</v>
      </c>
      <c r="I19" s="17">
        <f t="shared" si="7"/>
        <v>3513979.4435715307</v>
      </c>
      <c r="J19" s="17">
        <f t="shared" si="7"/>
        <v>3785798.0349326241</v>
      </c>
      <c r="K19" s="14">
        <f>-('Depreciation schedule'!L19+'Depreciation schedule'!L39+'Depreciation schedule'!L59+'Depreciation schedule'!L81+'Depreciation schedule'!L103+'Depreciation schedule'!L125)</f>
        <v>4209462.7739311643</v>
      </c>
      <c r="L19" s="87" t="s">
        <v>478</v>
      </c>
      <c r="M19" s="87"/>
      <c r="N19" s="87"/>
      <c r="O19" s="87"/>
      <c r="P19" s="87"/>
    </row>
    <row r="20" spans="1:16" ht="43.5" x14ac:dyDescent="0.35">
      <c r="A20" s="4" t="s">
        <v>188</v>
      </c>
      <c r="B20" s="86">
        <v>399190</v>
      </c>
      <c r="C20" s="18">
        <v>431022</v>
      </c>
      <c r="D20" s="17">
        <v>419364</v>
      </c>
      <c r="E20" s="17">
        <v>449662</v>
      </c>
      <c r="F20" s="17">
        <v>449661</v>
      </c>
      <c r="G20" s="90">
        <f>G72</f>
        <v>424059.74679234374</v>
      </c>
      <c r="H20" s="90">
        <f t="shared" ref="H20:K20" si="8">H72</f>
        <v>456489.00770285132</v>
      </c>
      <c r="I20" s="90">
        <f t="shared" si="8"/>
        <v>484160.60607855202</v>
      </c>
      <c r="J20" s="90">
        <f t="shared" si="8"/>
        <v>512046.06442331464</v>
      </c>
      <c r="K20" s="90">
        <f t="shared" si="8"/>
        <v>0</v>
      </c>
      <c r="L20" s="87" t="s">
        <v>478</v>
      </c>
      <c r="M20" s="87"/>
      <c r="N20" s="87"/>
      <c r="O20" s="87"/>
      <c r="P20" s="87"/>
    </row>
    <row r="21" spans="1:16" ht="29" x14ac:dyDescent="0.35">
      <c r="A21" s="4" t="s">
        <v>332</v>
      </c>
      <c r="B21" s="86" t="s">
        <v>18</v>
      </c>
      <c r="C21" s="18" t="s">
        <v>18</v>
      </c>
      <c r="D21" s="17">
        <v>76460</v>
      </c>
      <c r="E21" s="17"/>
      <c r="F21" s="17"/>
      <c r="G21">
        <f>-('Depreciation schedule'!H17+'Depreciation schedule'!H18+'Depreciation schedule'!H37+'Depreciation schedule'!H58+'Depreciation schedule'!H80+'Depreciation schedule'!H102+'Depreciation schedule'!H124)</f>
        <v>16427.057639690534</v>
      </c>
      <c r="H21">
        <f>-('Depreciation schedule'!I17+'Depreciation schedule'!I18+'Depreciation schedule'!I37+'Depreciation schedule'!I58+'Depreciation schedule'!I80+'Depreciation schedule'!I102+'Depreciation schedule'!I124)</f>
        <v>167188.32682376605</v>
      </c>
      <c r="I21">
        <f>-('Depreciation schedule'!J17+'Depreciation schedule'!J18+'Depreciation schedule'!J37+'Depreciation schedule'!J58+'Depreciation schedule'!J80+'Depreciation schedule'!J102+'Depreciation schedule'!J124)</f>
        <v>21714.032000000003</v>
      </c>
      <c r="J21">
        <f>-('Depreciation schedule'!K17+'Depreciation schedule'!K18+'Depreciation schedule'!K37+'Depreciation schedule'!K58+'Depreciation schedule'!K80+'Depreciation schedule'!K102+'Depreciation schedule'!K124)</f>
        <v>25548.927561329394</v>
      </c>
      <c r="K21">
        <f>-('Depreciation schedule'!L17+'Depreciation schedule'!L18+'Depreciation schedule'!L37+'Depreciation schedule'!L58+'Depreciation schedule'!L80+'Depreciation schedule'!L102+'Depreciation schedule'!L124)</f>
        <v>344685.64048767654</v>
      </c>
      <c r="L21" s="87" t="s">
        <v>466</v>
      </c>
      <c r="M21" s="87"/>
      <c r="N21" s="87"/>
      <c r="O21" s="87"/>
      <c r="P21" s="87"/>
    </row>
    <row r="22" spans="1:16" ht="29" x14ac:dyDescent="0.35">
      <c r="A22" s="4" t="s">
        <v>344</v>
      </c>
      <c r="B22" s="86" t="s">
        <v>18</v>
      </c>
      <c r="C22" s="18">
        <v>6000</v>
      </c>
      <c r="D22" s="17"/>
      <c r="E22" s="17"/>
      <c r="F22" s="17"/>
      <c r="G22">
        <v>0</v>
      </c>
      <c r="H22">
        <v>0</v>
      </c>
      <c r="I22">
        <v>0</v>
      </c>
      <c r="J22">
        <v>0</v>
      </c>
      <c r="K22">
        <v>0</v>
      </c>
      <c r="L22" s="87" t="s">
        <v>466</v>
      </c>
      <c r="M22" s="87"/>
      <c r="N22" s="87"/>
      <c r="O22" s="87"/>
      <c r="P22" s="87"/>
    </row>
    <row r="23" spans="1:16" ht="29" x14ac:dyDescent="0.35">
      <c r="A23" s="4" t="s">
        <v>189</v>
      </c>
      <c r="B23" s="86">
        <v>553077</v>
      </c>
      <c r="C23" s="18">
        <v>414650</v>
      </c>
      <c r="D23" s="17">
        <v>505705</v>
      </c>
      <c r="E23" s="17">
        <v>495029</v>
      </c>
      <c r="F23" s="17">
        <v>549730</v>
      </c>
      <c r="G23" s="14">
        <f>B23/B2*G2</f>
        <v>1107735.1602255085</v>
      </c>
      <c r="H23" s="14">
        <f t="shared" ref="H23:K23" si="9">C23/C2*H2</f>
        <v>865408.03292071295</v>
      </c>
      <c r="I23" s="14">
        <f t="shared" si="9"/>
        <v>604659.26445803489</v>
      </c>
      <c r="J23" s="14">
        <f t="shared" si="9"/>
        <v>566674.01328237797</v>
      </c>
      <c r="K23" s="14">
        <f t="shared" si="9"/>
        <v>705762.96423681267</v>
      </c>
      <c r="L23" s="87" t="s">
        <v>467</v>
      </c>
      <c r="M23" s="87"/>
      <c r="N23" s="87"/>
      <c r="O23" s="87"/>
      <c r="P23" s="87"/>
    </row>
    <row r="24" spans="1:16" ht="29" x14ac:dyDescent="0.35">
      <c r="A24" s="4" t="s">
        <v>190</v>
      </c>
      <c r="B24" s="86">
        <v>495582</v>
      </c>
      <c r="C24" s="18">
        <v>613150</v>
      </c>
      <c r="D24" s="17">
        <v>1271407</v>
      </c>
      <c r="E24" s="17">
        <v>1475287</v>
      </c>
      <c r="F24" s="17">
        <v>1269179</v>
      </c>
      <c r="G24" s="14">
        <f>B24/B2*G2</f>
        <v>992580.79105599748</v>
      </c>
      <c r="H24" s="14">
        <f t="shared" ref="H24:K24" si="10">C24/C2*H2</f>
        <v>1279693.5617637408</v>
      </c>
      <c r="I24" s="14">
        <f t="shared" si="10"/>
        <v>1520190.6673788014</v>
      </c>
      <c r="J24" s="14">
        <f t="shared" si="10"/>
        <v>1688803.6964164109</v>
      </c>
      <c r="K24" s="14">
        <f t="shared" si="10"/>
        <v>1629417.2287979801</v>
      </c>
      <c r="L24" s="87" t="s">
        <v>467</v>
      </c>
      <c r="M24" s="87"/>
      <c r="N24" s="87"/>
      <c r="O24" s="87"/>
      <c r="P24" s="87"/>
    </row>
    <row r="25" spans="1:16" ht="29" x14ac:dyDescent="0.35">
      <c r="A25" s="4" t="s">
        <v>191</v>
      </c>
      <c r="B25" s="86">
        <v>491610</v>
      </c>
      <c r="C25" s="18">
        <v>542584</v>
      </c>
      <c r="D25" s="17">
        <v>738785</v>
      </c>
      <c r="E25" s="17">
        <v>682564</v>
      </c>
      <c r="F25" s="17">
        <v>907416</v>
      </c>
      <c r="G25" s="14">
        <f t="shared" ref="G25:G31" si="11">AVERAGE(B25:F25)</f>
        <v>672591.8</v>
      </c>
      <c r="H25" s="14">
        <f t="shared" ref="H25:H32" si="12">AVERAGE(C25:G25)</f>
        <v>708788.15999999992</v>
      </c>
      <c r="I25" s="14">
        <f t="shared" ref="I25:I32" si="13">AVERAGE(D25:H25)</f>
        <v>742028.99199999997</v>
      </c>
      <c r="J25" s="14">
        <f t="shared" ref="J25:J32" si="14">AVERAGE(E25:I25)</f>
        <v>742677.79040000006</v>
      </c>
      <c r="K25" s="14">
        <f t="shared" ref="K25:K32" si="15">AVERAGE(F25:J25)</f>
        <v>754700.54848</v>
      </c>
      <c r="L25" s="87" t="s">
        <v>468</v>
      </c>
      <c r="M25" s="87"/>
      <c r="N25" s="87"/>
      <c r="O25" s="87"/>
      <c r="P25" s="87"/>
    </row>
    <row r="26" spans="1:16" ht="29" x14ac:dyDescent="0.35">
      <c r="A26" s="4" t="s">
        <v>192</v>
      </c>
      <c r="B26" s="86">
        <v>258024</v>
      </c>
      <c r="C26" s="18">
        <v>160708</v>
      </c>
      <c r="D26" s="17">
        <v>252703</v>
      </c>
      <c r="E26" s="17">
        <v>275228</v>
      </c>
      <c r="F26" s="17">
        <v>304235</v>
      </c>
      <c r="G26" s="14">
        <f t="shared" si="11"/>
        <v>250179.6</v>
      </c>
      <c r="H26" s="14">
        <f t="shared" si="12"/>
        <v>248610.72000000003</v>
      </c>
      <c r="I26" s="14">
        <f t="shared" si="13"/>
        <v>266191.26400000002</v>
      </c>
      <c r="J26" s="14">
        <f t="shared" si="14"/>
        <v>268888.91680000001</v>
      </c>
      <c r="K26" s="14">
        <f t="shared" si="15"/>
        <v>267621.10016000003</v>
      </c>
      <c r="L26" s="87" t="s">
        <v>468</v>
      </c>
      <c r="M26" s="87"/>
      <c r="N26" s="87"/>
      <c r="O26" s="87"/>
      <c r="P26" s="87"/>
    </row>
    <row r="27" spans="1:16" ht="29" x14ac:dyDescent="0.35">
      <c r="A27" s="4" t="s">
        <v>193</v>
      </c>
      <c r="B27" s="86">
        <v>11614</v>
      </c>
      <c r="C27" s="18">
        <v>8895</v>
      </c>
      <c r="D27" s="17">
        <v>27853</v>
      </c>
      <c r="E27" s="17">
        <v>44072</v>
      </c>
      <c r="F27" s="17">
        <v>74106</v>
      </c>
      <c r="G27" s="14">
        <f t="shared" si="11"/>
        <v>33308</v>
      </c>
      <c r="H27" s="14">
        <f t="shared" si="12"/>
        <v>37646.800000000003</v>
      </c>
      <c r="I27" s="14">
        <f t="shared" si="13"/>
        <v>43397.159999999996</v>
      </c>
      <c r="J27" s="14">
        <f t="shared" si="14"/>
        <v>46505.991999999998</v>
      </c>
      <c r="K27" s="14">
        <f t="shared" si="15"/>
        <v>46992.790399999998</v>
      </c>
      <c r="L27" s="87" t="s">
        <v>468</v>
      </c>
      <c r="M27" s="87"/>
      <c r="N27" s="87"/>
      <c r="O27" s="87"/>
      <c r="P27" s="87"/>
    </row>
    <row r="28" spans="1:16" ht="29" x14ac:dyDescent="0.35">
      <c r="A28" s="4" t="s">
        <v>194</v>
      </c>
      <c r="B28" s="86">
        <v>28084</v>
      </c>
      <c r="C28" s="18">
        <v>47320</v>
      </c>
      <c r="D28" s="17">
        <v>67882</v>
      </c>
      <c r="E28" s="17">
        <v>91794</v>
      </c>
      <c r="F28" s="17">
        <v>586345</v>
      </c>
      <c r="G28" s="14">
        <f t="shared" si="11"/>
        <v>164285</v>
      </c>
      <c r="H28" s="14">
        <f t="shared" si="12"/>
        <v>191525.2</v>
      </c>
      <c r="I28" s="14">
        <f t="shared" si="13"/>
        <v>220366.24</v>
      </c>
      <c r="J28" s="14">
        <f t="shared" si="14"/>
        <v>250863.08799999999</v>
      </c>
      <c r="K28" s="14">
        <f t="shared" si="15"/>
        <v>282676.9056</v>
      </c>
      <c r="L28" s="87" t="s">
        <v>468</v>
      </c>
      <c r="M28" s="87"/>
      <c r="N28" s="87"/>
      <c r="O28" s="87"/>
      <c r="P28" s="87"/>
    </row>
    <row r="29" spans="1:16" ht="29" x14ac:dyDescent="0.35">
      <c r="A29" s="4" t="s">
        <v>195</v>
      </c>
      <c r="B29" s="86">
        <v>1134097</v>
      </c>
      <c r="C29" s="18">
        <v>806427</v>
      </c>
      <c r="D29" s="17">
        <v>1515290</v>
      </c>
      <c r="E29" s="17">
        <v>2009780</v>
      </c>
      <c r="F29" s="17">
        <v>2148373</v>
      </c>
      <c r="G29" s="14">
        <f t="shared" si="11"/>
        <v>1522793.4</v>
      </c>
      <c r="H29" s="14">
        <f t="shared" si="12"/>
        <v>1600532.6800000002</v>
      </c>
      <c r="I29" s="14">
        <f t="shared" si="13"/>
        <v>1759353.8160000001</v>
      </c>
      <c r="J29" s="14">
        <f t="shared" si="14"/>
        <v>1808166.5792</v>
      </c>
      <c r="K29" s="14">
        <f t="shared" si="15"/>
        <v>1767843.8950399999</v>
      </c>
      <c r="L29" s="87" t="s">
        <v>468</v>
      </c>
      <c r="M29" s="87"/>
      <c r="N29" s="87"/>
      <c r="O29" s="87"/>
      <c r="P29" s="87"/>
    </row>
    <row r="30" spans="1:16" ht="29" x14ac:dyDescent="0.35">
      <c r="A30" s="4" t="s">
        <v>196</v>
      </c>
      <c r="B30" s="86">
        <v>186727</v>
      </c>
      <c r="C30" s="18">
        <v>284649</v>
      </c>
      <c r="D30" s="17">
        <v>519224</v>
      </c>
      <c r="E30" s="17">
        <v>426730</v>
      </c>
      <c r="F30" s="17">
        <v>505194</v>
      </c>
      <c r="G30" s="14">
        <f t="shared" si="11"/>
        <v>384504.8</v>
      </c>
      <c r="H30" s="14">
        <f t="shared" si="12"/>
        <v>424060.36</v>
      </c>
      <c r="I30" s="14">
        <f t="shared" si="13"/>
        <v>451942.63200000004</v>
      </c>
      <c r="J30" s="14">
        <f t="shared" si="14"/>
        <v>438486.35840000008</v>
      </c>
      <c r="K30" s="14">
        <f t="shared" si="15"/>
        <v>440837.63008000003</v>
      </c>
      <c r="L30" s="87" t="s">
        <v>468</v>
      </c>
      <c r="M30" s="87"/>
      <c r="N30" s="87"/>
      <c r="O30" s="87"/>
      <c r="P30" s="87"/>
    </row>
    <row r="31" spans="1:16" ht="29" x14ac:dyDescent="0.35">
      <c r="A31" s="4" t="s">
        <v>197</v>
      </c>
      <c r="B31" s="86">
        <v>39644</v>
      </c>
      <c r="C31" s="18">
        <v>20571</v>
      </c>
      <c r="D31" s="17">
        <v>-21911</v>
      </c>
      <c r="E31" s="17">
        <v>6123</v>
      </c>
      <c r="F31" s="17">
        <v>22040</v>
      </c>
      <c r="G31" s="14">
        <f t="shared" si="11"/>
        <v>13293.4</v>
      </c>
      <c r="H31" s="14">
        <f t="shared" si="12"/>
        <v>8023.2800000000007</v>
      </c>
      <c r="I31" s="14">
        <f t="shared" si="13"/>
        <v>5513.7359999999999</v>
      </c>
      <c r="J31" s="14">
        <f t="shared" si="14"/>
        <v>10998.683199999999</v>
      </c>
      <c r="K31" s="14">
        <f t="shared" si="15"/>
        <v>11973.81984</v>
      </c>
      <c r="L31" s="87" t="s">
        <v>468</v>
      </c>
      <c r="M31" s="87"/>
      <c r="N31" s="87"/>
      <c r="O31" s="87"/>
      <c r="P31" s="87"/>
    </row>
    <row r="32" spans="1:16" ht="29" x14ac:dyDescent="0.35">
      <c r="A32" s="4" t="s">
        <v>198</v>
      </c>
      <c r="B32" s="86"/>
      <c r="C32" s="17"/>
      <c r="D32" s="17" t="s">
        <v>18</v>
      </c>
      <c r="E32" s="17">
        <v>99199</v>
      </c>
      <c r="F32" s="17">
        <v>6612</v>
      </c>
      <c r="G32" s="14">
        <f>AVERAGE(B32:F32)</f>
        <v>52905.5</v>
      </c>
      <c r="H32" s="14">
        <f t="shared" si="12"/>
        <v>52905.5</v>
      </c>
      <c r="I32" s="14">
        <f t="shared" si="13"/>
        <v>52905.5</v>
      </c>
      <c r="J32" s="14">
        <f t="shared" si="14"/>
        <v>52905.5</v>
      </c>
      <c r="K32" s="14">
        <f t="shared" si="15"/>
        <v>43646.8</v>
      </c>
      <c r="L32" s="87" t="s">
        <v>468</v>
      </c>
      <c r="M32" s="87"/>
      <c r="N32" s="87"/>
      <c r="O32" s="87"/>
      <c r="P32" s="87"/>
    </row>
    <row r="33" spans="1:16" x14ac:dyDescent="0.35">
      <c r="A33" s="4" t="s">
        <v>181</v>
      </c>
      <c r="B33" s="86"/>
      <c r="C33" s="17"/>
      <c r="D33" s="17"/>
      <c r="E33" s="17"/>
      <c r="F33" s="17"/>
      <c r="G33" s="14"/>
      <c r="H33" s="14"/>
      <c r="I33" s="14"/>
      <c r="J33" s="14"/>
      <c r="K33" s="14"/>
      <c r="L33" s="87"/>
      <c r="M33" s="87"/>
      <c r="N33" s="87"/>
      <c r="O33" s="87"/>
      <c r="P33" s="87"/>
    </row>
    <row r="34" spans="1:16" ht="29" x14ac:dyDescent="0.35">
      <c r="A34" s="4" t="s">
        <v>199</v>
      </c>
      <c r="B34" s="86"/>
      <c r="C34" s="18">
        <v>57302</v>
      </c>
      <c r="D34" s="17">
        <v>20594</v>
      </c>
      <c r="E34" s="17">
        <v>14224</v>
      </c>
      <c r="F34" s="17">
        <v>210</v>
      </c>
      <c r="G34" s="14">
        <f>AVERAGE(B34:F34)</f>
        <v>23082.5</v>
      </c>
      <c r="H34" s="14">
        <f t="shared" ref="H34:K34" si="16">AVERAGE(C34:G34)</f>
        <v>23082.5</v>
      </c>
      <c r="I34" s="14">
        <f t="shared" si="16"/>
        <v>16238.6</v>
      </c>
      <c r="J34" s="14">
        <f t="shared" si="16"/>
        <v>15367.52</v>
      </c>
      <c r="K34" s="14">
        <f t="shared" si="16"/>
        <v>15596.223999999998</v>
      </c>
      <c r="L34" s="87" t="s">
        <v>468</v>
      </c>
      <c r="M34" s="87"/>
      <c r="N34" s="87"/>
      <c r="O34" s="87"/>
      <c r="P34" s="87"/>
    </row>
    <row r="35" spans="1:16" x14ac:dyDescent="0.35">
      <c r="A35" s="4" t="s">
        <v>200</v>
      </c>
      <c r="B35" s="86"/>
      <c r="C35" s="18">
        <v>91763</v>
      </c>
      <c r="D35" s="17">
        <v>1665</v>
      </c>
      <c r="E35" s="17">
        <v>18604</v>
      </c>
      <c r="F35" s="17" t="s">
        <v>18</v>
      </c>
      <c r="G35" s="14">
        <f>AVERAGE(B35:F35)</f>
        <v>37344</v>
      </c>
      <c r="H35" s="14">
        <f t="shared" ref="H35:K35" si="17">AVERAGE(C35:G35)</f>
        <v>37344</v>
      </c>
      <c r="I35" s="14">
        <f t="shared" si="17"/>
        <v>23739.25</v>
      </c>
      <c r="J35" s="14">
        <f t="shared" si="17"/>
        <v>29257.8125</v>
      </c>
      <c r="K35" s="14">
        <f t="shared" si="17"/>
        <v>31921.265625</v>
      </c>
      <c r="L35" s="87"/>
      <c r="M35" s="87"/>
      <c r="N35" s="87"/>
      <c r="O35" s="87"/>
      <c r="P35" s="87"/>
    </row>
    <row r="36" spans="1:16" ht="29" x14ac:dyDescent="0.35">
      <c r="A36" s="4" t="s">
        <v>201</v>
      </c>
      <c r="B36" s="86"/>
      <c r="C36" s="17"/>
      <c r="D36" s="17"/>
      <c r="E36" s="17" t="s">
        <v>18</v>
      </c>
      <c r="F36" s="17">
        <v>9851</v>
      </c>
      <c r="G36" s="14">
        <f>G103</f>
        <v>5344.5298560918945</v>
      </c>
      <c r="H36" s="14">
        <f t="shared" ref="H36:K36" si="18">H103</f>
        <v>5344.5298560918945</v>
      </c>
      <c r="I36" s="14">
        <f t="shared" si="18"/>
        <v>5344.5298560918945</v>
      </c>
      <c r="J36" s="14">
        <f t="shared" si="18"/>
        <v>5344.5298560918945</v>
      </c>
      <c r="K36" s="14">
        <f t="shared" si="18"/>
        <v>5344.5298560918945</v>
      </c>
      <c r="L36" s="87" t="s">
        <v>478</v>
      </c>
      <c r="M36" s="87"/>
      <c r="N36" s="87"/>
      <c r="O36" s="87"/>
      <c r="P36" s="87"/>
    </row>
    <row r="37" spans="1:16" x14ac:dyDescent="0.35">
      <c r="A37" s="4" t="s">
        <v>202</v>
      </c>
      <c r="B37" s="30">
        <v>21177</v>
      </c>
      <c r="C37" s="71">
        <v>6026</v>
      </c>
      <c r="D37" s="31">
        <v>21026</v>
      </c>
      <c r="E37" s="31">
        <v>2716</v>
      </c>
      <c r="F37" s="31">
        <v>0</v>
      </c>
      <c r="G37" s="39">
        <f>'IS Assumptions'!B37/Assumptions!C455*Assumptions!H455</f>
        <v>42414.54171497927</v>
      </c>
      <c r="H37" s="39">
        <f>'IS Assumptions'!C37/Assumptions!D455*Assumptions!I455</f>
        <v>12576.748598529402</v>
      </c>
      <c r="I37" s="39">
        <f>'IS Assumptions'!D37/Assumptions!E455*Assumptions!J455</f>
        <v>25140.280785229814</v>
      </c>
      <c r="J37" s="39">
        <f>'IS Assumptions'!E37/Assumptions!F455*Assumptions!K455</f>
        <v>3109.0837508003337</v>
      </c>
      <c r="K37" s="39">
        <f>'IS Assumptions'!F37/Assumptions!G455*Assumptions!L455</f>
        <v>0</v>
      </c>
      <c r="L37" s="87" t="s">
        <v>471</v>
      </c>
      <c r="M37" s="87"/>
      <c r="N37" s="87"/>
      <c r="O37" s="87"/>
      <c r="P37" s="87"/>
    </row>
    <row r="38" spans="1:16" x14ac:dyDescent="0.35">
      <c r="A38" s="4"/>
      <c r="B38" s="23">
        <f>SUM(B15:B37)</f>
        <v>30164514</v>
      </c>
      <c r="C38" s="23">
        <f>SUM(C15:C37)</f>
        <v>23315794</v>
      </c>
      <c r="D38" s="23">
        <f>SUM(D15:D37)</f>
        <v>49207551</v>
      </c>
      <c r="E38" s="23">
        <f>SUM(E15:E37)</f>
        <v>57345947</v>
      </c>
      <c r="F38" s="23">
        <f>SUM(F15:F37)</f>
        <v>63601213</v>
      </c>
      <c r="G38" s="23">
        <f t="shared" ref="G38:K38" si="19">SUM(G15:G37)</f>
        <v>52990998.345646642</v>
      </c>
      <c r="H38" s="23">
        <f t="shared" si="19"/>
        <v>54693294.419523478</v>
      </c>
      <c r="I38" s="23">
        <f t="shared" si="19"/>
        <v>62362118.308713794</v>
      </c>
      <c r="J38" s="23">
        <f t="shared" si="19"/>
        <v>69331727.235803246</v>
      </c>
      <c r="K38" s="23">
        <f t="shared" si="19"/>
        <v>74731970.006848291</v>
      </c>
      <c r="L38" s="87"/>
      <c r="M38" s="87"/>
      <c r="N38" s="87"/>
      <c r="O38" s="87"/>
      <c r="P38" s="87"/>
    </row>
    <row r="39" spans="1:16" x14ac:dyDescent="0.35">
      <c r="A39" s="4" t="s">
        <v>203</v>
      </c>
      <c r="B39" s="31">
        <v>-25120</v>
      </c>
      <c r="C39" s="71">
        <v>-28354</v>
      </c>
      <c r="D39" s="31">
        <v>-56008</v>
      </c>
      <c r="E39" s="31"/>
      <c r="F39" s="31">
        <v>-431254</v>
      </c>
      <c r="G39" s="39">
        <f>AVERAGE(B39:F39)</f>
        <v>-135184</v>
      </c>
      <c r="H39" s="39">
        <f t="shared" ref="H39:K39" si="20">AVERAGE(C39:G39)</f>
        <v>-162700</v>
      </c>
      <c r="I39" s="39">
        <f t="shared" si="20"/>
        <v>-196286.5</v>
      </c>
      <c r="J39" s="39">
        <f t="shared" si="20"/>
        <v>-231356.125</v>
      </c>
      <c r="K39" s="39">
        <f t="shared" si="20"/>
        <v>-231356.125</v>
      </c>
      <c r="L39" s="87"/>
      <c r="M39" s="87"/>
      <c r="N39" s="87"/>
      <c r="O39" s="87"/>
      <c r="P39" s="87"/>
    </row>
    <row r="40" spans="1:16" x14ac:dyDescent="0.35">
      <c r="A40" s="4" t="s">
        <v>207</v>
      </c>
      <c r="B40" s="23">
        <f>SUM(B14,B38,B39)</f>
        <v>30155250</v>
      </c>
      <c r="C40" s="24">
        <v>23312560</v>
      </c>
      <c r="D40" s="23">
        <f>SUM(D14,D38,D39)</f>
        <v>49179897</v>
      </c>
      <c r="E40" s="23">
        <f>SUM(E38:E39)</f>
        <v>57345947</v>
      </c>
      <c r="F40" s="23">
        <f>SUM(F38:F39)</f>
        <v>63169959</v>
      </c>
      <c r="G40" s="23">
        <f t="shared" ref="G40:K40" si="21">SUM(G38:G39)</f>
        <v>52855814.345646642</v>
      </c>
      <c r="H40" s="23">
        <f t="shared" si="21"/>
        <v>54530594.419523478</v>
      </c>
      <c r="I40" s="23">
        <f t="shared" si="21"/>
        <v>62165831.808713794</v>
      </c>
      <c r="J40" s="23">
        <f t="shared" si="21"/>
        <v>69100371.110803246</v>
      </c>
      <c r="K40" s="23">
        <f t="shared" si="21"/>
        <v>74500613.881848291</v>
      </c>
      <c r="L40" s="87"/>
      <c r="M40" s="87"/>
      <c r="N40" s="87"/>
      <c r="O40" s="87"/>
      <c r="P40" s="87"/>
    </row>
    <row r="41" spans="1:16" x14ac:dyDescent="0.35">
      <c r="A41" s="4" t="s">
        <v>204</v>
      </c>
      <c r="B41" s="27">
        <v>1125819</v>
      </c>
      <c r="C41" s="68">
        <f>-B42</f>
        <v>1622853</v>
      </c>
      <c r="D41" s="68">
        <f t="shared" ref="D41:K41" si="22">-C42</f>
        <v>736768</v>
      </c>
      <c r="E41" s="68">
        <f t="shared" si="22"/>
        <v>4001606</v>
      </c>
      <c r="F41" s="68">
        <f t="shared" si="22"/>
        <v>3062264</v>
      </c>
      <c r="G41" s="68">
        <f t="shared" si="22"/>
        <v>5902479</v>
      </c>
      <c r="H41" s="68">
        <f t="shared" si="22"/>
        <v>3065194</v>
      </c>
      <c r="I41" s="68">
        <f t="shared" si="22"/>
        <v>3353662.2</v>
      </c>
      <c r="J41" s="68">
        <f t="shared" si="22"/>
        <v>3877041.04</v>
      </c>
      <c r="K41" s="68">
        <f t="shared" si="22"/>
        <v>3852128.0479999995</v>
      </c>
      <c r="L41" s="87"/>
      <c r="M41" s="87"/>
      <c r="N41" s="87"/>
      <c r="O41" s="87"/>
      <c r="P41" s="87"/>
    </row>
    <row r="42" spans="1:16" x14ac:dyDescent="0.35">
      <c r="A42" s="4" t="s">
        <v>205</v>
      </c>
      <c r="B42" s="30">
        <v>-1622853</v>
      </c>
      <c r="C42" s="71">
        <v>-736768</v>
      </c>
      <c r="D42" s="31">
        <v>-4001606</v>
      </c>
      <c r="E42" s="30">
        <v>-3062264</v>
      </c>
      <c r="F42" s="31">
        <v>-5902479</v>
      </c>
      <c r="G42" s="39">
        <f>AVERAGE(B42:F42)</f>
        <v>-3065194</v>
      </c>
      <c r="H42" s="39">
        <f t="shared" ref="H42:K42" si="23">AVERAGE(C42:G42)</f>
        <v>-3353662.2</v>
      </c>
      <c r="I42" s="39">
        <f t="shared" si="23"/>
        <v>-3877041.04</v>
      </c>
      <c r="J42" s="39">
        <f t="shared" si="23"/>
        <v>-3852128.0479999995</v>
      </c>
      <c r="K42" s="82">
        <f t="shared" si="23"/>
        <v>-4010100.8575999998</v>
      </c>
      <c r="L42" s="87"/>
      <c r="M42" s="87"/>
      <c r="N42" s="87"/>
      <c r="O42" s="87"/>
      <c r="P42" s="87"/>
    </row>
    <row r="43" spans="1:16" x14ac:dyDescent="0.35">
      <c r="A43" s="4"/>
      <c r="B43" s="23">
        <f>SUM(B41:B42)</f>
        <v>-497034</v>
      </c>
      <c r="C43" s="24">
        <v>886085</v>
      </c>
      <c r="D43" s="23">
        <f>SUM(D41:D42)</f>
        <v>-3264838</v>
      </c>
      <c r="E43" s="23">
        <f>SUM(E41:E42)</f>
        <v>939342</v>
      </c>
      <c r="F43" s="23">
        <f>SUM(F41:F42)</f>
        <v>-2840215</v>
      </c>
      <c r="G43" s="23">
        <f t="shared" ref="G43:K43" si="24">SUM(G41:G42)</f>
        <v>2837285</v>
      </c>
      <c r="H43" s="23">
        <f t="shared" si="24"/>
        <v>-288468.20000000019</v>
      </c>
      <c r="I43" s="23">
        <f t="shared" si="24"/>
        <v>-523378.83999999985</v>
      </c>
      <c r="J43" s="23">
        <f t="shared" si="24"/>
        <v>24912.992000000551</v>
      </c>
      <c r="K43" s="23">
        <f t="shared" si="24"/>
        <v>-157972.80960000027</v>
      </c>
      <c r="L43" s="87"/>
      <c r="M43" s="87"/>
      <c r="N43" s="87"/>
      <c r="O43" s="87"/>
      <c r="P43" s="87"/>
    </row>
    <row r="44" spans="1:16" x14ac:dyDescent="0.35">
      <c r="A44" s="4" t="s">
        <v>206</v>
      </c>
      <c r="B44" s="31">
        <v>72377</v>
      </c>
      <c r="C44" s="71">
        <v>183484</v>
      </c>
      <c r="D44" s="31">
        <v>69269</v>
      </c>
      <c r="E44" s="31">
        <v>12276</v>
      </c>
      <c r="F44" s="31">
        <v>164853</v>
      </c>
      <c r="G44" s="39">
        <f>AVERAGE(B44:F44)</f>
        <v>100451.8</v>
      </c>
      <c r="H44" s="39">
        <f t="shared" ref="H44:K44" si="25">AVERAGE(C44:G44)</f>
        <v>106066.76000000001</v>
      </c>
      <c r="I44" s="39">
        <f t="shared" si="25"/>
        <v>90583.312000000005</v>
      </c>
      <c r="J44" s="39">
        <f t="shared" si="25"/>
        <v>94846.174399999989</v>
      </c>
      <c r="K44" s="39">
        <f t="shared" si="25"/>
        <v>111360.20928</v>
      </c>
      <c r="L44" s="87"/>
      <c r="M44" s="87"/>
      <c r="N44" s="87"/>
      <c r="O44" s="87"/>
      <c r="P44" s="87"/>
    </row>
    <row r="45" spans="1:16" x14ac:dyDescent="0.35">
      <c r="A45" s="4"/>
      <c r="B45" s="23">
        <f>SUM(B44,B43,B40)</f>
        <v>29730593</v>
      </c>
      <c r="C45" s="23">
        <f t="shared" ref="C45:F45" si="26">SUM(C44,C43,C40)</f>
        <v>24382129</v>
      </c>
      <c r="D45" s="23">
        <f t="shared" si="26"/>
        <v>45984328</v>
      </c>
      <c r="E45" s="23">
        <f t="shared" si="26"/>
        <v>58297565</v>
      </c>
      <c r="F45" s="23">
        <f t="shared" si="26"/>
        <v>60494597</v>
      </c>
      <c r="G45" s="23">
        <f>SUM(G44,G43,G40)</f>
        <v>55793551.145646639</v>
      </c>
      <c r="H45" s="23">
        <f t="shared" ref="H45" si="27">SUM(H44,H43,H40)</f>
        <v>54348192.97952348</v>
      </c>
      <c r="I45" s="23">
        <f t="shared" ref="I45" si="28">SUM(I44,I43,I40)</f>
        <v>61733036.280713797</v>
      </c>
      <c r="J45" s="23">
        <f t="shared" ref="J45" si="29">SUM(J44,J43,J40)</f>
        <v>69220130.277203247</v>
      </c>
      <c r="K45" s="23">
        <f t="shared" ref="K45" si="30">SUM(K44,K43,K40)</f>
        <v>74454001.281528294</v>
      </c>
      <c r="L45" s="87"/>
      <c r="M45" s="87"/>
      <c r="N45" s="87"/>
      <c r="O45" s="87"/>
      <c r="P45" s="87"/>
    </row>
    <row r="46" spans="1:16" ht="15" thickBot="1" x14ac:dyDescent="0.4">
      <c r="A46" s="4"/>
      <c r="B46" s="23"/>
      <c r="C46" s="23"/>
      <c r="D46" s="23"/>
      <c r="E46" s="23"/>
      <c r="F46" s="23"/>
      <c r="G46" s="23"/>
      <c r="H46" s="23"/>
      <c r="I46" s="23"/>
      <c r="J46" s="23"/>
      <c r="K46" s="23"/>
      <c r="L46" s="87"/>
      <c r="M46" s="87"/>
      <c r="N46" s="87"/>
      <c r="O46" s="87"/>
      <c r="P46" s="87"/>
    </row>
    <row r="47" spans="1:16" x14ac:dyDescent="0.35">
      <c r="A47" s="104" t="s">
        <v>476</v>
      </c>
      <c r="B47" s="105">
        <f>-('Depreciation schedule'!C19+'Depreciation schedule'!C39+'Depreciation schedule'!C59+'Depreciation schedule'!C81+'Depreciation schedule'!C103+'Depreciation schedule'!C125)</f>
        <v>1027176</v>
      </c>
      <c r="C47" s="105">
        <f>-('Depreciation schedule'!D19+'Depreciation schedule'!D39+'Depreciation schedule'!D59+'Depreciation schedule'!D81+'Depreciation schedule'!D103+'Depreciation schedule'!D125)</f>
        <v>1291727</v>
      </c>
      <c r="D47" s="105">
        <f>-('Depreciation schedule'!E19+'Depreciation schedule'!E39+'Depreciation schedule'!E59+'Depreciation schedule'!E81+'Depreciation schedule'!E103+'Depreciation schedule'!E125)</f>
        <v>1814440</v>
      </c>
      <c r="E47" s="105">
        <f>-('Depreciation schedule'!F19+'Depreciation schedule'!F39+'Depreciation schedule'!F59+'Depreciation schedule'!F81+'Depreciation schedule'!F103+'Depreciation schedule'!F125)</f>
        <v>2453687</v>
      </c>
      <c r="F47" s="105">
        <f>-('Depreciation schedule'!G19+'Depreciation schedule'!G39+'Depreciation schedule'!G59+'Depreciation schedule'!G81+'Depreciation schedule'!G103+'Depreciation schedule'!G125)</f>
        <v>2955704</v>
      </c>
      <c r="G47" s="105">
        <f>-('Depreciation schedule'!H19+'Depreciation schedule'!H39+'Depreciation schedule'!H59+'Depreciation schedule'!H81+'Depreciation schedule'!H103+'Depreciation schedule'!H125)</f>
        <v>2914480.3139270945</v>
      </c>
      <c r="H47" s="105">
        <f>-('Depreciation schedule'!I19+'Depreciation schedule'!I39+'Depreciation schedule'!I59+'Depreciation schedule'!I81+'Depreciation schedule'!I103+'Depreciation schedule'!I125)</f>
        <v>3234927.9466462396</v>
      </c>
      <c r="I47" s="105">
        <f>-('Depreciation schedule'!J19+'Depreciation schedule'!J39+'Depreciation schedule'!J59+'Depreciation schedule'!J81+'Depreciation schedule'!J103+'Depreciation schedule'!J125)</f>
        <v>3587884.9574769242</v>
      </c>
      <c r="J47" s="105">
        <f>-('Depreciation schedule'!K19+'Depreciation schedule'!K39+'Depreciation schedule'!K59+'Depreciation schedule'!K81+'Depreciation schedule'!K103+'Depreciation schedule'!K125)</f>
        <v>3868112.9498336129</v>
      </c>
      <c r="K47" s="113">
        <f>-('Depreciation schedule'!L19+'Depreciation schedule'!L39+'Depreciation schedule'!L59+'Depreciation schedule'!L81+'Depreciation schedule'!L103+'Depreciation schedule'!L125)</f>
        <v>4209462.7739311643</v>
      </c>
      <c r="L47" s="87"/>
      <c r="M47" s="87"/>
      <c r="N47" s="87"/>
      <c r="O47" s="87"/>
      <c r="P47" s="87"/>
    </row>
    <row r="48" spans="1:16" x14ac:dyDescent="0.35">
      <c r="A48" s="108" t="s">
        <v>472</v>
      </c>
      <c r="B48" s="17">
        <v>1003842</v>
      </c>
      <c r="C48" s="17">
        <v>1262101</v>
      </c>
      <c r="D48" s="17">
        <v>1783250</v>
      </c>
      <c r="E48" s="17">
        <v>2393566</v>
      </c>
      <c r="F48" s="17">
        <v>2899437</v>
      </c>
      <c r="G48" s="17">
        <f>G47*G49</f>
        <v>2852471.378075629</v>
      </c>
      <c r="H48" s="17">
        <f t="shared" ref="H48:K48" si="31">H47*H49</f>
        <v>3167033.0979445549</v>
      </c>
      <c r="I48" s="17">
        <f t="shared" si="31"/>
        <v>3513979.4435715307</v>
      </c>
      <c r="J48" s="17">
        <f t="shared" si="31"/>
        <v>3785798.0349326241</v>
      </c>
      <c r="K48" s="114">
        <f t="shared" si="31"/>
        <v>4122596.3236630168</v>
      </c>
      <c r="L48" s="87"/>
      <c r="M48" s="87"/>
      <c r="N48" s="87"/>
      <c r="O48" s="87"/>
      <c r="P48" s="87"/>
    </row>
    <row r="49" spans="1:16" x14ac:dyDescent="0.35">
      <c r="A49" s="108"/>
      <c r="B49" s="93">
        <f>B48/B$47</f>
        <v>0.97728334774176961</v>
      </c>
      <c r="C49" s="93">
        <f t="shared" ref="C49:F49" si="32">C48/C$47</f>
        <v>0.97706481323065941</v>
      </c>
      <c r="D49" s="93">
        <f t="shared" si="32"/>
        <v>0.98281012323361483</v>
      </c>
      <c r="E49" s="93">
        <f t="shared" si="32"/>
        <v>0.97549768980314111</v>
      </c>
      <c r="F49" s="93">
        <f t="shared" si="32"/>
        <v>0.98096324936461843</v>
      </c>
      <c r="G49" s="95">
        <f>AVERAGE(B49:F49)</f>
        <v>0.97872384467476059</v>
      </c>
      <c r="H49" s="95">
        <f t="shared" ref="H49:K49" si="33">AVERAGE(C49:G49)</f>
        <v>0.97901194406135894</v>
      </c>
      <c r="I49" s="95">
        <f t="shared" si="33"/>
        <v>0.97940137022749885</v>
      </c>
      <c r="J49" s="95">
        <f t="shared" si="33"/>
        <v>0.97871961962627552</v>
      </c>
      <c r="K49" s="115">
        <f t="shared" si="33"/>
        <v>0.97936400559090253</v>
      </c>
      <c r="L49" s="87"/>
      <c r="M49" s="87"/>
      <c r="N49" s="87"/>
      <c r="O49" s="87"/>
      <c r="P49" s="87"/>
    </row>
    <row r="50" spans="1:16" x14ac:dyDescent="0.35">
      <c r="A50" s="108" t="s">
        <v>473</v>
      </c>
      <c r="B50" s="17">
        <v>5750</v>
      </c>
      <c r="C50" s="17">
        <v>7054</v>
      </c>
      <c r="D50" s="17">
        <v>8166</v>
      </c>
      <c r="E50" s="17">
        <v>11089</v>
      </c>
      <c r="F50" s="17">
        <v>7524</v>
      </c>
      <c r="G50" s="95">
        <f>G47*G51</f>
        <v>13187.585291494035</v>
      </c>
      <c r="H50" s="95">
        <f t="shared" ref="H50:K50" si="34">H47*H51</f>
        <v>13943.332528507925</v>
      </c>
      <c r="I50" s="95">
        <f t="shared" si="34"/>
        <v>14638.975880542381</v>
      </c>
      <c r="J50" s="95">
        <f t="shared" si="34"/>
        <v>15457.068737417247</v>
      </c>
      <c r="K50" s="115">
        <f t="shared" si="34"/>
        <v>16380.54964579031</v>
      </c>
      <c r="L50" s="87"/>
      <c r="M50" s="87"/>
      <c r="N50" s="87"/>
      <c r="O50" s="87"/>
      <c r="P50" s="87"/>
    </row>
    <row r="51" spans="1:16" x14ac:dyDescent="0.35">
      <c r="A51" s="108"/>
      <c r="B51" s="94">
        <f>B50/B$47</f>
        <v>5.5978722244289193E-3</v>
      </c>
      <c r="C51" s="94">
        <f t="shared" ref="C51:E51" si="35">C50/C$47</f>
        <v>5.4609062131549466E-3</v>
      </c>
      <c r="D51" s="94">
        <f t="shared" si="35"/>
        <v>4.5005621569189393E-3</v>
      </c>
      <c r="E51" s="94">
        <f t="shared" si="35"/>
        <v>4.5193213315308754E-3</v>
      </c>
      <c r="F51" s="94">
        <f>F50/F$47</f>
        <v>2.5455864322002472E-3</v>
      </c>
      <c r="G51" s="95">
        <f>AVERAGE(B51:F51)</f>
        <v>4.524849671646786E-3</v>
      </c>
      <c r="H51" s="95">
        <f t="shared" ref="H51:K51" si="36">AVERAGE(C51:G51)</f>
        <v>4.3102451610903588E-3</v>
      </c>
      <c r="I51" s="95">
        <f t="shared" si="36"/>
        <v>4.0801129506774416E-3</v>
      </c>
      <c r="J51" s="95">
        <f t="shared" si="36"/>
        <v>3.9960231094291424E-3</v>
      </c>
      <c r="K51" s="115">
        <f t="shared" si="36"/>
        <v>3.891363465008795E-3</v>
      </c>
      <c r="L51" s="87"/>
      <c r="M51" s="87"/>
      <c r="N51" s="87"/>
      <c r="O51" s="87"/>
      <c r="P51" s="87"/>
    </row>
    <row r="52" spans="1:16" x14ac:dyDescent="0.35">
      <c r="A52" s="108" t="s">
        <v>474</v>
      </c>
      <c r="B52" s="17">
        <v>17608</v>
      </c>
      <c r="C52" s="17">
        <v>23005</v>
      </c>
      <c r="D52" s="17">
        <v>23511</v>
      </c>
      <c r="E52" s="17">
        <v>49032</v>
      </c>
      <c r="F52" s="17">
        <v>48743</v>
      </c>
      <c r="G52" s="95">
        <f>G53*G47</f>
        <v>49186.813306993099</v>
      </c>
      <c r="H52" s="95">
        <f t="shared" ref="H52:J52" si="37">H53*H47</f>
        <v>54423.17386409441</v>
      </c>
      <c r="I52" s="95">
        <f t="shared" si="37"/>
        <v>59653.742202755275</v>
      </c>
      <c r="J52" s="95">
        <f t="shared" si="37"/>
        <v>67151.139650365862</v>
      </c>
      <c r="K52" s="115">
        <f>K53*K47</f>
        <v>70868.911572816287</v>
      </c>
      <c r="L52" s="87"/>
      <c r="M52" s="87"/>
      <c r="N52" s="87"/>
      <c r="O52" s="87"/>
      <c r="P52" s="87"/>
    </row>
    <row r="53" spans="1:16" ht="15" thickBot="1" x14ac:dyDescent="0.4">
      <c r="A53" s="116"/>
      <c r="B53" s="117">
        <f>B52/B$47</f>
        <v>1.714214506569468E-2</v>
      </c>
      <c r="C53" s="117">
        <f t="shared" ref="C53:F53" si="38">C52/C$47</f>
        <v>1.7809490705079326E-2</v>
      </c>
      <c r="D53" s="117">
        <f t="shared" si="38"/>
        <v>1.2957716981548026E-2</v>
      </c>
      <c r="E53" s="117">
        <f t="shared" si="38"/>
        <v>1.9982988865327973E-2</v>
      </c>
      <c r="F53" s="117">
        <f t="shared" si="38"/>
        <v>1.6491164203181374E-2</v>
      </c>
      <c r="G53" s="118">
        <f>AVERAGE(B53:F53)</f>
        <v>1.6876701164166279E-2</v>
      </c>
      <c r="H53" s="118">
        <f t="shared" ref="H53:K53" si="39">AVERAGE(C53:G53)</f>
        <v>1.6823612383860598E-2</v>
      </c>
      <c r="I53" s="118">
        <f t="shared" si="39"/>
        <v>1.662643671961685E-2</v>
      </c>
      <c r="J53" s="118">
        <f t="shared" si="39"/>
        <v>1.7360180667230614E-2</v>
      </c>
      <c r="K53" s="119">
        <f t="shared" si="39"/>
        <v>1.6835619027611142E-2</v>
      </c>
      <c r="L53" s="87"/>
      <c r="M53" s="87"/>
      <c r="N53" s="87"/>
      <c r="O53" s="87"/>
      <c r="P53" s="87"/>
    </row>
    <row r="54" spans="1:16" x14ac:dyDescent="0.35">
      <c r="A54" s="4"/>
      <c r="B54" s="23"/>
      <c r="C54" s="23"/>
      <c r="D54" s="23"/>
      <c r="E54" s="23"/>
      <c r="F54" s="23"/>
    </row>
    <row r="55" spans="1:16" x14ac:dyDescent="0.35">
      <c r="A55" s="6" t="s">
        <v>208</v>
      </c>
      <c r="B55" s="23"/>
      <c r="C55" s="23"/>
      <c r="D55" s="23"/>
      <c r="E55" s="23"/>
      <c r="F55" s="23"/>
    </row>
    <row r="56" spans="1:16" x14ac:dyDescent="0.35">
      <c r="A56" s="4" t="s">
        <v>209</v>
      </c>
      <c r="B56" s="23">
        <v>175231</v>
      </c>
      <c r="C56" s="24">
        <v>123814</v>
      </c>
      <c r="D56" s="24">
        <v>131697</v>
      </c>
      <c r="E56" s="23">
        <v>201318</v>
      </c>
      <c r="F56" s="23">
        <v>454005</v>
      </c>
      <c r="G56">
        <f>B56/B16*G16</f>
        <v>278700.29303058691</v>
      </c>
      <c r="H56">
        <f t="shared" ref="H56:J56" si="40">C56/C16*H16</f>
        <v>198351.19900246052</v>
      </c>
      <c r="I56">
        <f t="shared" si="40"/>
        <v>162953.83594788719</v>
      </c>
      <c r="J56">
        <f t="shared" si="40"/>
        <v>334850.49123195995</v>
      </c>
      <c r="K56">
        <f>F56/F16*K16</f>
        <v>723740.25639607839</v>
      </c>
      <c r="L56" t="s">
        <v>469</v>
      </c>
    </row>
    <row r="57" spans="1:16" x14ac:dyDescent="0.35">
      <c r="A57" s="4" t="s">
        <v>210</v>
      </c>
      <c r="B57" s="23"/>
      <c r="C57" s="24">
        <v>95990</v>
      </c>
      <c r="D57" s="24">
        <v>156829</v>
      </c>
      <c r="E57" s="23">
        <v>209590</v>
      </c>
      <c r="F57" s="23">
        <v>224863</v>
      </c>
      <c r="G57" s="14">
        <f>AVERAGE(B57:F57)</f>
        <v>171818</v>
      </c>
      <c r="H57" s="14">
        <f t="shared" ref="H57:K57" si="41">AVERAGE(C57:G57)</f>
        <v>171818</v>
      </c>
      <c r="I57" s="14">
        <f t="shared" si="41"/>
        <v>186983.6</v>
      </c>
      <c r="J57" s="14">
        <f t="shared" si="41"/>
        <v>193014.52</v>
      </c>
      <c r="K57" s="14">
        <f t="shared" si="41"/>
        <v>189699.424</v>
      </c>
      <c r="L57" t="s">
        <v>470</v>
      </c>
    </row>
    <row r="58" spans="1:16" x14ac:dyDescent="0.35">
      <c r="A58" s="4" t="s">
        <v>211</v>
      </c>
      <c r="B58" s="23">
        <v>159219</v>
      </c>
      <c r="C58" s="24">
        <v>0</v>
      </c>
      <c r="D58" s="24">
        <v>7654</v>
      </c>
      <c r="E58" s="23">
        <v>45788</v>
      </c>
      <c r="F58" s="23">
        <v>18753</v>
      </c>
      <c r="G58" s="75">
        <f>B58/B2*G2</f>
        <v>318893.1820993193</v>
      </c>
      <c r="H58">
        <f>C58/C2*H2</f>
        <v>0</v>
      </c>
      <c r="I58" s="75">
        <f t="shared" ref="I58:K58" si="42">D58/D2*I2</f>
        <v>9151.7030880885104</v>
      </c>
      <c r="J58" s="75">
        <f>E58/E2*J2</f>
        <v>52414.847857748777</v>
      </c>
      <c r="K58" s="75">
        <f t="shared" si="42"/>
        <v>24075.769683904731</v>
      </c>
      <c r="L58" t="s">
        <v>479</v>
      </c>
    </row>
    <row r="59" spans="1:16" x14ac:dyDescent="0.35">
      <c r="A59" s="4" t="s">
        <v>354</v>
      </c>
      <c r="B59" s="23">
        <v>-1701</v>
      </c>
      <c r="C59" s="24"/>
      <c r="D59" s="24"/>
      <c r="E59" s="23"/>
      <c r="F59" s="23"/>
    </row>
    <row r="60" spans="1:16" x14ac:dyDescent="0.35">
      <c r="A60" s="4" t="s">
        <v>333</v>
      </c>
      <c r="B60" s="23">
        <v>0</v>
      </c>
      <c r="C60" s="24">
        <v>331</v>
      </c>
      <c r="D60" s="24">
        <v>56</v>
      </c>
      <c r="E60" s="23"/>
      <c r="F60" s="23"/>
      <c r="G60" s="14">
        <f>AVERAGE(B60:F60)</f>
        <v>129</v>
      </c>
      <c r="H60" s="14">
        <f t="shared" ref="H60:K60" si="43">AVERAGE(C60:G60)</f>
        <v>172</v>
      </c>
      <c r="I60" s="14">
        <f t="shared" si="43"/>
        <v>119</v>
      </c>
      <c r="J60" s="14">
        <f t="shared" si="43"/>
        <v>140</v>
      </c>
      <c r="K60" s="14">
        <f t="shared" si="43"/>
        <v>140</v>
      </c>
      <c r="L60" t="s">
        <v>470</v>
      </c>
    </row>
    <row r="61" spans="1:16" x14ac:dyDescent="0.35">
      <c r="A61" s="4" t="s">
        <v>212</v>
      </c>
      <c r="B61" s="23">
        <v>12308</v>
      </c>
      <c r="C61" s="24">
        <v>5653</v>
      </c>
      <c r="D61" s="24">
        <v>6805</v>
      </c>
      <c r="E61" s="23">
        <v>7913</v>
      </c>
      <c r="F61" s="23">
        <v>11026</v>
      </c>
      <c r="G61" s="14">
        <f>AVERAGE(B61:F61)</f>
        <v>8741</v>
      </c>
      <c r="H61" s="14">
        <f t="shared" ref="H61:K61" si="44">AVERAGE(C61:G61)</f>
        <v>8027.6</v>
      </c>
      <c r="I61" s="14">
        <f t="shared" si="44"/>
        <v>8502.52</v>
      </c>
      <c r="J61" s="14">
        <f t="shared" si="44"/>
        <v>8842.0239999999994</v>
      </c>
      <c r="K61" s="14">
        <f t="shared" si="44"/>
        <v>9027.8287999999993</v>
      </c>
      <c r="L61" t="s">
        <v>470</v>
      </c>
    </row>
    <row r="62" spans="1:16" x14ac:dyDescent="0.35">
      <c r="A62" s="4" t="s">
        <v>190</v>
      </c>
      <c r="B62" s="23">
        <v>6706</v>
      </c>
      <c r="C62" s="24">
        <v>3027</v>
      </c>
      <c r="D62" s="24">
        <v>5225</v>
      </c>
      <c r="E62" s="23">
        <v>10744</v>
      </c>
      <c r="F62" s="23">
        <v>17675</v>
      </c>
      <c r="G62" s="14">
        <f>AVERAGE(B62:F62)</f>
        <v>8675.4</v>
      </c>
      <c r="H62" s="14">
        <f t="shared" ref="H62:K62" si="45">AVERAGE(C62:G62)</f>
        <v>9069.2800000000007</v>
      </c>
      <c r="I62" s="14">
        <f t="shared" si="45"/>
        <v>10277.736000000001</v>
      </c>
      <c r="J62" s="14">
        <f t="shared" si="45"/>
        <v>11288.2832</v>
      </c>
      <c r="K62" s="14">
        <f t="shared" si="45"/>
        <v>11397.13984</v>
      </c>
      <c r="L62" t="s">
        <v>470</v>
      </c>
    </row>
    <row r="63" spans="1:16" ht="29" x14ac:dyDescent="0.35">
      <c r="A63" s="4" t="s">
        <v>213</v>
      </c>
      <c r="B63" s="23">
        <v>5750</v>
      </c>
      <c r="C63" s="24">
        <v>7054</v>
      </c>
      <c r="D63" s="24">
        <v>8166</v>
      </c>
      <c r="E63" s="23">
        <f>E50</f>
        <v>11089</v>
      </c>
      <c r="F63" s="23">
        <f>F50</f>
        <v>7524</v>
      </c>
      <c r="G63" s="23">
        <f t="shared" ref="G63:K63" si="46">G50</f>
        <v>13187.585291494035</v>
      </c>
      <c r="H63" s="23">
        <f t="shared" si="46"/>
        <v>13943.332528507925</v>
      </c>
      <c r="I63" s="23">
        <f t="shared" si="46"/>
        <v>14638.975880542381</v>
      </c>
      <c r="J63" s="23">
        <f t="shared" si="46"/>
        <v>15457.068737417247</v>
      </c>
      <c r="K63" s="23">
        <f t="shared" si="46"/>
        <v>16380.54964579031</v>
      </c>
      <c r="L63" s="87" t="s">
        <v>478</v>
      </c>
    </row>
    <row r="64" spans="1:16" ht="29" x14ac:dyDescent="0.35">
      <c r="A64" s="4" t="s">
        <v>214</v>
      </c>
      <c r="B64" s="23"/>
      <c r="C64" s="23"/>
      <c r="D64" s="24" t="s">
        <v>18</v>
      </c>
      <c r="E64" s="23">
        <v>8816</v>
      </c>
      <c r="F64" s="23">
        <v>8840</v>
      </c>
      <c r="G64" s="90">
        <f>G74</f>
        <v>3354.970067064035</v>
      </c>
      <c r="H64" s="90">
        <f t="shared" ref="H64:K64" si="47">H74</f>
        <v>4328.2935338079515</v>
      </c>
      <c r="I64" s="90">
        <f t="shared" si="47"/>
        <v>5502.9882788954164</v>
      </c>
      <c r="J64" s="90">
        <f t="shared" si="47"/>
        <v>6974.4291806655483</v>
      </c>
      <c r="K64" s="90">
        <f t="shared" si="47"/>
        <v>0</v>
      </c>
      <c r="L64" s="87" t="s">
        <v>478</v>
      </c>
    </row>
    <row r="65" spans="1:12" x14ac:dyDescent="0.35">
      <c r="A65" s="4" t="s">
        <v>192</v>
      </c>
      <c r="B65" s="23">
        <v>27649</v>
      </c>
      <c r="C65" s="24">
        <v>4046</v>
      </c>
      <c r="D65" s="24">
        <v>54978</v>
      </c>
      <c r="E65" s="23">
        <v>66665</v>
      </c>
      <c r="F65" s="23">
        <v>50278</v>
      </c>
      <c r="G65" s="14">
        <f>AVERAGE(B65:F65)</f>
        <v>40723.199999999997</v>
      </c>
      <c r="H65" s="14">
        <f t="shared" ref="H65:K65" si="48">AVERAGE(C65:G65)</f>
        <v>43338.04</v>
      </c>
      <c r="I65" s="14">
        <f t="shared" si="48"/>
        <v>51196.448000000004</v>
      </c>
      <c r="J65" s="14">
        <f t="shared" si="48"/>
        <v>50440.137600000002</v>
      </c>
      <c r="K65" s="14">
        <f t="shared" si="48"/>
        <v>47195.165119999998</v>
      </c>
    </row>
    <row r="66" spans="1:12" ht="29" x14ac:dyDescent="0.35">
      <c r="A66" s="4" t="s">
        <v>215</v>
      </c>
      <c r="B66" s="23">
        <v>1674</v>
      </c>
      <c r="C66" s="24">
        <v>1667</v>
      </c>
      <c r="D66" s="24">
        <v>1303</v>
      </c>
      <c r="E66" s="23">
        <v>3275</v>
      </c>
      <c r="F66" s="23">
        <v>16237</v>
      </c>
      <c r="G66" s="14">
        <f>AVERAGE(B66:F66)</f>
        <v>4831.2</v>
      </c>
      <c r="H66" s="14">
        <f t="shared" ref="H66:K66" si="49">AVERAGE(C66:G66)</f>
        <v>5462.64</v>
      </c>
      <c r="I66" s="14">
        <f t="shared" si="49"/>
        <v>6221.768</v>
      </c>
      <c r="J66" s="14">
        <f t="shared" si="49"/>
        <v>7205.5216</v>
      </c>
      <c r="K66" s="14">
        <f t="shared" si="49"/>
        <v>7991.6259200000004</v>
      </c>
    </row>
    <row r="67" spans="1:12" ht="29" x14ac:dyDescent="0.35">
      <c r="A67" s="4" t="s">
        <v>216</v>
      </c>
      <c r="B67" s="23"/>
      <c r="C67" s="23"/>
      <c r="D67" s="23"/>
      <c r="E67" s="23" t="s">
        <v>18</v>
      </c>
      <c r="F67" s="23">
        <v>2158</v>
      </c>
      <c r="G67">
        <f>G105</f>
        <v>5344.5298560918945</v>
      </c>
      <c r="H67">
        <f t="shared" ref="H67:K67" si="50">H105</f>
        <v>5215.721801109964</v>
      </c>
      <c r="I67">
        <f t="shared" si="50"/>
        <v>5858.4785725993806</v>
      </c>
      <c r="J67">
        <f t="shared" si="50"/>
        <v>6493.9508423593179</v>
      </c>
      <c r="K67">
        <f t="shared" si="50"/>
        <v>6244.0501454465666</v>
      </c>
      <c r="L67" s="87" t="s">
        <v>478</v>
      </c>
    </row>
    <row r="68" spans="1:12" x14ac:dyDescent="0.35">
      <c r="A68" s="4" t="s">
        <v>217</v>
      </c>
      <c r="B68" s="31">
        <v>4788</v>
      </c>
      <c r="C68" s="71">
        <v>1687</v>
      </c>
      <c r="D68" s="71">
        <v>3625</v>
      </c>
      <c r="E68" s="31">
        <v>3673</v>
      </c>
      <c r="F68" s="31"/>
      <c r="G68" s="92">
        <f>B68/Assumptions!C455*Assumptions!H455</f>
        <v>9589.6881395533255</v>
      </c>
      <c r="H68" s="92">
        <f>C68/Assumptions!D455*Assumptions!I455</f>
        <v>3520.9052249782776</v>
      </c>
      <c r="I68" s="92">
        <f>D68/Assumptions!E455*Assumptions!J455</f>
        <v>4334.3250188556112</v>
      </c>
      <c r="J68" s="92">
        <f>E68/Assumptions!F455*Assumptions!K455</f>
        <v>4204.5893286780656</v>
      </c>
      <c r="K68" s="92">
        <f>F68/Assumptions!G455*Assumptions!L455</f>
        <v>0</v>
      </c>
      <c r="L68" s="87" t="s">
        <v>471</v>
      </c>
    </row>
    <row r="69" spans="1:12" x14ac:dyDescent="0.35">
      <c r="A69" s="4"/>
      <c r="B69" s="23">
        <f>SUM(B56:B68)</f>
        <v>391624</v>
      </c>
      <c r="C69" s="23">
        <f>SUM(C56:C68)</f>
        <v>243269</v>
      </c>
      <c r="D69" s="23">
        <f>SUM(D56:D68)</f>
        <v>376338</v>
      </c>
      <c r="E69" s="23">
        <f>SUM(E56:E68)</f>
        <v>568871</v>
      </c>
      <c r="F69" s="23">
        <f>SUM(F56:F68)</f>
        <v>811359</v>
      </c>
      <c r="G69" s="23">
        <f t="shared" ref="G69:K69" si="51">SUM(G56:G68)</f>
        <v>863988.04848410946</v>
      </c>
      <c r="H69" s="23">
        <f t="shared" si="51"/>
        <v>463247.01209086465</v>
      </c>
      <c r="I69" s="23">
        <f t="shared" si="51"/>
        <v>465741.37878686847</v>
      </c>
      <c r="J69" s="23">
        <f t="shared" si="51"/>
        <v>691325.86357882875</v>
      </c>
      <c r="K69" s="23">
        <f t="shared" si="51"/>
        <v>1035891.80955122</v>
      </c>
    </row>
    <row r="70" spans="1:12" ht="15" thickBot="1" x14ac:dyDescent="0.4">
      <c r="A70" s="4"/>
      <c r="B70" s="23"/>
      <c r="C70" s="23"/>
      <c r="D70" s="23"/>
      <c r="E70" s="23"/>
      <c r="F70" s="23"/>
    </row>
    <row r="71" spans="1:12" x14ac:dyDescent="0.35">
      <c r="A71" s="104" t="s">
        <v>477</v>
      </c>
      <c r="B71" s="105">
        <f>Assumptions!C200</f>
        <v>415961</v>
      </c>
      <c r="C71" s="105">
        <f>Assumptions!D200</f>
        <v>448046</v>
      </c>
      <c r="D71" s="105">
        <f>Assumptions!E200</f>
        <v>436136</v>
      </c>
      <c r="E71" s="105">
        <f>Assumptions!F200</f>
        <v>463500</v>
      </c>
      <c r="F71" s="105">
        <f>Assumptions!G200</f>
        <v>460722</v>
      </c>
      <c r="G71" s="106">
        <f>-('Depreciation schedule'!H152)</f>
        <v>439042.88378622546</v>
      </c>
      <c r="H71" s="106">
        <f>-('Depreciation schedule'!I152)</f>
        <v>472012.77432441473</v>
      </c>
      <c r="I71" s="106">
        <f>-('Depreciation schedule'!J152)</f>
        <v>500097.15998299886</v>
      </c>
      <c r="J71" s="106">
        <f>-('Depreciation schedule'!K152)</f>
        <v>528181.54564158292</v>
      </c>
      <c r="K71" s="107">
        <f>-('Depreciation schedule'!L152)</f>
        <v>0</v>
      </c>
    </row>
    <row r="72" spans="1:12" x14ac:dyDescent="0.35">
      <c r="A72" s="108" t="s">
        <v>472</v>
      </c>
      <c r="B72" s="17">
        <v>399190</v>
      </c>
      <c r="C72" s="17">
        <v>431022</v>
      </c>
      <c r="D72" s="17">
        <v>419364</v>
      </c>
      <c r="E72" s="17">
        <v>449662</v>
      </c>
      <c r="F72" s="17">
        <v>449661</v>
      </c>
      <c r="G72" s="90">
        <f>G$71*G73</f>
        <v>424059.74679234374</v>
      </c>
      <c r="H72" s="90">
        <f t="shared" ref="H72:J72" si="52">H$71*H73</f>
        <v>456489.00770285132</v>
      </c>
      <c r="I72" s="90">
        <f t="shared" si="52"/>
        <v>484160.60607855202</v>
      </c>
      <c r="J72" s="90">
        <f t="shared" si="52"/>
        <v>512046.06442331464</v>
      </c>
      <c r="K72" s="109">
        <f>K$71*K73</f>
        <v>0</v>
      </c>
    </row>
    <row r="73" spans="1:12" x14ac:dyDescent="0.35">
      <c r="A73" s="108"/>
      <c r="B73" s="12">
        <f>B72/B$71</f>
        <v>0.95968131627724718</v>
      </c>
      <c r="C73" s="12">
        <f t="shared" ref="C73:F73" si="53">C72/C$71</f>
        <v>0.96200390138512559</v>
      </c>
      <c r="D73" s="12">
        <f t="shared" si="53"/>
        <v>0.96154410550837355</v>
      </c>
      <c r="E73" s="12">
        <f t="shared" si="53"/>
        <v>0.97014455231930963</v>
      </c>
      <c r="F73" s="12">
        <f t="shared" si="53"/>
        <v>0.97599202990089473</v>
      </c>
      <c r="G73" s="12">
        <f>AVERAGE(B73:F73)</f>
        <v>0.9658731810781902</v>
      </c>
      <c r="H73" s="12">
        <f t="shared" ref="H73:K73" si="54">AVERAGE(C73:G73)</f>
        <v>0.96711155403837878</v>
      </c>
      <c r="I73" s="12">
        <f t="shared" si="54"/>
        <v>0.96813308456902936</v>
      </c>
      <c r="J73" s="12">
        <f t="shared" si="54"/>
        <v>0.96945088038116045</v>
      </c>
      <c r="K73" s="110">
        <f t="shared" si="54"/>
        <v>0.96931214599353077</v>
      </c>
    </row>
    <row r="74" spans="1:12" x14ac:dyDescent="0.35">
      <c r="A74" s="108" t="s">
        <v>473</v>
      </c>
      <c r="B74" s="96"/>
      <c r="C74" s="96"/>
      <c r="D74" s="96"/>
      <c r="E74" s="96">
        <v>8816</v>
      </c>
      <c r="F74" s="96">
        <v>8840</v>
      </c>
      <c r="G74" s="90">
        <f>G$71*G75</f>
        <v>3354.970067064035</v>
      </c>
      <c r="H74" s="90">
        <f t="shared" ref="H74" si="55">H$71*H75</f>
        <v>4328.2935338079515</v>
      </c>
      <c r="I74" s="90">
        <f t="shared" ref="I74" si="56">I$71*I75</f>
        <v>5502.9882788954164</v>
      </c>
      <c r="J74" s="90">
        <f t="shared" ref="J74" si="57">J$71*J75</f>
        <v>6974.4291806655483</v>
      </c>
      <c r="K74" s="109">
        <f t="shared" ref="K74" si="58">K$71*K75</f>
        <v>0</v>
      </c>
    </row>
    <row r="75" spans="1:12" x14ac:dyDescent="0.35">
      <c r="A75" s="108"/>
      <c r="B75" s="12">
        <f>B74/B$71</f>
        <v>0</v>
      </c>
      <c r="C75" s="12">
        <f t="shared" ref="C75:F75" si="59">C74/C$71</f>
        <v>0</v>
      </c>
      <c r="D75" s="12">
        <f t="shared" si="59"/>
        <v>0</v>
      </c>
      <c r="E75" s="12">
        <f t="shared" si="59"/>
        <v>1.9020496224379721E-2</v>
      </c>
      <c r="F75" s="12">
        <f t="shared" si="59"/>
        <v>1.9187275623912033E-2</v>
      </c>
      <c r="G75" s="12">
        <f>AVERAGE(B75:F75)</f>
        <v>7.6415543696583517E-3</v>
      </c>
      <c r="H75" s="12">
        <f t="shared" ref="H75:K75" si="60">AVERAGE(C75:G75)</f>
        <v>9.1698652435900224E-3</v>
      </c>
      <c r="I75" s="12">
        <f t="shared" si="60"/>
        <v>1.1003838292308027E-2</v>
      </c>
      <c r="J75" s="12">
        <f t="shared" si="60"/>
        <v>1.3204605950769633E-2</v>
      </c>
      <c r="K75" s="110">
        <f t="shared" si="60"/>
        <v>1.2041427896047613E-2</v>
      </c>
    </row>
    <row r="76" spans="1:12" x14ac:dyDescent="0.35">
      <c r="A76" s="108" t="s">
        <v>474</v>
      </c>
      <c r="B76" s="96">
        <v>16771</v>
      </c>
      <c r="C76" s="96">
        <v>17024</v>
      </c>
      <c r="D76" s="96">
        <v>16772</v>
      </c>
      <c r="E76" s="96">
        <v>5022</v>
      </c>
      <c r="F76" s="96">
        <v>2221</v>
      </c>
      <c r="G76" s="90">
        <f>G$71*G77</f>
        <v>11628.166926817703</v>
      </c>
      <c r="H76" s="90">
        <f t="shared" ref="H76" si="61">H$71*H77</f>
        <v>11195.473087755508</v>
      </c>
      <c r="I76" s="90">
        <f t="shared" ref="I76" si="62">I$71*I77</f>
        <v>10433.565625551419</v>
      </c>
      <c r="J76" s="90">
        <f t="shared" ref="J76" si="63">J$71*J77</f>
        <v>9161.0520376027125</v>
      </c>
      <c r="K76" s="109">
        <f t="shared" ref="K76" si="64">K$71*K77</f>
        <v>0</v>
      </c>
    </row>
    <row r="77" spans="1:12" ht="15" thickBot="1" x14ac:dyDescent="0.4">
      <c r="A77" s="102"/>
      <c r="B77" s="111">
        <f>B76/B$71</f>
        <v>4.0318683722752852E-2</v>
      </c>
      <c r="C77" s="111">
        <f t="shared" ref="C77" si="65">C76/C$71</f>
        <v>3.7996098614874366E-2</v>
      </c>
      <c r="D77" s="111">
        <f t="shared" ref="D77" si="66">D76/D$71</f>
        <v>3.8455894491626466E-2</v>
      </c>
      <c r="E77" s="111">
        <f t="shared" ref="E77" si="67">E76/E$71</f>
        <v>1.0834951456310679E-2</v>
      </c>
      <c r="F77" s="111">
        <f t="shared" ref="F77" si="68">F76/F$71</f>
        <v>4.8206944751932835E-3</v>
      </c>
      <c r="G77" s="111">
        <f>AVERAGE(B77:F77)</f>
        <v>2.6485264552151534E-2</v>
      </c>
      <c r="H77" s="111">
        <f t="shared" ref="H77:K77" si="69">AVERAGE(C77:G77)</f>
        <v>2.3718580718031269E-2</v>
      </c>
      <c r="I77" s="111">
        <f t="shared" si="69"/>
        <v>2.0863077138662645E-2</v>
      </c>
      <c r="J77" s="111">
        <f t="shared" si="69"/>
        <v>1.7344513668069883E-2</v>
      </c>
      <c r="K77" s="112">
        <f t="shared" si="69"/>
        <v>1.8646426110421721E-2</v>
      </c>
    </row>
    <row r="78" spans="1:12" x14ac:dyDescent="0.35">
      <c r="A78" s="4"/>
      <c r="B78" s="23"/>
      <c r="C78" s="23"/>
      <c r="D78" s="23"/>
      <c r="E78" s="23"/>
      <c r="F78" s="23"/>
    </row>
    <row r="79" spans="1:12" x14ac:dyDescent="0.35">
      <c r="A79" s="6" t="s">
        <v>218</v>
      </c>
      <c r="B79" s="23"/>
      <c r="C79" s="23"/>
      <c r="D79" s="23"/>
      <c r="E79" s="23"/>
      <c r="F79" s="23"/>
    </row>
    <row r="80" spans="1:12" ht="29" x14ac:dyDescent="0.35">
      <c r="A80" s="4" t="s">
        <v>219</v>
      </c>
      <c r="B80" s="23">
        <v>293717</v>
      </c>
      <c r="C80" s="24">
        <v>316490</v>
      </c>
      <c r="D80" s="24">
        <v>370774</v>
      </c>
      <c r="E80" s="23">
        <v>520605</v>
      </c>
      <c r="F80" s="23">
        <v>565928</v>
      </c>
      <c r="G80" s="90">
        <f>B80/B16*G16</f>
        <v>467149.15721570328</v>
      </c>
      <c r="H80" s="90">
        <f t="shared" ref="H80:K80" si="70">C80/C16*H16</f>
        <v>507019.97328483633</v>
      </c>
      <c r="I80" s="90">
        <f t="shared" si="70"/>
        <v>458773.13507325097</v>
      </c>
      <c r="J80" s="90">
        <f t="shared" si="70"/>
        <v>865917.80162635492</v>
      </c>
      <c r="K80" s="90">
        <f t="shared" si="70"/>
        <v>902159.39432763914</v>
      </c>
      <c r="L80" t="s">
        <v>479</v>
      </c>
    </row>
    <row r="81" spans="1:12" x14ac:dyDescent="0.35">
      <c r="A81" s="4" t="s">
        <v>220</v>
      </c>
      <c r="B81" s="23">
        <v>41992</v>
      </c>
      <c r="C81" s="24">
        <v>34228</v>
      </c>
      <c r="D81" s="24">
        <v>35668</v>
      </c>
      <c r="E81" s="23">
        <v>86903</v>
      </c>
      <c r="F81" s="23">
        <v>96249</v>
      </c>
      <c r="G81" s="14">
        <f>AVERAGE(B81:F81)</f>
        <v>59008</v>
      </c>
      <c r="H81" s="14">
        <f t="shared" ref="H81:K81" si="71">AVERAGE(C81:G81)</f>
        <v>62411.199999999997</v>
      </c>
      <c r="I81" s="14">
        <f t="shared" si="71"/>
        <v>68047.839999999997</v>
      </c>
      <c r="J81" s="14">
        <f t="shared" si="71"/>
        <v>74523.808000000005</v>
      </c>
      <c r="K81" s="14">
        <f t="shared" si="71"/>
        <v>72047.969600000011</v>
      </c>
      <c r="L81" t="s">
        <v>470</v>
      </c>
    </row>
    <row r="82" spans="1:12" x14ac:dyDescent="0.35">
      <c r="A82" s="4" t="s">
        <v>190</v>
      </c>
      <c r="B82" s="23">
        <v>88455</v>
      </c>
      <c r="C82" s="24">
        <v>106340</v>
      </c>
      <c r="D82" s="24">
        <v>122582</v>
      </c>
      <c r="E82" s="23">
        <v>379020</v>
      </c>
      <c r="F82" s="23">
        <v>599301</v>
      </c>
      <c r="G82" s="14">
        <f>AVERAGE(B82:F82)</f>
        <v>259139.6</v>
      </c>
      <c r="H82" s="14">
        <f t="shared" ref="H82:K82" si="72">AVERAGE(C82:G82)</f>
        <v>293276.52</v>
      </c>
      <c r="I82" s="14">
        <f t="shared" si="72"/>
        <v>330663.82400000002</v>
      </c>
      <c r="J82" s="14">
        <f t="shared" si="72"/>
        <v>372280.1888</v>
      </c>
      <c r="K82" s="14">
        <f t="shared" si="72"/>
        <v>370932.22656000004</v>
      </c>
      <c r="L82" t="s">
        <v>470</v>
      </c>
    </row>
    <row r="83" spans="1:12" ht="29" x14ac:dyDescent="0.35">
      <c r="A83" s="4" t="s">
        <v>213</v>
      </c>
      <c r="B83" s="23">
        <v>17584</v>
      </c>
      <c r="C83" s="24">
        <v>22552</v>
      </c>
      <c r="D83" s="24">
        <v>23024</v>
      </c>
      <c r="E83" s="23">
        <f>E52</f>
        <v>49032</v>
      </c>
      <c r="F83" s="23">
        <f>F52</f>
        <v>48743</v>
      </c>
      <c r="G83" s="23">
        <f t="shared" ref="G83:K83" si="73">G52</f>
        <v>49186.813306993099</v>
      </c>
      <c r="H83" s="23">
        <f t="shared" si="73"/>
        <v>54423.17386409441</v>
      </c>
      <c r="I83" s="23">
        <f t="shared" si="73"/>
        <v>59653.742202755275</v>
      </c>
      <c r="J83" s="23">
        <f t="shared" si="73"/>
        <v>67151.139650365862</v>
      </c>
      <c r="K83" s="23">
        <f t="shared" si="73"/>
        <v>70868.911572816287</v>
      </c>
      <c r="L83" s="87" t="s">
        <v>478</v>
      </c>
    </row>
    <row r="84" spans="1:12" ht="29" x14ac:dyDescent="0.35">
      <c r="A84" s="4" t="s">
        <v>221</v>
      </c>
      <c r="B84" s="23">
        <v>21131</v>
      </c>
      <c r="C84" s="24">
        <v>25193</v>
      </c>
      <c r="D84" s="24">
        <v>33740</v>
      </c>
      <c r="E84" s="23">
        <v>97446</v>
      </c>
      <c r="F84" s="23">
        <v>92536</v>
      </c>
      <c r="G84">
        <f>G107</f>
        <v>50204.183815178105</v>
      </c>
      <c r="H84">
        <f t="shared" ref="H84:K84" si="74">H107</f>
        <v>48994.217093443469</v>
      </c>
      <c r="I84">
        <f t="shared" si="74"/>
        <v>55031.994030459478</v>
      </c>
      <c r="J84">
        <f t="shared" si="74"/>
        <v>61001.343533505409</v>
      </c>
      <c r="K84">
        <f t="shared" si="74"/>
        <v>58653.885317129578</v>
      </c>
      <c r="L84" s="87" t="s">
        <v>478</v>
      </c>
    </row>
    <row r="85" spans="1:12" ht="29" x14ac:dyDescent="0.35">
      <c r="A85" s="4" t="s">
        <v>222</v>
      </c>
      <c r="B85" s="23"/>
      <c r="C85" s="24" t="s">
        <v>18</v>
      </c>
      <c r="D85" s="24">
        <v>7615</v>
      </c>
      <c r="E85" s="23">
        <v>5022</v>
      </c>
      <c r="F85" s="23">
        <v>2221</v>
      </c>
      <c r="G85" s="90">
        <f>G76</f>
        <v>11628.166926817703</v>
      </c>
      <c r="H85" s="90">
        <f t="shared" ref="H85:K85" si="75">H76</f>
        <v>11195.473087755508</v>
      </c>
      <c r="I85" s="90">
        <f t="shared" si="75"/>
        <v>10433.565625551419</v>
      </c>
      <c r="J85" s="90">
        <f t="shared" si="75"/>
        <v>9161.0520376027125</v>
      </c>
      <c r="K85" s="90">
        <f t="shared" si="75"/>
        <v>0</v>
      </c>
      <c r="L85" s="87" t="s">
        <v>478</v>
      </c>
    </row>
    <row r="86" spans="1:12" ht="29" x14ac:dyDescent="0.35">
      <c r="A86" s="4" t="s">
        <v>223</v>
      </c>
      <c r="B86" s="23">
        <v>16771</v>
      </c>
      <c r="C86" s="24">
        <v>17024</v>
      </c>
      <c r="D86" s="24">
        <v>16772</v>
      </c>
      <c r="E86" s="23">
        <v>87645</v>
      </c>
      <c r="F86" s="23">
        <v>112185</v>
      </c>
      <c r="G86" s="14">
        <f>AVERAGE(B86:F86)</f>
        <v>50079.4</v>
      </c>
      <c r="H86" s="14">
        <f t="shared" ref="H86:K89" si="76">AVERAGE(C86:G86)</f>
        <v>56741.08</v>
      </c>
      <c r="I86" s="14">
        <f t="shared" si="76"/>
        <v>64684.496000000006</v>
      </c>
      <c r="J86" s="14">
        <f t="shared" si="76"/>
        <v>74266.99519999999</v>
      </c>
      <c r="K86" s="14">
        <f t="shared" si="76"/>
        <v>71591.394239999994</v>
      </c>
      <c r="L86" s="87" t="s">
        <v>470</v>
      </c>
    </row>
    <row r="87" spans="1:12" ht="29" x14ac:dyDescent="0.35">
      <c r="A87" s="4" t="s">
        <v>215</v>
      </c>
      <c r="B87" s="23">
        <v>37838</v>
      </c>
      <c r="C87" s="24">
        <v>6579</v>
      </c>
      <c r="D87" s="24">
        <v>43450</v>
      </c>
      <c r="E87" s="23">
        <v>74467</v>
      </c>
      <c r="F87" s="23">
        <v>81445</v>
      </c>
      <c r="G87" s="14">
        <f t="shared" ref="G87:G89" si="77">AVERAGE(B87:F87)</f>
        <v>48755.8</v>
      </c>
      <c r="H87" s="14">
        <f t="shared" si="76"/>
        <v>50939.360000000001</v>
      </c>
      <c r="I87" s="14">
        <f t="shared" si="76"/>
        <v>59811.431999999993</v>
      </c>
      <c r="J87" s="14">
        <f t="shared" si="76"/>
        <v>63083.718399999991</v>
      </c>
      <c r="K87" s="14">
        <f t="shared" si="76"/>
        <v>60807.062080000003</v>
      </c>
      <c r="L87" s="87" t="s">
        <v>470</v>
      </c>
    </row>
    <row r="88" spans="1:12" ht="29" x14ac:dyDescent="0.35">
      <c r="A88" s="4" t="s">
        <v>224</v>
      </c>
      <c r="B88" s="23">
        <v>27722</v>
      </c>
      <c r="C88" s="24">
        <v>8035</v>
      </c>
      <c r="D88" s="24">
        <v>13030</v>
      </c>
      <c r="E88" s="23"/>
      <c r="F88" s="23">
        <v>264</v>
      </c>
      <c r="G88" s="14">
        <f t="shared" si="77"/>
        <v>12262.75</v>
      </c>
      <c r="H88" s="14">
        <f t="shared" si="76"/>
        <v>8397.9375</v>
      </c>
      <c r="I88" s="14">
        <f t="shared" si="76"/>
        <v>8488.671875</v>
      </c>
      <c r="J88" s="14">
        <f t="shared" si="76"/>
        <v>7353.33984375</v>
      </c>
      <c r="K88" s="14">
        <f t="shared" si="76"/>
        <v>7353.33984375</v>
      </c>
      <c r="L88" s="87" t="s">
        <v>470</v>
      </c>
    </row>
    <row r="89" spans="1:12" ht="29" x14ac:dyDescent="0.35">
      <c r="A89" s="4" t="s">
        <v>147</v>
      </c>
      <c r="B89" s="31">
        <v>20632</v>
      </c>
      <c r="C89" s="71">
        <v>13413</v>
      </c>
      <c r="D89" s="71">
        <v>16266</v>
      </c>
      <c r="E89" s="31">
        <v>29147</v>
      </c>
      <c r="F89" s="31">
        <v>18392</v>
      </c>
      <c r="G89" s="14">
        <f t="shared" si="77"/>
        <v>19570</v>
      </c>
      <c r="H89" s="14">
        <f t="shared" si="76"/>
        <v>19357.599999999999</v>
      </c>
      <c r="I89" s="14">
        <f t="shared" si="76"/>
        <v>20546.52</v>
      </c>
      <c r="J89" s="14">
        <f t="shared" si="76"/>
        <v>21402.624000000003</v>
      </c>
      <c r="K89" s="14">
        <f t="shared" si="76"/>
        <v>19853.748800000001</v>
      </c>
      <c r="L89" s="87" t="s">
        <v>470</v>
      </c>
    </row>
    <row r="90" spans="1:12" x14ac:dyDescent="0.35">
      <c r="A90" s="4"/>
      <c r="B90" s="23">
        <f>SUM(B80:B89)</f>
        <v>565842</v>
      </c>
      <c r="C90" s="23">
        <f>SUM(C80:C89)</f>
        <v>549854</v>
      </c>
      <c r="D90" s="23">
        <f>SUM(D80:D89)</f>
        <v>682921</v>
      </c>
      <c r="E90" s="23">
        <f>SUM(E80:E89)</f>
        <v>1329287</v>
      </c>
      <c r="F90" s="23">
        <f>SUM(F80:F89)</f>
        <v>1617264</v>
      </c>
      <c r="G90" s="23">
        <f t="shared" ref="G90:K90" si="78">SUM(G80:G89)</f>
        <v>1026983.8712646923</v>
      </c>
      <c r="H90" s="23">
        <f t="shared" si="78"/>
        <v>1112756.5348301299</v>
      </c>
      <c r="I90" s="23">
        <f t="shared" si="78"/>
        <v>1136135.2208070171</v>
      </c>
      <c r="J90" s="23">
        <f t="shared" si="78"/>
        <v>1616142.0110915788</v>
      </c>
      <c r="K90" s="23">
        <f t="shared" si="78"/>
        <v>1634267.9323413351</v>
      </c>
    </row>
    <row r="91" spans="1:12" x14ac:dyDescent="0.35">
      <c r="A91" s="4"/>
      <c r="B91" s="23"/>
      <c r="C91" s="23"/>
      <c r="D91" s="23"/>
      <c r="E91" s="23"/>
      <c r="F91" s="23"/>
    </row>
    <row r="92" spans="1:12" x14ac:dyDescent="0.35">
      <c r="A92" s="6" t="s">
        <v>225</v>
      </c>
      <c r="B92" s="23"/>
      <c r="C92" s="23"/>
      <c r="D92" s="23"/>
      <c r="E92" s="23"/>
      <c r="F92" s="23"/>
    </row>
    <row r="93" spans="1:12" ht="29" x14ac:dyDescent="0.35">
      <c r="A93" s="4" t="s">
        <v>226</v>
      </c>
      <c r="B93" s="23">
        <v>34926</v>
      </c>
      <c r="C93" s="24">
        <v>66867</v>
      </c>
      <c r="D93" s="24">
        <v>41386</v>
      </c>
      <c r="E93" s="23">
        <v>77501</v>
      </c>
      <c r="F93" s="23">
        <v>83480</v>
      </c>
      <c r="G93" s="14">
        <f>AVERAGE(B93:F93)</f>
        <v>60832</v>
      </c>
      <c r="H93" s="14">
        <f t="shared" ref="H93:K93" si="79">AVERAGE(C93:G93)</f>
        <v>66013.2</v>
      </c>
      <c r="I93" s="14">
        <f t="shared" si="79"/>
        <v>65842.44</v>
      </c>
      <c r="J93" s="14">
        <f t="shared" si="79"/>
        <v>70733.728000000003</v>
      </c>
      <c r="K93" s="14">
        <f t="shared" si="79"/>
        <v>69380.2736</v>
      </c>
      <c r="L93" s="87" t="s">
        <v>470</v>
      </c>
    </row>
    <row r="94" spans="1:12" ht="29" x14ac:dyDescent="0.35">
      <c r="A94" s="4" t="s">
        <v>480</v>
      </c>
      <c r="B94" s="23">
        <v>4503</v>
      </c>
      <c r="C94" s="24">
        <v>4408</v>
      </c>
      <c r="D94" s="24">
        <v>5284</v>
      </c>
      <c r="E94" s="23">
        <v>11610</v>
      </c>
      <c r="F94" s="23">
        <v>32386</v>
      </c>
      <c r="G94" s="14">
        <f t="shared" ref="G94:G97" si="80">AVERAGE(B94:F94)</f>
        <v>11638.2</v>
      </c>
      <c r="H94" s="14">
        <f t="shared" ref="H94:H97" si="81">AVERAGE(C94:G94)</f>
        <v>13065.24</v>
      </c>
      <c r="I94" s="14">
        <f t="shared" ref="I94:I97" si="82">AVERAGE(D94:H94)</f>
        <v>14796.688</v>
      </c>
      <c r="J94" s="14">
        <f t="shared" ref="J94:J97" si="83">AVERAGE(E94:I94)</f>
        <v>16699.225599999998</v>
      </c>
      <c r="K94" s="14">
        <f t="shared" ref="K94:K97" si="84">AVERAGE(F94:J94)</f>
        <v>17717.07072</v>
      </c>
      <c r="L94" s="87" t="s">
        <v>470</v>
      </c>
    </row>
    <row r="95" spans="1:12" ht="29" x14ac:dyDescent="0.35">
      <c r="A95" s="4" t="s">
        <v>481</v>
      </c>
      <c r="B95" s="23">
        <v>56759</v>
      </c>
      <c r="C95" s="24">
        <v>11910</v>
      </c>
      <c r="D95" s="24">
        <v>277486</v>
      </c>
      <c r="E95" s="23">
        <v>174010</v>
      </c>
      <c r="F95" s="23">
        <v>145216</v>
      </c>
      <c r="G95" s="14">
        <f t="shared" si="80"/>
        <v>133076.20000000001</v>
      </c>
      <c r="H95" s="14">
        <f t="shared" si="81"/>
        <v>148339.63999999998</v>
      </c>
      <c r="I95" s="14">
        <f t="shared" si="82"/>
        <v>175625.568</v>
      </c>
      <c r="J95" s="14">
        <f t="shared" si="83"/>
        <v>155253.4816</v>
      </c>
      <c r="K95" s="14">
        <f t="shared" si="84"/>
        <v>151502.17791999999</v>
      </c>
      <c r="L95" s="87" t="s">
        <v>470</v>
      </c>
    </row>
    <row r="96" spans="1:12" ht="43.5" x14ac:dyDescent="0.35">
      <c r="A96" s="4" t="s">
        <v>334</v>
      </c>
      <c r="B96" s="23">
        <v>798</v>
      </c>
      <c r="C96" s="24">
        <v>5762</v>
      </c>
      <c r="D96" s="24">
        <v>16</v>
      </c>
      <c r="E96" s="23">
        <v>-1093</v>
      </c>
      <c r="F96" s="23"/>
      <c r="G96" s="14">
        <f>SUM($B$96:$F$96)/SUM('Depreciation schedule'!$C$3:$G$3)*'Depreciation schedule'!H3</f>
        <v>1517.9915636156186</v>
      </c>
      <c r="H96" s="14">
        <f>SUM($B$96:$F$96)/SUM('Depreciation schedule'!$C$3:$G$3)*'Depreciation schedule'!I3</f>
        <v>1630.308579658197</v>
      </c>
      <c r="I96" s="14">
        <f>SUM($B$96:$F$96)/SUM('Depreciation schedule'!$C$3:$G$3)*'Depreciation schedule'!J3</f>
        <v>1768.1665580784675</v>
      </c>
      <c r="J96" s="14">
        <f>SUM($B$96:$F$96)/SUM('Depreciation schedule'!$C$3:$G$3)*'Depreciation schedule'!K3</f>
        <v>1944.2740051145504</v>
      </c>
      <c r="K96" s="14">
        <f>SUM($B$96:$F$96)/SUM('Depreciation schedule'!$C$3:$G$3)*'Depreciation schedule'!L3</f>
        <v>2002.5604037393509</v>
      </c>
      <c r="L96" s="87" t="s">
        <v>484</v>
      </c>
    </row>
    <row r="97" spans="1:12" ht="29" x14ac:dyDescent="0.35">
      <c r="A97" s="4" t="s">
        <v>482</v>
      </c>
      <c r="B97" s="23">
        <v>774578</v>
      </c>
      <c r="C97" s="24">
        <v>175197</v>
      </c>
      <c r="D97" s="24">
        <v>626696</v>
      </c>
      <c r="E97" s="23">
        <v>1952758</v>
      </c>
      <c r="F97" s="23">
        <v>852103</v>
      </c>
      <c r="G97" s="14">
        <f t="shared" si="80"/>
        <v>876266.4</v>
      </c>
      <c r="H97" s="14">
        <f t="shared" si="81"/>
        <v>896604.08000000007</v>
      </c>
      <c r="I97" s="14">
        <f t="shared" si="82"/>
        <v>1040885.496</v>
      </c>
      <c r="J97" s="14">
        <f t="shared" si="83"/>
        <v>1123723.3952000001</v>
      </c>
      <c r="K97" s="14">
        <f t="shared" si="84"/>
        <v>957916.47424000001</v>
      </c>
      <c r="L97" s="87" t="s">
        <v>470</v>
      </c>
    </row>
    <row r="98" spans="1:12" x14ac:dyDescent="0.35">
      <c r="A98" s="4" t="s">
        <v>483</v>
      </c>
      <c r="B98" s="23">
        <v>73698</v>
      </c>
      <c r="C98" s="24">
        <v>132255</v>
      </c>
      <c r="D98" s="24">
        <v>329748</v>
      </c>
      <c r="E98" s="23">
        <v>356392</v>
      </c>
      <c r="F98" s="23">
        <v>138993</v>
      </c>
      <c r="G98" s="14">
        <f>SUM($B$98:$F$98)/SUM($B$16:$F$16)*G16</f>
        <v>268720.26708622911</v>
      </c>
      <c r="H98" s="14">
        <f t="shared" ref="H98:J98" si="85">SUM($B$98:$F$98)/SUM($B$16:$F$16)*H16</f>
        <v>292141.67349148216</v>
      </c>
      <c r="I98" s="14">
        <f t="shared" si="85"/>
        <v>305934.27439112955</v>
      </c>
      <c r="J98" s="14">
        <f t="shared" si="85"/>
        <v>341729.09835464734</v>
      </c>
      <c r="K98" s="14">
        <f>SUM($B$98:$F$98)/SUM($B$16:$F$16)*K16</f>
        <v>361969.82088355144</v>
      </c>
      <c r="L98" s="87" t="s">
        <v>485</v>
      </c>
    </row>
    <row r="99" spans="1:12" x14ac:dyDescent="0.35">
      <c r="A99" s="4" t="s">
        <v>77</v>
      </c>
      <c r="B99" s="31">
        <v>269296</v>
      </c>
      <c r="C99" s="71">
        <v>439389</v>
      </c>
      <c r="D99" s="71">
        <v>1073579</v>
      </c>
      <c r="E99" s="31">
        <v>881182</v>
      </c>
      <c r="F99" s="31">
        <v>460924</v>
      </c>
      <c r="G99" s="14">
        <f>SUM($B$99:$F$99)/SUM($B$16:$F$16)*G16</f>
        <v>814269.16947393492</v>
      </c>
      <c r="H99" s="14">
        <f t="shared" ref="H99:J99" si="86">SUM($B$99:$F$99)/SUM($B$16:$F$16)*H16</f>
        <v>885240.10645725206</v>
      </c>
      <c r="I99" s="14">
        <f t="shared" si="86"/>
        <v>927034.08724336629</v>
      </c>
      <c r="J99" s="14">
        <f t="shared" si="86"/>
        <v>1035498.6325353167</v>
      </c>
      <c r="K99" s="14">
        <f>SUM($B$99:$F$99)/SUM($B$16:$F$16)*K16</f>
        <v>1096831.5439002581</v>
      </c>
      <c r="L99" s="87" t="s">
        <v>485</v>
      </c>
    </row>
    <row r="100" spans="1:12" x14ac:dyDescent="0.35">
      <c r="A100" s="4"/>
      <c r="B100" s="23">
        <f>SUM(B93:B99)</f>
        <v>1214558</v>
      </c>
      <c r="C100" s="23">
        <f>SUM(C93:C99)</f>
        <v>835788</v>
      </c>
      <c r="D100" s="23">
        <f>SUM(D93:D99)</f>
        <v>2354195</v>
      </c>
      <c r="E100" s="23">
        <f>SUM(E93:E99)</f>
        <v>3452360</v>
      </c>
      <c r="F100" s="23">
        <f>SUM(F93:F99)</f>
        <v>1713102</v>
      </c>
      <c r="G100" s="23">
        <f t="shared" ref="G100:K100" si="87">SUM(G93:G99)</f>
        <v>2166320.2281237794</v>
      </c>
      <c r="H100" s="23">
        <f t="shared" si="87"/>
        <v>2303034.2485283925</v>
      </c>
      <c r="I100" s="23">
        <f t="shared" si="87"/>
        <v>2531886.7201925744</v>
      </c>
      <c r="J100" s="23">
        <f t="shared" si="87"/>
        <v>2745581.8352950788</v>
      </c>
      <c r="K100" s="23">
        <f t="shared" si="87"/>
        <v>2657319.9216675488</v>
      </c>
    </row>
    <row r="101" spans="1:12" ht="15" thickBot="1" x14ac:dyDescent="0.4">
      <c r="A101" s="4"/>
    </row>
    <row r="102" spans="1:12" x14ac:dyDescent="0.35">
      <c r="A102" s="97" t="s">
        <v>475</v>
      </c>
      <c r="B102" s="98">
        <f t="shared" ref="B102:E102" si="88">SUM(B103,B105,B107)</f>
        <v>75362</v>
      </c>
      <c r="C102" s="98">
        <f t="shared" si="88"/>
        <v>25193</v>
      </c>
      <c r="D102" s="98">
        <f t="shared" si="88"/>
        <v>33740</v>
      </c>
      <c r="E102" s="98">
        <f t="shared" si="88"/>
        <v>97446</v>
      </c>
      <c r="F102" s="98">
        <f>SUM(F103,F105,F107)</f>
        <v>123968</v>
      </c>
      <c r="G102" s="98">
        <f>-'Depreciation schedule'!H197</f>
        <v>67257.2</v>
      </c>
      <c r="H102" s="98">
        <f>-'Depreciation schedule'!I197</f>
        <v>65636.240000000005</v>
      </c>
      <c r="I102" s="98">
        <f>-'Depreciation schedule'!J197</f>
        <v>73724.888000000006</v>
      </c>
      <c r="J102" s="98">
        <f>-'Depreciation schedule'!K197</f>
        <v>81721.86559999999</v>
      </c>
      <c r="K102" s="99">
        <f>-'Depreciation schedule'!L197</f>
        <v>78577.038719999997</v>
      </c>
    </row>
    <row r="103" spans="1:12" x14ac:dyDescent="0.35">
      <c r="A103" s="100" t="s">
        <v>472</v>
      </c>
      <c r="F103">
        <v>9851</v>
      </c>
      <c r="G103">
        <f>$G$102*G104</f>
        <v>5344.5298560918945</v>
      </c>
      <c r="H103">
        <f t="shared" ref="H103:K103" si="89">$G$102*H104</f>
        <v>5344.5298560918945</v>
      </c>
      <c r="I103">
        <f t="shared" si="89"/>
        <v>5344.5298560918945</v>
      </c>
      <c r="J103">
        <f t="shared" si="89"/>
        <v>5344.5298560918945</v>
      </c>
      <c r="K103" s="101">
        <f t="shared" si="89"/>
        <v>5344.5298560918945</v>
      </c>
    </row>
    <row r="104" spans="1:12" x14ac:dyDescent="0.35">
      <c r="A104" s="100"/>
      <c r="F104">
        <f>F103/F$102</f>
        <v>7.9464055240061948E-2</v>
      </c>
      <c r="G104">
        <v>7.9464055240061948E-2</v>
      </c>
      <c r="H104">
        <v>7.9464055240061948E-2</v>
      </c>
      <c r="I104">
        <v>7.9464055240061948E-2</v>
      </c>
      <c r="J104">
        <v>7.9464055240061948E-2</v>
      </c>
      <c r="K104" s="101">
        <v>7.9464055240061948E-2</v>
      </c>
    </row>
    <row r="105" spans="1:12" x14ac:dyDescent="0.35">
      <c r="A105" s="100" t="s">
        <v>473</v>
      </c>
      <c r="F105">
        <v>21581</v>
      </c>
      <c r="G105">
        <f>G104*G102</f>
        <v>5344.5298560918945</v>
      </c>
      <c r="H105">
        <f t="shared" ref="H105:K105" si="90">H104*H102</f>
        <v>5215.721801109964</v>
      </c>
      <c r="I105">
        <f t="shared" si="90"/>
        <v>5858.4785725993806</v>
      </c>
      <c r="J105">
        <f t="shared" si="90"/>
        <v>6493.9508423593179</v>
      </c>
      <c r="K105" s="101">
        <f t="shared" si="90"/>
        <v>6244.0501454465666</v>
      </c>
    </row>
    <row r="106" spans="1:12" x14ac:dyDescent="0.35">
      <c r="A106" s="100"/>
      <c r="F106">
        <f>F105/F$102</f>
        <v>0.17408524780588538</v>
      </c>
      <c r="G106">
        <v>0.17408524780588538</v>
      </c>
      <c r="H106">
        <f t="shared" ref="H106:K106" si="91">H105/H$102</f>
        <v>7.9464055240061948E-2</v>
      </c>
      <c r="I106">
        <f t="shared" si="91"/>
        <v>7.9464055240061948E-2</v>
      </c>
      <c r="J106">
        <f t="shared" si="91"/>
        <v>7.9464055240061948E-2</v>
      </c>
      <c r="K106" s="101">
        <f t="shared" si="91"/>
        <v>7.9464055240061948E-2</v>
      </c>
    </row>
    <row r="107" spans="1:12" x14ac:dyDescent="0.35">
      <c r="A107" s="100" t="s">
        <v>474</v>
      </c>
      <c r="B107">
        <v>75362</v>
      </c>
      <c r="C107">
        <v>25193</v>
      </c>
      <c r="D107">
        <v>33740</v>
      </c>
      <c r="E107">
        <v>97446</v>
      </c>
      <c r="F107">
        <v>92536</v>
      </c>
      <c r="G107">
        <f>G102*G108</f>
        <v>50204.183815178105</v>
      </c>
      <c r="H107">
        <f t="shared" ref="H107:K107" si="92">H102*H108</f>
        <v>48994.217093443469</v>
      </c>
      <c r="I107">
        <f t="shared" si="92"/>
        <v>55031.994030459478</v>
      </c>
      <c r="J107">
        <f t="shared" si="92"/>
        <v>61001.343533505409</v>
      </c>
      <c r="K107" s="101">
        <f t="shared" si="92"/>
        <v>58653.885317129578</v>
      </c>
    </row>
    <row r="108" spans="1:12" ht="15" thickBot="1" x14ac:dyDescent="0.4">
      <c r="A108" s="102"/>
      <c r="B108" s="19"/>
      <c r="C108" s="19"/>
      <c r="D108" s="19"/>
      <c r="E108" s="19"/>
      <c r="F108" s="19">
        <f>F107/F$102</f>
        <v>0.74645069695405264</v>
      </c>
      <c r="G108" s="19">
        <v>0.74645069695405264</v>
      </c>
      <c r="H108" s="19">
        <v>0.74645069695405264</v>
      </c>
      <c r="I108" s="19">
        <v>0.74645069695405264</v>
      </c>
      <c r="J108" s="19">
        <v>0.74645069695405264</v>
      </c>
      <c r="K108" s="103">
        <v>0.74645069695405264</v>
      </c>
    </row>
    <row r="109" spans="1:12" x14ac:dyDescent="0.35">
      <c r="A109" s="4"/>
    </row>
    <row r="110" spans="1:12" x14ac:dyDescent="0.35">
      <c r="A110" s="4"/>
    </row>
    <row r="111" spans="1:12" x14ac:dyDescent="0.35">
      <c r="A111" s="3" t="s">
        <v>232</v>
      </c>
      <c r="B111" s="23"/>
      <c r="C111" s="23"/>
      <c r="D111" s="23"/>
      <c r="E111" s="23"/>
      <c r="F111" s="23"/>
    </row>
    <row r="112" spans="1:12" x14ac:dyDescent="0.35">
      <c r="A112" s="1" t="s">
        <v>233</v>
      </c>
      <c r="B112" s="80"/>
      <c r="C112" s="80"/>
      <c r="D112" s="80"/>
      <c r="E112" s="80"/>
      <c r="F112" s="80"/>
    </row>
    <row r="113" spans="1:12" x14ac:dyDescent="0.35">
      <c r="A113" s="4" t="s">
        <v>235</v>
      </c>
      <c r="B113" s="23">
        <v>30657</v>
      </c>
      <c r="C113" s="24">
        <v>45251</v>
      </c>
      <c r="D113" s="24">
        <v>54242</v>
      </c>
      <c r="E113" s="23">
        <v>129214</v>
      </c>
      <c r="F113" s="23">
        <v>169741</v>
      </c>
      <c r="G113" s="14">
        <f t="shared" ref="G113:G114" si="93">AVERAGE(B113:F113)</f>
        <v>85821</v>
      </c>
      <c r="H113" s="14">
        <f t="shared" ref="H113:H115" si="94">AVERAGE(C113:G113)</f>
        <v>96853.8</v>
      </c>
      <c r="I113" s="14">
        <f t="shared" ref="I113:I115" si="95">AVERAGE(D113:H113)</f>
        <v>107174.36000000002</v>
      </c>
      <c r="J113" s="14">
        <f t="shared" ref="J113:J115" si="96">AVERAGE(E113:I113)</f>
        <v>117760.83200000001</v>
      </c>
      <c r="K113" s="14">
        <f t="shared" ref="K113:K115" si="97">AVERAGE(F113:J113)</f>
        <v>115470.19840000002</v>
      </c>
      <c r="L113" t="s">
        <v>470</v>
      </c>
    </row>
    <row r="114" spans="1:12" x14ac:dyDescent="0.35">
      <c r="A114" s="4" t="s">
        <v>236</v>
      </c>
      <c r="B114" s="23">
        <v>790660</v>
      </c>
      <c r="C114" s="24">
        <v>842816</v>
      </c>
      <c r="D114" s="24">
        <v>1164022</v>
      </c>
      <c r="E114" s="23">
        <v>1268381</v>
      </c>
      <c r="F114" s="23">
        <v>957228</v>
      </c>
      <c r="G114" s="14">
        <f t="shared" si="93"/>
        <v>1004621.4</v>
      </c>
      <c r="H114" s="14">
        <f t="shared" si="94"/>
        <v>1047413.68</v>
      </c>
      <c r="I114" s="14">
        <f t="shared" si="95"/>
        <v>1088333.216</v>
      </c>
      <c r="J114" s="14">
        <f t="shared" si="96"/>
        <v>1073195.4591999999</v>
      </c>
      <c r="K114" s="14">
        <f t="shared" si="97"/>
        <v>1034158.3510400001</v>
      </c>
      <c r="L114" t="s">
        <v>470</v>
      </c>
    </row>
    <row r="115" spans="1:12" ht="29" x14ac:dyDescent="0.35">
      <c r="A115" s="4" t="s">
        <v>237</v>
      </c>
      <c r="B115" s="23" t="s">
        <v>18</v>
      </c>
      <c r="C115" s="24">
        <v>118336</v>
      </c>
      <c r="D115" s="24">
        <v>57918</v>
      </c>
      <c r="E115" s="23"/>
      <c r="F115" s="23">
        <v>165447</v>
      </c>
      <c r="G115" s="14">
        <f>AVERAGE(B115:F115)</f>
        <v>113900.33333333333</v>
      </c>
      <c r="H115" s="14">
        <f t="shared" si="94"/>
        <v>113900.33333333333</v>
      </c>
      <c r="I115" s="14">
        <f t="shared" si="95"/>
        <v>112791.41666666666</v>
      </c>
      <c r="J115" s="14">
        <f t="shared" si="96"/>
        <v>126509.77083333331</v>
      </c>
      <c r="K115" s="14">
        <f t="shared" si="97"/>
        <v>126509.7708333333</v>
      </c>
      <c r="L115" t="s">
        <v>470</v>
      </c>
    </row>
    <row r="116" spans="1:12" ht="29" x14ac:dyDescent="0.35">
      <c r="A116" s="4" t="s">
        <v>238</v>
      </c>
      <c r="B116" s="23" t="s">
        <v>18</v>
      </c>
      <c r="C116" s="24"/>
      <c r="D116" s="23"/>
      <c r="E116" s="23"/>
      <c r="F116" s="23">
        <v>47158</v>
      </c>
    </row>
    <row r="117" spans="1:12" x14ac:dyDescent="0.35">
      <c r="B117" s="23">
        <f>SUM(B113:B116)</f>
        <v>821317</v>
      </c>
      <c r="C117" s="23">
        <f>SUM(C113:C116)</f>
        <v>1006403</v>
      </c>
      <c r="D117" s="23">
        <f>SUM(D113:D116)</f>
        <v>1276182</v>
      </c>
      <c r="E117" s="23">
        <f>SUM(E113:E116)</f>
        <v>1397595</v>
      </c>
      <c r="F117" s="23">
        <f>SUM(F113:F116)</f>
        <v>1339574</v>
      </c>
      <c r="G117" s="23">
        <f t="shared" ref="G117:K117" si="98">SUM(G113:G116)</f>
        <v>1204342.7333333332</v>
      </c>
      <c r="H117" s="23">
        <f t="shared" si="98"/>
        <v>1258167.8133333332</v>
      </c>
      <c r="I117" s="23">
        <f t="shared" si="98"/>
        <v>1308298.9926666669</v>
      </c>
      <c r="J117" s="23">
        <f t="shared" si="98"/>
        <v>1317466.0620333331</v>
      </c>
      <c r="K117" s="23">
        <f t="shared" si="98"/>
        <v>1276138.3202733335</v>
      </c>
    </row>
    <row r="118" spans="1:12" x14ac:dyDescent="0.35">
      <c r="A118" s="1" t="s">
        <v>234</v>
      </c>
      <c r="B118" s="23"/>
      <c r="C118" s="23"/>
      <c r="D118" s="23"/>
      <c r="E118" s="23"/>
      <c r="F118" s="23"/>
    </row>
    <row r="119" spans="1:12" x14ac:dyDescent="0.35">
      <c r="A119" t="s">
        <v>239</v>
      </c>
      <c r="B119" s="23">
        <v>63130</v>
      </c>
      <c r="C119" s="23">
        <v>43593</v>
      </c>
      <c r="D119" s="24">
        <v>30455</v>
      </c>
      <c r="E119" s="23">
        <v>31546</v>
      </c>
      <c r="F119" s="23">
        <v>111134</v>
      </c>
      <c r="G119" s="75">
        <f>SUM($B$119:$F$119)/SUM($B$3:$F$3)*G3</f>
        <v>66248.352913973184</v>
      </c>
      <c r="H119" s="75">
        <f t="shared" ref="H119:K119" si="99">SUM($B$119:$F$119)/SUM($B$3:$F$3)*H3</f>
        <v>64174.116394708013</v>
      </c>
      <c r="I119" s="75">
        <f t="shared" si="99"/>
        <v>73210.643448192437</v>
      </c>
      <c r="J119" s="75">
        <f t="shared" si="99"/>
        <v>81183.529746389249</v>
      </c>
      <c r="K119" s="75">
        <f t="shared" si="99"/>
        <v>90009.259576118115</v>
      </c>
      <c r="L119" t="s">
        <v>486</v>
      </c>
    </row>
    <row r="120" spans="1:12" x14ac:dyDescent="0.35">
      <c r="A120" t="s">
        <v>240</v>
      </c>
      <c r="B120" s="23"/>
      <c r="C120" s="23"/>
      <c r="D120" s="24">
        <v>1831</v>
      </c>
      <c r="E120" s="23">
        <v>1093</v>
      </c>
      <c r="F120" s="23">
        <v>4900</v>
      </c>
      <c r="L120" t="s">
        <v>488</v>
      </c>
    </row>
    <row r="121" spans="1:12" x14ac:dyDescent="0.35">
      <c r="A121" t="s">
        <v>241</v>
      </c>
      <c r="B121" s="23"/>
      <c r="C121" s="23"/>
      <c r="D121" s="23"/>
      <c r="E121" s="23"/>
      <c r="F121" s="23">
        <v>239327</v>
      </c>
    </row>
    <row r="122" spans="1:12" x14ac:dyDescent="0.35">
      <c r="A122" t="s">
        <v>147</v>
      </c>
      <c r="B122" s="23">
        <v>9815</v>
      </c>
      <c r="C122" s="23">
        <v>36876</v>
      </c>
      <c r="D122" s="24">
        <v>32286</v>
      </c>
      <c r="E122" s="23">
        <v>12228</v>
      </c>
      <c r="F122" s="23">
        <v>11521</v>
      </c>
      <c r="G122">
        <f>TREND(B122:F122)</f>
        <v>24792.400000000001</v>
      </c>
      <c r="H122">
        <f t="shared" ref="H122:K122" si="100">TREND(C122:G122)</f>
        <v>32527.119999999995</v>
      </c>
      <c r="I122">
        <f t="shared" si="100"/>
        <v>20061.576000000001</v>
      </c>
      <c r="J122">
        <f t="shared" si="100"/>
        <v>12891.364800000001</v>
      </c>
      <c r="K122">
        <f t="shared" si="100"/>
        <v>20756.711039999998</v>
      </c>
      <c r="L122" t="s">
        <v>487</v>
      </c>
    </row>
    <row r="123" spans="1:12" x14ac:dyDescent="0.35">
      <c r="B123" s="23">
        <f>SUM(B117:B122)</f>
        <v>894262</v>
      </c>
      <c r="C123" s="23">
        <f>SUM(C117:C122)</f>
        <v>1086872</v>
      </c>
      <c r="D123" s="23">
        <f>SUM(D117:D120)</f>
        <v>1308468</v>
      </c>
      <c r="E123" s="23">
        <f>SUM(E117:E122)</f>
        <v>1442462</v>
      </c>
      <c r="F123" s="23">
        <f>SUM(F117:F122)</f>
        <v>1706456</v>
      </c>
      <c r="G123" s="23">
        <f t="shared" ref="G123:K123" si="101">SUM(G117:G122)</f>
        <v>1295383.4862473062</v>
      </c>
      <c r="H123" s="23">
        <f t="shared" si="101"/>
        <v>1354869.049728041</v>
      </c>
      <c r="I123" s="23">
        <f t="shared" si="101"/>
        <v>1401571.2121148594</v>
      </c>
      <c r="J123" s="23">
        <f t="shared" si="101"/>
        <v>1411540.9565797225</v>
      </c>
      <c r="K123" s="23">
        <f t="shared" si="101"/>
        <v>1386904.2908894515</v>
      </c>
    </row>
    <row r="124" spans="1:12" x14ac:dyDescent="0.35">
      <c r="B124" s="23"/>
      <c r="C124" s="23"/>
      <c r="D124" s="23"/>
      <c r="E124" s="23"/>
      <c r="F124" s="23"/>
    </row>
    <row r="125" spans="1:12" x14ac:dyDescent="0.35">
      <c r="A125" s="3" t="s">
        <v>242</v>
      </c>
      <c r="B125" s="23"/>
      <c r="C125" s="23"/>
      <c r="D125" s="23"/>
      <c r="E125" s="23"/>
      <c r="F125" s="23"/>
    </row>
    <row r="126" spans="1:12" x14ac:dyDescent="0.35">
      <c r="A126" s="4" t="s">
        <v>243</v>
      </c>
      <c r="B126" s="23"/>
      <c r="C126" s="23"/>
      <c r="D126" s="23"/>
      <c r="E126" s="23"/>
      <c r="F126" s="23"/>
    </row>
    <row r="127" spans="1:12" x14ac:dyDescent="0.35">
      <c r="A127" s="4" t="s">
        <v>245</v>
      </c>
      <c r="B127" s="27">
        <v>1190039</v>
      </c>
      <c r="C127" s="68">
        <v>1632887</v>
      </c>
      <c r="D127" s="68">
        <v>1338676</v>
      </c>
      <c r="E127" s="28">
        <v>2048083</v>
      </c>
      <c r="F127" s="28">
        <v>3903082</v>
      </c>
      <c r="G127" s="121">
        <f>'Loan Schedule'!H223</f>
        <v>559473.50838500005</v>
      </c>
      <c r="H127" s="121">
        <f>'Loan Schedule'!I223</f>
        <v>376012.79385000002</v>
      </c>
      <c r="I127" s="121">
        <f>'Loan Schedule'!J223</f>
        <v>605814.91532142856</v>
      </c>
      <c r="J127" s="121">
        <f>'Loan Schedule'!K223</f>
        <v>425506.60234999994</v>
      </c>
      <c r="K127" s="121">
        <f>'Loan Schedule'!L223</f>
        <v>595758.58962142863</v>
      </c>
      <c r="L127" t="s">
        <v>490</v>
      </c>
    </row>
    <row r="128" spans="1:12" x14ac:dyDescent="0.35">
      <c r="A128" s="4" t="s">
        <v>246</v>
      </c>
      <c r="B128" s="86">
        <v>333081</v>
      </c>
      <c r="C128" s="18">
        <v>302368</v>
      </c>
      <c r="D128" s="18">
        <v>258123</v>
      </c>
      <c r="E128" s="17">
        <v>235064</v>
      </c>
      <c r="F128" s="17">
        <v>204984</v>
      </c>
      <c r="G128">
        <f>TREND(B128:F128)</f>
        <v>331423.60000000003</v>
      </c>
      <c r="H128">
        <f t="shared" ref="H128:K128" si="102">TREND(C128:G128)</f>
        <v>265398.08</v>
      </c>
      <c r="I128">
        <f t="shared" si="102"/>
        <v>236816.584</v>
      </c>
      <c r="J128">
        <f t="shared" si="102"/>
        <v>241953.40320000006</v>
      </c>
      <c r="K128">
        <f t="shared" si="102"/>
        <v>260248.77536000003</v>
      </c>
      <c r="L128" t="s">
        <v>489</v>
      </c>
    </row>
    <row r="129" spans="1:12" x14ac:dyDescent="0.35">
      <c r="A129" s="4" t="s">
        <v>247</v>
      </c>
      <c r="B129" s="86">
        <v>109845</v>
      </c>
      <c r="C129" s="18">
        <v>102413</v>
      </c>
      <c r="D129" s="18">
        <v>5742</v>
      </c>
      <c r="E129" s="17">
        <v>42339</v>
      </c>
      <c r="F129" s="17">
        <v>245041</v>
      </c>
      <c r="G129" s="14">
        <f>AVERAGE(B129:F129)</f>
        <v>101076</v>
      </c>
      <c r="H129" s="14">
        <f t="shared" ref="H129:K129" si="103">AVERAGE(C129:G129)</f>
        <v>99322.2</v>
      </c>
      <c r="I129" s="14">
        <f t="shared" si="103"/>
        <v>98704.040000000008</v>
      </c>
      <c r="J129" s="14">
        <f t="shared" si="103"/>
        <v>117296.448</v>
      </c>
      <c r="K129" s="14">
        <f t="shared" si="103"/>
        <v>132287.9376</v>
      </c>
      <c r="L129" t="s">
        <v>470</v>
      </c>
    </row>
    <row r="130" spans="1:12" x14ac:dyDescent="0.35">
      <c r="A130" s="4" t="s">
        <v>244</v>
      </c>
      <c r="B130" s="86"/>
      <c r="C130" s="17"/>
      <c r="D130" s="18"/>
      <c r="E130" s="17"/>
      <c r="F130" s="17"/>
      <c r="K130" s="120"/>
    </row>
    <row r="131" spans="1:12" x14ac:dyDescent="0.35">
      <c r="A131" s="4" t="s">
        <v>248</v>
      </c>
      <c r="B131" s="30"/>
      <c r="C131" s="31"/>
      <c r="D131" s="71">
        <v>-13699</v>
      </c>
      <c r="E131" s="31">
        <v>-29778</v>
      </c>
      <c r="F131" s="31">
        <v>-58521</v>
      </c>
      <c r="G131" s="14">
        <f>AVERAGE(B131:F131)</f>
        <v>-33999.333333333336</v>
      </c>
      <c r="H131" s="14">
        <f t="shared" ref="H131" si="104">AVERAGE(C131:G131)</f>
        <v>-33999.333333333336</v>
      </c>
      <c r="I131" s="14">
        <f t="shared" ref="I131" si="105">AVERAGE(D131:H131)</f>
        <v>-33999.333333333336</v>
      </c>
      <c r="J131" s="14">
        <f t="shared" ref="J131" si="106">AVERAGE(E131:I131)</f>
        <v>-38059.400000000009</v>
      </c>
      <c r="K131" s="14">
        <f t="shared" ref="K131" si="107">AVERAGE(F131:J131)</f>
        <v>-39715.680000000008</v>
      </c>
      <c r="L131" t="s">
        <v>470</v>
      </c>
    </row>
    <row r="132" spans="1:12" x14ac:dyDescent="0.35">
      <c r="A132" s="4"/>
      <c r="B132" s="23">
        <f t="shared" ref="B132:C132" si="108">SUM(B127:B131)</f>
        <v>1632965</v>
      </c>
      <c r="C132" s="23">
        <f t="shared" si="108"/>
        <v>2037668</v>
      </c>
      <c r="D132" s="23">
        <f>SUM(D127:D131)</f>
        <v>1588842</v>
      </c>
      <c r="E132" s="23">
        <f>SUM(E127:E131)</f>
        <v>2295708</v>
      </c>
      <c r="F132" s="23">
        <f>SUM(F127:F131)</f>
        <v>4294586</v>
      </c>
      <c r="G132" s="23">
        <f t="shared" ref="G132:K132" si="109">SUM(G127:G131)</f>
        <v>957973.77505166677</v>
      </c>
      <c r="H132" s="23">
        <f t="shared" si="109"/>
        <v>706733.74051666667</v>
      </c>
      <c r="I132" s="23">
        <f t="shared" si="109"/>
        <v>907336.20598809526</v>
      </c>
      <c r="J132" s="23">
        <f t="shared" si="109"/>
        <v>746697.05354999995</v>
      </c>
      <c r="K132" s="23">
        <f t="shared" si="109"/>
        <v>948579.62258142873</v>
      </c>
    </row>
    <row r="133" spans="1:12" ht="29" x14ac:dyDescent="0.35">
      <c r="A133" s="4" t="s">
        <v>345</v>
      </c>
      <c r="B133" s="23" t="s">
        <v>18</v>
      </c>
      <c r="C133" s="23">
        <v>2800</v>
      </c>
      <c r="D133" s="23"/>
      <c r="E133" s="23"/>
      <c r="F133" s="23"/>
    </row>
    <row r="134" spans="1:12" ht="29" x14ac:dyDescent="0.35">
      <c r="A134" s="4" t="s">
        <v>355</v>
      </c>
      <c r="B134" s="23">
        <v>8607</v>
      </c>
      <c r="C134" s="23"/>
      <c r="D134" s="23"/>
      <c r="E134" s="23"/>
      <c r="F134" s="23"/>
    </row>
    <row r="135" spans="1:12" x14ac:dyDescent="0.35">
      <c r="A135" s="4" t="s">
        <v>249</v>
      </c>
      <c r="B135" s="23">
        <v>11007</v>
      </c>
      <c r="C135" s="24">
        <v>19797</v>
      </c>
      <c r="D135" s="24">
        <v>28569</v>
      </c>
      <c r="E135" s="23">
        <v>13418</v>
      </c>
      <c r="F135" s="23">
        <v>17197</v>
      </c>
      <c r="G135" s="14">
        <f t="shared" ref="G135:G138" si="110">AVERAGE(B135:F135)</f>
        <v>17997.599999999999</v>
      </c>
      <c r="H135" s="14">
        <f t="shared" ref="H135:H140" si="111">AVERAGE(C135:G135)</f>
        <v>19395.72</v>
      </c>
      <c r="I135" s="14">
        <f t="shared" ref="I135:I140" si="112">AVERAGE(D135:H135)</f>
        <v>19315.464</v>
      </c>
      <c r="J135" s="14">
        <f t="shared" ref="J135:J140" si="113">AVERAGE(E135:I135)</f>
        <v>17464.756800000003</v>
      </c>
      <c r="K135" s="14">
        <f t="shared" ref="K135:K140" si="114">AVERAGE(F135:J135)</f>
        <v>18274.10816</v>
      </c>
      <c r="L135" t="s">
        <v>470</v>
      </c>
    </row>
    <row r="136" spans="1:12" x14ac:dyDescent="0.35">
      <c r="A136" s="4" t="s">
        <v>250</v>
      </c>
      <c r="B136" s="23">
        <v>22000</v>
      </c>
      <c r="C136" s="24">
        <v>43822</v>
      </c>
      <c r="D136" s="24">
        <v>42691</v>
      </c>
      <c r="E136" s="23">
        <v>95695</v>
      </c>
      <c r="F136" s="23">
        <v>68161</v>
      </c>
      <c r="G136" s="14">
        <f t="shared" si="110"/>
        <v>54473.8</v>
      </c>
      <c r="H136" s="14">
        <f t="shared" si="111"/>
        <v>60968.56</v>
      </c>
      <c r="I136" s="14">
        <f t="shared" si="112"/>
        <v>64397.871999999996</v>
      </c>
      <c r="J136" s="14">
        <f t="shared" si="113"/>
        <v>68739.246399999989</v>
      </c>
      <c r="K136" s="14">
        <f t="shared" si="114"/>
        <v>63348.095679999991</v>
      </c>
      <c r="L136" t="s">
        <v>470</v>
      </c>
    </row>
    <row r="137" spans="1:12" x14ac:dyDescent="0.35">
      <c r="A137" s="4" t="s">
        <v>336</v>
      </c>
      <c r="B137" s="23" t="s">
        <v>18</v>
      </c>
      <c r="C137" s="24" t="s">
        <v>18</v>
      </c>
      <c r="D137" s="24">
        <v>1603</v>
      </c>
      <c r="E137" s="23"/>
      <c r="F137" s="23"/>
      <c r="G137" s="14"/>
      <c r="H137" s="14"/>
      <c r="I137" s="14"/>
      <c r="J137" s="14"/>
      <c r="K137" s="14"/>
    </row>
    <row r="138" spans="1:12" ht="29" x14ac:dyDescent="0.35">
      <c r="A138" s="4" t="s">
        <v>251</v>
      </c>
      <c r="B138" s="23" t="s">
        <v>18</v>
      </c>
      <c r="C138" s="24">
        <v>18048</v>
      </c>
      <c r="D138" s="24">
        <v>156583</v>
      </c>
      <c r="E138" s="23">
        <v>503733</v>
      </c>
      <c r="F138" s="23">
        <v>-678364</v>
      </c>
      <c r="G138" s="14">
        <f t="shared" si="110"/>
        <v>0</v>
      </c>
      <c r="H138" s="14">
        <f t="shared" si="111"/>
        <v>0</v>
      </c>
      <c r="I138" s="14">
        <f t="shared" si="112"/>
        <v>-3609.6</v>
      </c>
      <c r="J138" s="14">
        <f t="shared" si="113"/>
        <v>-35648.120000000003</v>
      </c>
      <c r="K138" s="14">
        <f t="shared" si="114"/>
        <v>-143524.34399999998</v>
      </c>
      <c r="L138" t="s">
        <v>470</v>
      </c>
    </row>
    <row r="139" spans="1:12" x14ac:dyDescent="0.35">
      <c r="A139" s="4" t="s">
        <v>356</v>
      </c>
      <c r="B139" s="23">
        <v>73406</v>
      </c>
      <c r="C139" s="24"/>
      <c r="D139" s="24"/>
      <c r="E139" s="23"/>
      <c r="F139" s="23"/>
      <c r="G139" s="14"/>
      <c r="H139" s="14"/>
      <c r="I139" s="14"/>
      <c r="J139" s="14"/>
      <c r="K139" s="14"/>
    </row>
    <row r="140" spans="1:12" x14ac:dyDescent="0.35">
      <c r="A140" s="4" t="s">
        <v>335</v>
      </c>
      <c r="B140" s="23">
        <v>11693</v>
      </c>
      <c r="C140" s="24">
        <v>1014</v>
      </c>
      <c r="D140" s="24">
        <v>10117</v>
      </c>
      <c r="E140" s="23">
        <v>1381</v>
      </c>
      <c r="F140" s="23"/>
      <c r="G140" s="14">
        <f t="shared" ref="G140:G141" si="115">AVERAGE(B140:F140)</f>
        <v>6051.25</v>
      </c>
      <c r="H140" s="14">
        <f t="shared" si="111"/>
        <v>4640.8125</v>
      </c>
      <c r="I140" s="14">
        <f t="shared" si="112"/>
        <v>5547.515625</v>
      </c>
      <c r="J140" s="14">
        <f t="shared" si="113"/>
        <v>4405.14453125</v>
      </c>
      <c r="K140" s="14">
        <f t="shared" si="114"/>
        <v>5161.1806640625</v>
      </c>
      <c r="L140" t="s">
        <v>470</v>
      </c>
    </row>
    <row r="141" spans="1:12" x14ac:dyDescent="0.35">
      <c r="A141" s="4" t="s">
        <v>252</v>
      </c>
      <c r="B141" s="23">
        <v>634</v>
      </c>
      <c r="C141" s="24">
        <v>46539</v>
      </c>
      <c r="D141" s="24">
        <v>17975</v>
      </c>
      <c r="E141" s="23">
        <v>84612</v>
      </c>
      <c r="F141" s="23">
        <v>237492</v>
      </c>
      <c r="G141" s="14">
        <f t="shared" si="115"/>
        <v>77450.399999999994</v>
      </c>
      <c r="H141" s="14">
        <f t="shared" ref="H141:H142" si="116">AVERAGE(C141:G141)</f>
        <v>92813.680000000008</v>
      </c>
      <c r="I141" s="14">
        <f t="shared" ref="I141:I142" si="117">AVERAGE(D141:H141)</f>
        <v>102068.61600000001</v>
      </c>
      <c r="J141" s="14">
        <f t="shared" ref="J141:J142" si="118">AVERAGE(E141:I141)</f>
        <v>118887.3392</v>
      </c>
      <c r="K141" s="14">
        <f t="shared" ref="K141:K142" si="119">AVERAGE(F141:J141)</f>
        <v>125742.40704000001</v>
      </c>
      <c r="L141" t="s">
        <v>470</v>
      </c>
    </row>
    <row r="142" spans="1:12" x14ac:dyDescent="0.35">
      <c r="A142" s="4" t="s">
        <v>253</v>
      </c>
      <c r="B142" s="23">
        <v>25271</v>
      </c>
      <c r="C142" s="24">
        <v>21409</v>
      </c>
      <c r="D142" s="24">
        <v>55559</v>
      </c>
      <c r="E142" s="23">
        <v>88385</v>
      </c>
      <c r="F142" s="23">
        <v>258136</v>
      </c>
      <c r="G142" s="14">
        <f>AVERAGE(B142:F142)</f>
        <v>89752</v>
      </c>
      <c r="H142" s="14">
        <f t="shared" si="116"/>
        <v>102648.2</v>
      </c>
      <c r="I142" s="14">
        <f t="shared" si="117"/>
        <v>118896.04</v>
      </c>
      <c r="J142" s="14">
        <f t="shared" si="118"/>
        <v>131563.448</v>
      </c>
      <c r="K142" s="14">
        <f t="shared" si="119"/>
        <v>140199.13759999999</v>
      </c>
      <c r="L142" t="s">
        <v>470</v>
      </c>
    </row>
    <row r="143" spans="1:12" x14ac:dyDescent="0.35">
      <c r="B143" s="24">
        <f>SUM(B132:B142)</f>
        <v>1785583</v>
      </c>
      <c r="C143" s="24">
        <f>SUM(C132:C142)</f>
        <v>2191097</v>
      </c>
      <c r="D143" s="23">
        <f>SUM(D132:D142)</f>
        <v>1901939</v>
      </c>
      <c r="E143" s="23">
        <f>SUM(E132:E142)</f>
        <v>3082932</v>
      </c>
      <c r="F143" s="23">
        <f>SUM(F132:F142)</f>
        <v>4197208</v>
      </c>
      <c r="G143" s="23">
        <f t="shared" ref="G143:K143" si="120">SUM(G132:G142)</f>
        <v>1203698.8250516667</v>
      </c>
      <c r="H143" s="23">
        <f t="shared" si="120"/>
        <v>987200.71301666659</v>
      </c>
      <c r="I143" s="23">
        <f t="shared" si="120"/>
        <v>1213952.1136130954</v>
      </c>
      <c r="J143" s="23">
        <f t="shared" si="120"/>
        <v>1052108.86848125</v>
      </c>
      <c r="K143" s="23">
        <f t="shared" si="120"/>
        <v>1157780.2077254911</v>
      </c>
    </row>
    <row r="144" spans="1:12" x14ac:dyDescent="0.35">
      <c r="B144" s="23"/>
      <c r="C144" s="23"/>
      <c r="D144" s="23"/>
      <c r="E144" s="23"/>
      <c r="F144" s="23"/>
    </row>
    <row r="145" spans="1:12" x14ac:dyDescent="0.35">
      <c r="A145" s="3" t="s">
        <v>254</v>
      </c>
      <c r="B145" s="23"/>
      <c r="C145" s="23"/>
      <c r="D145" s="23"/>
      <c r="E145" s="23"/>
      <c r="F145" s="23"/>
    </row>
    <row r="146" spans="1:12" x14ac:dyDescent="0.35">
      <c r="A146" s="1" t="s">
        <v>255</v>
      </c>
      <c r="B146" s="23"/>
      <c r="C146" s="23"/>
      <c r="D146" s="23"/>
      <c r="E146" s="23"/>
      <c r="F146" s="23"/>
    </row>
    <row r="147" spans="1:12" x14ac:dyDescent="0.35">
      <c r="A147" t="s">
        <v>259</v>
      </c>
      <c r="B147" s="23">
        <v>962033</v>
      </c>
      <c r="C147" s="23">
        <v>1094177</v>
      </c>
      <c r="D147" s="24">
        <v>4084111</v>
      </c>
      <c r="E147" s="23">
        <v>4264721</v>
      </c>
      <c r="F147" s="23">
        <v>3691825</v>
      </c>
      <c r="G147" s="123">
        <f>AVERAGE(B147:F147)</f>
        <v>2819373.4</v>
      </c>
      <c r="H147" s="123">
        <f t="shared" ref="H147:K147" si="121">AVERAGE(C147:G147)</f>
        <v>3190841.48</v>
      </c>
      <c r="I147" s="123">
        <f t="shared" si="121"/>
        <v>3610174.3759999997</v>
      </c>
      <c r="J147" s="123">
        <f t="shared" si="121"/>
        <v>3515387.0512000001</v>
      </c>
      <c r="K147" s="123">
        <f t="shared" si="121"/>
        <v>3365520.26144</v>
      </c>
      <c r="L147" t="s">
        <v>470</v>
      </c>
    </row>
    <row r="148" spans="1:12" x14ac:dyDescent="0.35">
      <c r="A148" t="s">
        <v>260</v>
      </c>
      <c r="B148" s="23">
        <v>138768</v>
      </c>
      <c r="C148" s="23">
        <v>95526</v>
      </c>
      <c r="D148" s="24">
        <v>-7258</v>
      </c>
      <c r="E148" s="23">
        <v>632543</v>
      </c>
      <c r="F148" s="23">
        <v>281779</v>
      </c>
      <c r="G148" s="123">
        <f>AVERAGE(B148:F148)</f>
        <v>228271.6</v>
      </c>
      <c r="H148" s="123">
        <f t="shared" ref="H148" si="122">AVERAGE(C148:G148)</f>
        <v>246172.32</v>
      </c>
      <c r="I148" s="123">
        <f t="shared" ref="I148" si="123">AVERAGE(D148:H148)</f>
        <v>276301.58400000003</v>
      </c>
      <c r="J148" s="123">
        <f t="shared" ref="J148" si="124">AVERAGE(E148:I148)</f>
        <v>333013.50080000004</v>
      </c>
      <c r="K148" s="123">
        <f t="shared" ref="K148" si="125">AVERAGE(F148:J148)</f>
        <v>273107.60096000001</v>
      </c>
      <c r="L148" t="s">
        <v>470</v>
      </c>
    </row>
    <row r="149" spans="1:12" x14ac:dyDescent="0.35">
      <c r="B149" s="23">
        <f>SUM(B147:B148)</f>
        <v>1100801</v>
      </c>
      <c r="C149" s="23">
        <f>SUM(C147:C148)</f>
        <v>1189703</v>
      </c>
      <c r="D149" s="23">
        <f>SUM(D147:D148)</f>
        <v>4076853</v>
      </c>
      <c r="E149" s="23">
        <f>SUM(E147:E148)</f>
        <v>4897264</v>
      </c>
      <c r="F149" s="23">
        <f>SUM(F147:F148)</f>
        <v>3973604</v>
      </c>
      <c r="G149" s="23">
        <f t="shared" ref="G149:J149" si="126">SUM(G147:G148)</f>
        <v>3047645</v>
      </c>
      <c r="H149" s="23">
        <f t="shared" si="126"/>
        <v>3437013.8</v>
      </c>
      <c r="I149" s="23">
        <f t="shared" si="126"/>
        <v>3886475.96</v>
      </c>
      <c r="J149" s="23">
        <f t="shared" si="126"/>
        <v>3848400.5520000001</v>
      </c>
      <c r="K149" s="23">
        <f>SUM(K147:K148)</f>
        <v>3638627.8624</v>
      </c>
    </row>
    <row r="150" spans="1:12" x14ac:dyDescent="0.35">
      <c r="A150" s="1" t="s">
        <v>256</v>
      </c>
      <c r="B150" s="23"/>
      <c r="C150" s="23"/>
      <c r="D150" s="24"/>
      <c r="E150" s="23"/>
      <c r="F150" s="23"/>
    </row>
    <row r="151" spans="1:12" x14ac:dyDescent="0.35">
      <c r="A151" t="s">
        <v>257</v>
      </c>
      <c r="B151" s="23">
        <v>238391</v>
      </c>
      <c r="C151" s="23">
        <v>1192622</v>
      </c>
      <c r="D151" s="24">
        <v>854968</v>
      </c>
      <c r="E151" s="23">
        <v>105008</v>
      </c>
      <c r="F151" s="23">
        <v>640237</v>
      </c>
      <c r="G151" s="123">
        <f>AVERAGE(B151:F151)</f>
        <v>606245.19999999995</v>
      </c>
      <c r="H151" s="123">
        <f t="shared" ref="H151:H152" si="127">AVERAGE(C151:G151)</f>
        <v>679816.04</v>
      </c>
      <c r="I151" s="123">
        <f t="shared" ref="I151:I152" si="128">AVERAGE(D151:H151)</f>
        <v>577254.848</v>
      </c>
      <c r="J151" s="123">
        <f t="shared" ref="J151:J152" si="129">AVERAGE(E151:I151)</f>
        <v>521712.21759999997</v>
      </c>
      <c r="K151" s="123">
        <f t="shared" ref="K151:K152" si="130">AVERAGE(F151:J151)</f>
        <v>605053.06111999997</v>
      </c>
      <c r="L151" t="s">
        <v>470</v>
      </c>
    </row>
    <row r="152" spans="1:12" x14ac:dyDescent="0.35">
      <c r="A152" t="s">
        <v>258</v>
      </c>
      <c r="B152" s="23" t="s">
        <v>18</v>
      </c>
      <c r="C152" s="23">
        <v>121563</v>
      </c>
      <c r="D152" s="24">
        <v>-6091</v>
      </c>
      <c r="E152" s="23">
        <v>1763</v>
      </c>
      <c r="F152" s="23">
        <v>252873</v>
      </c>
      <c r="G152" s="123">
        <f>AVERAGE(B152:F152)</f>
        <v>92527</v>
      </c>
      <c r="H152" s="123">
        <f t="shared" si="127"/>
        <v>92527</v>
      </c>
      <c r="I152" s="123">
        <f t="shared" si="128"/>
        <v>86719.8</v>
      </c>
      <c r="J152" s="123">
        <f t="shared" si="129"/>
        <v>105281.96</v>
      </c>
      <c r="K152" s="123">
        <f t="shared" si="130"/>
        <v>125985.75200000001</v>
      </c>
      <c r="L152" t="s">
        <v>470</v>
      </c>
    </row>
    <row r="153" spans="1:12" x14ac:dyDescent="0.35">
      <c r="B153" s="23">
        <f>SUM(B151:B152)</f>
        <v>238391</v>
      </c>
      <c r="C153" s="23">
        <f>SUM(C151:C152)</f>
        <v>1314185</v>
      </c>
      <c r="D153" s="23">
        <f>SUM(D151:D152)</f>
        <v>848877</v>
      </c>
      <c r="E153" s="23">
        <f>SUM(E151:E152)</f>
        <v>106771</v>
      </c>
      <c r="F153" s="23">
        <f>SUM(F151:F152)</f>
        <v>893110</v>
      </c>
      <c r="G153" s="23">
        <f t="shared" ref="G153:K153" si="131">SUM(G151:G152)</f>
        <v>698772.2</v>
      </c>
      <c r="H153" s="23">
        <f t="shared" si="131"/>
        <v>772343.04</v>
      </c>
      <c r="I153" s="23">
        <f t="shared" si="131"/>
        <v>663974.64800000004</v>
      </c>
      <c r="J153" s="23">
        <f t="shared" si="131"/>
        <v>626994.17759999994</v>
      </c>
      <c r="K153" s="23">
        <f t="shared" si="131"/>
        <v>731038.81311999995</v>
      </c>
    </row>
    <row r="154" spans="1:12" x14ac:dyDescent="0.35">
      <c r="B154" s="23">
        <f>SUM(B153,B149)</f>
        <v>1339192</v>
      </c>
      <c r="C154" s="23">
        <f>SUM(C153,C149)</f>
        <v>2503888</v>
      </c>
      <c r="D154" s="23">
        <f>SUM(D153,D149)</f>
        <v>4925730</v>
      </c>
      <c r="E154" s="23">
        <f>SUM(E153,E149)</f>
        <v>5004035</v>
      </c>
      <c r="F154" s="23">
        <f>SUM(F153,F149)</f>
        <v>4866714</v>
      </c>
      <c r="G154" s="23">
        <f t="shared" ref="G154:K154" si="132">SUM(G153,G149)</f>
        <v>3746417.2</v>
      </c>
      <c r="H154" s="23">
        <f t="shared" si="132"/>
        <v>4209356.84</v>
      </c>
      <c r="I154" s="23">
        <f t="shared" si="132"/>
        <v>4550450.608</v>
      </c>
      <c r="J154" s="23">
        <f t="shared" si="132"/>
        <v>4475394.7296000002</v>
      </c>
      <c r="K154" s="23">
        <f t="shared" si="132"/>
        <v>4369666.67552</v>
      </c>
    </row>
    <row r="156" spans="1:12" x14ac:dyDescent="0.35">
      <c r="A156" t="s">
        <v>500</v>
      </c>
      <c r="B156" s="14">
        <v>908923</v>
      </c>
      <c r="C156" s="14">
        <v>908923</v>
      </c>
      <c r="D156" s="14">
        <v>908923</v>
      </c>
      <c r="E156" s="14">
        <v>908923</v>
      </c>
      <c r="F156" s="14">
        <v>908923</v>
      </c>
      <c r="G156" s="14">
        <v>908923</v>
      </c>
      <c r="H156" s="14">
        <v>908923</v>
      </c>
      <c r="I156" s="14">
        <v>908923</v>
      </c>
      <c r="J156" s="14">
        <v>908923</v>
      </c>
      <c r="K156" s="14">
        <v>908923</v>
      </c>
    </row>
    <row r="157" spans="1:12" x14ac:dyDescent="0.35">
      <c r="A157" t="s">
        <v>501</v>
      </c>
      <c r="B157" s="122">
        <v>908923</v>
      </c>
      <c r="C157">
        <v>919579</v>
      </c>
      <c r="D157">
        <v>1208923</v>
      </c>
      <c r="E157">
        <v>1208923</v>
      </c>
      <c r="F157">
        <v>1208923</v>
      </c>
      <c r="G157">
        <v>1208923</v>
      </c>
      <c r="H157">
        <v>1208923</v>
      </c>
      <c r="I157">
        <v>1208923</v>
      </c>
      <c r="J157">
        <v>1208923</v>
      </c>
      <c r="K157">
        <v>1208923</v>
      </c>
    </row>
  </sheetData>
  <mergeCells count="1">
    <mergeCell ref="L2:L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AD4C2-4B8B-41F9-AC87-7B303F4CA3A7}">
  <dimension ref="B2:O2004"/>
  <sheetViews>
    <sheetView workbookViewId="0">
      <selection activeCell="E2011" sqref="E2011"/>
    </sheetView>
  </sheetViews>
  <sheetFormatPr defaultRowHeight="14.5" x14ac:dyDescent="0.35"/>
  <cols>
    <col min="2" max="3" width="13.453125" customWidth="1"/>
    <col min="4" max="4" width="14.81640625" customWidth="1"/>
    <col min="5" max="5" width="24.7265625" customWidth="1"/>
    <col min="13" max="13" width="8.81640625" customWidth="1"/>
    <col min="14" max="14" width="35.26953125" customWidth="1"/>
    <col min="15" max="15" width="21.7265625" customWidth="1"/>
  </cols>
  <sheetData>
    <row r="2" spans="2:6" x14ac:dyDescent="0.35">
      <c r="B2" s="313" t="s">
        <v>646</v>
      </c>
      <c r="C2" s="312" t="s">
        <v>647</v>
      </c>
      <c r="D2" s="312" t="s">
        <v>622</v>
      </c>
    </row>
    <row r="3" spans="2:6" x14ac:dyDescent="0.35">
      <c r="B3" s="316">
        <v>45625</v>
      </c>
      <c r="C3" s="315">
        <v>101357.32</v>
      </c>
      <c r="D3" s="317">
        <f>(C3/C4)-1</f>
        <v>1.2734959274208757E-2</v>
      </c>
    </row>
    <row r="4" spans="2:6" x14ac:dyDescent="0.35">
      <c r="B4" s="314">
        <v>45624</v>
      </c>
      <c r="C4" s="315">
        <v>100082.77</v>
      </c>
      <c r="D4" s="317">
        <f t="shared" ref="D4:D67" si="0">(C4/C5)-1</f>
        <v>8.1950855879338036E-3</v>
      </c>
    </row>
    <row r="5" spans="2:6" x14ac:dyDescent="0.35">
      <c r="B5" s="314">
        <v>45623</v>
      </c>
      <c r="C5" s="315">
        <v>99269.25</v>
      </c>
      <c r="D5" s="317">
        <f t="shared" si="0"/>
        <v>4.96445329252726E-2</v>
      </c>
      <c r="E5" s="5" t="s">
        <v>648</v>
      </c>
      <c r="F5" s="318">
        <f>((C3/C1241)^(1/5)-1)</f>
        <v>0.20870359364252988</v>
      </c>
    </row>
    <row r="6" spans="2:6" x14ac:dyDescent="0.35">
      <c r="B6" s="314">
        <v>45622</v>
      </c>
      <c r="C6" s="315">
        <v>94574.16</v>
      </c>
      <c r="D6" s="317">
        <f t="shared" si="0"/>
        <v>-3.5742535311559576E-2</v>
      </c>
    </row>
    <row r="7" spans="2:6" x14ac:dyDescent="0.35">
      <c r="B7" s="314">
        <v>45621</v>
      </c>
      <c r="C7" s="315">
        <v>98079.78</v>
      </c>
      <c r="D7" s="317">
        <f t="shared" si="0"/>
        <v>2.878886458374641E-3</v>
      </c>
    </row>
    <row r="8" spans="2:6" x14ac:dyDescent="0.35">
      <c r="B8" s="314">
        <v>45618</v>
      </c>
      <c r="C8" s="315">
        <v>97798.23</v>
      </c>
      <c r="D8" s="317">
        <f t="shared" si="0"/>
        <v>4.827265217552057E-3</v>
      </c>
    </row>
    <row r="9" spans="2:6" x14ac:dyDescent="0.35">
      <c r="B9" s="314">
        <v>45617</v>
      </c>
      <c r="C9" s="315">
        <v>97328.4</v>
      </c>
      <c r="D9" s="317">
        <f t="shared" si="0"/>
        <v>1.8649984520619389E-2</v>
      </c>
    </row>
    <row r="10" spans="2:6" x14ac:dyDescent="0.35">
      <c r="B10" s="314">
        <v>45616</v>
      </c>
      <c r="C10" s="315">
        <v>95546.46</v>
      </c>
      <c r="D10" s="317">
        <f t="shared" si="0"/>
        <v>-3.2361858595754134E-3</v>
      </c>
    </row>
    <row r="11" spans="2:6" x14ac:dyDescent="0.35">
      <c r="B11" s="314">
        <v>45615</v>
      </c>
      <c r="C11" s="315">
        <v>95856.67</v>
      </c>
      <c r="D11" s="317">
        <f t="shared" si="0"/>
        <v>9.0635710027624494E-3</v>
      </c>
    </row>
    <row r="12" spans="2:6" x14ac:dyDescent="0.35">
      <c r="B12" s="314">
        <v>45614</v>
      </c>
      <c r="C12" s="315">
        <v>94995.67</v>
      </c>
      <c r="D12" s="317">
        <f t="shared" si="0"/>
        <v>2.448512952858195E-3</v>
      </c>
    </row>
    <row r="13" spans="2:6" x14ac:dyDescent="0.35">
      <c r="B13" s="314">
        <v>45611</v>
      </c>
      <c r="C13" s="315">
        <v>94763.64</v>
      </c>
      <c r="D13" s="317">
        <f t="shared" si="0"/>
        <v>6.0700555005319679E-3</v>
      </c>
    </row>
    <row r="14" spans="2:6" x14ac:dyDescent="0.35">
      <c r="B14" s="314">
        <v>45610</v>
      </c>
      <c r="C14" s="315">
        <v>94191.89</v>
      </c>
      <c r="D14" s="317">
        <f t="shared" si="0"/>
        <v>8.9599501603709886E-3</v>
      </c>
    </row>
    <row r="15" spans="2:6" x14ac:dyDescent="0.35">
      <c r="B15" s="314">
        <v>45609</v>
      </c>
      <c r="C15" s="315">
        <v>93355.43</v>
      </c>
      <c r="D15" s="317">
        <f t="shared" si="0"/>
        <v>1.4038146170922694E-3</v>
      </c>
    </row>
    <row r="16" spans="2:6" x14ac:dyDescent="0.35">
      <c r="B16" s="314">
        <v>45608</v>
      </c>
      <c r="C16" s="315">
        <v>93224.56</v>
      </c>
      <c r="D16" s="317">
        <f t="shared" si="0"/>
        <v>-4.5251207362694279E-3</v>
      </c>
    </row>
    <row r="17" spans="2:15" x14ac:dyDescent="0.35">
      <c r="B17" s="314">
        <v>45607</v>
      </c>
      <c r="C17" s="315">
        <v>93648.33</v>
      </c>
      <c r="D17" s="317">
        <f t="shared" si="0"/>
        <v>3.8229561307074889E-3</v>
      </c>
    </row>
    <row r="18" spans="2:15" x14ac:dyDescent="0.35">
      <c r="B18" s="314">
        <v>45604</v>
      </c>
      <c r="C18" s="315">
        <v>93291.68</v>
      </c>
      <c r="D18" s="317">
        <f t="shared" si="0"/>
        <v>8.3353427981194272E-3</v>
      </c>
    </row>
    <row r="19" spans="2:15" x14ac:dyDescent="0.35">
      <c r="B19" s="314">
        <v>45603</v>
      </c>
      <c r="C19" s="315">
        <v>92520.49</v>
      </c>
      <c r="D19" s="317">
        <f t="shared" si="0"/>
        <v>5.4231926820531573E-3</v>
      </c>
      <c r="J19" s="319"/>
      <c r="K19" s="320"/>
      <c r="L19" s="320"/>
    </row>
    <row r="20" spans="2:15" ht="18.75" customHeight="1" x14ac:dyDescent="0.35">
      <c r="B20" s="314">
        <v>45602</v>
      </c>
      <c r="C20" s="315">
        <v>92021.440000000002</v>
      </c>
      <c r="D20" s="317">
        <f t="shared" si="0"/>
        <v>-3.0646452950414682E-3</v>
      </c>
      <c r="J20" s="321"/>
      <c r="K20" s="320"/>
      <c r="L20" s="320"/>
    </row>
    <row r="21" spans="2:15" ht="18.75" customHeight="1" x14ac:dyDescent="0.35">
      <c r="B21" s="314">
        <v>45601</v>
      </c>
      <c r="C21" s="315">
        <v>92304.320000000007</v>
      </c>
      <c r="D21" s="317">
        <f t="shared" si="0"/>
        <v>3.9843150836091912E-3</v>
      </c>
    </row>
    <row r="22" spans="2:15" ht="18.75" customHeight="1" x14ac:dyDescent="0.35">
      <c r="B22" s="314">
        <v>45600</v>
      </c>
      <c r="C22" s="315">
        <v>91938.01</v>
      </c>
      <c r="D22" s="317">
        <f t="shared" si="0"/>
        <v>1.1866187320362043E-2</v>
      </c>
      <c r="N22" s="322"/>
      <c r="O22" s="322"/>
    </row>
    <row r="23" spans="2:15" ht="18.75" customHeight="1" x14ac:dyDescent="0.35">
      <c r="B23" s="314">
        <v>45597</v>
      </c>
      <c r="C23" s="315">
        <v>90859.85</v>
      </c>
      <c r="D23" s="317">
        <f t="shared" si="0"/>
        <v>2.1278506570487021E-2</v>
      </c>
      <c r="N23" s="323"/>
      <c r="O23" s="323"/>
    </row>
    <row r="24" spans="2:15" ht="18.75" customHeight="1" x14ac:dyDescent="0.35">
      <c r="B24" s="314">
        <v>45596</v>
      </c>
      <c r="C24" s="315">
        <v>88966.77</v>
      </c>
      <c r="D24" s="317">
        <f t="shared" si="0"/>
        <v>-1.4617899428453263E-2</v>
      </c>
    </row>
    <row r="25" spans="2:15" ht="18.75" customHeight="1" x14ac:dyDescent="0.35">
      <c r="B25" s="314">
        <v>45595</v>
      </c>
      <c r="C25" s="315">
        <v>90286.57</v>
      </c>
      <c r="D25" s="317">
        <f t="shared" si="0"/>
        <v>-6.3558662173360814E-3</v>
      </c>
    </row>
    <row r="26" spans="2:15" ht="18.75" customHeight="1" x14ac:dyDescent="0.35">
      <c r="B26" s="314">
        <v>45594</v>
      </c>
      <c r="C26" s="315">
        <v>90864.09</v>
      </c>
      <c r="D26" s="317">
        <f t="shared" si="0"/>
        <v>7.4124524144878468E-3</v>
      </c>
    </row>
    <row r="27" spans="2:15" x14ac:dyDescent="0.35">
      <c r="B27" s="314">
        <v>45593</v>
      </c>
      <c r="C27" s="315">
        <v>90195.520000000004</v>
      </c>
      <c r="D27" s="317">
        <f t="shared" si="0"/>
        <v>2.239594497275732E-3</v>
      </c>
    </row>
    <row r="28" spans="2:15" x14ac:dyDescent="0.35">
      <c r="B28" s="314">
        <v>45590</v>
      </c>
      <c r="C28" s="315">
        <v>89993.97</v>
      </c>
      <c r="D28" s="317">
        <f t="shared" si="0"/>
        <v>1.1782206257977323E-2</v>
      </c>
    </row>
    <row r="29" spans="2:15" x14ac:dyDescent="0.35">
      <c r="B29" s="314">
        <v>45589</v>
      </c>
      <c r="C29" s="315">
        <v>88945.99</v>
      </c>
      <c r="D29" s="317">
        <f t="shared" si="0"/>
        <v>2.0086693501680353E-2</v>
      </c>
    </row>
    <row r="30" spans="2:15" x14ac:dyDescent="0.35">
      <c r="B30" s="314">
        <v>45588</v>
      </c>
      <c r="C30" s="315">
        <v>87194.54</v>
      </c>
      <c r="D30" s="317">
        <f t="shared" si="0"/>
        <v>8.4189752850174493E-3</v>
      </c>
    </row>
    <row r="31" spans="2:15" x14ac:dyDescent="0.35">
      <c r="B31" s="314">
        <v>45587</v>
      </c>
      <c r="C31" s="315">
        <v>86466.58</v>
      </c>
      <c r="D31" s="317">
        <f t="shared" si="0"/>
        <v>4.7533324223147932E-3</v>
      </c>
    </row>
    <row r="32" spans="2:15" x14ac:dyDescent="0.35">
      <c r="B32" s="314">
        <v>45586</v>
      </c>
      <c r="C32" s="315">
        <v>86057.52</v>
      </c>
      <c r="D32" s="317">
        <f t="shared" si="0"/>
        <v>9.4713096490572912E-3</v>
      </c>
    </row>
    <row r="33" spans="2:4" x14ac:dyDescent="0.35">
      <c r="B33" s="314">
        <v>45583</v>
      </c>
      <c r="C33" s="315">
        <v>85250.09</v>
      </c>
      <c r="D33" s="317">
        <f t="shared" si="0"/>
        <v>-3.9181902807521318E-3</v>
      </c>
    </row>
    <row r="34" spans="2:4" x14ac:dyDescent="0.35">
      <c r="B34" s="314">
        <v>45582</v>
      </c>
      <c r="C34" s="315">
        <v>85585.43</v>
      </c>
      <c r="D34" s="317">
        <f t="shared" si="0"/>
        <v>-7.1947712017982335E-3</v>
      </c>
    </row>
    <row r="35" spans="2:4" x14ac:dyDescent="0.35">
      <c r="B35" s="314">
        <v>45581</v>
      </c>
      <c r="C35" s="315">
        <v>86205.66</v>
      </c>
      <c r="D35" s="317">
        <f t="shared" si="0"/>
        <v>4.2558079336592058E-3</v>
      </c>
    </row>
    <row r="36" spans="2:4" x14ac:dyDescent="0.35">
      <c r="B36" s="314">
        <v>45580</v>
      </c>
      <c r="C36" s="315">
        <v>85840.34</v>
      </c>
      <c r="D36" s="317">
        <f t="shared" si="0"/>
        <v>6.7902951148226531E-3</v>
      </c>
    </row>
    <row r="37" spans="2:4" x14ac:dyDescent="0.35">
      <c r="B37" s="314">
        <v>45579</v>
      </c>
      <c r="C37" s="315">
        <v>85261.39</v>
      </c>
      <c r="D37" s="317">
        <f t="shared" si="0"/>
        <v>-2.5971124218269193E-3</v>
      </c>
    </row>
    <row r="38" spans="2:4" x14ac:dyDescent="0.35">
      <c r="B38" s="314">
        <v>45576</v>
      </c>
      <c r="C38" s="315">
        <v>85483.4</v>
      </c>
      <c r="D38" s="317">
        <f t="shared" si="0"/>
        <v>3.5317569074622135E-4</v>
      </c>
    </row>
    <row r="39" spans="2:4" x14ac:dyDescent="0.35">
      <c r="B39" s="314">
        <v>45575</v>
      </c>
      <c r="C39" s="315">
        <v>85453.22</v>
      </c>
      <c r="D39" s="317">
        <f t="shared" si="0"/>
        <v>-2.5220242308561236E-3</v>
      </c>
    </row>
    <row r="40" spans="2:4" x14ac:dyDescent="0.35">
      <c r="B40" s="314">
        <v>45574</v>
      </c>
      <c r="C40" s="315">
        <v>85669.28</v>
      </c>
      <c r="D40" s="317">
        <f t="shared" si="0"/>
        <v>6.1869644627732256E-5</v>
      </c>
    </row>
    <row r="41" spans="2:4" x14ac:dyDescent="0.35">
      <c r="B41" s="314">
        <v>45573</v>
      </c>
      <c r="C41" s="315">
        <v>85663.98</v>
      </c>
      <c r="D41" s="317">
        <f t="shared" si="0"/>
        <v>8.8761905210557046E-3</v>
      </c>
    </row>
    <row r="42" spans="2:4" x14ac:dyDescent="0.35">
      <c r="B42" s="314">
        <v>45572</v>
      </c>
      <c r="C42" s="315">
        <v>84910.3</v>
      </c>
      <c r="D42" s="317">
        <f t="shared" si="0"/>
        <v>1.6500750132045328E-2</v>
      </c>
    </row>
    <row r="43" spans="2:4" x14ac:dyDescent="0.35">
      <c r="B43" s="314">
        <v>45569</v>
      </c>
      <c r="C43" s="315">
        <v>83531.960000000006</v>
      </c>
      <c r="D43" s="317">
        <f t="shared" si="0"/>
        <v>9.7941569673860585E-3</v>
      </c>
    </row>
    <row r="44" spans="2:4" x14ac:dyDescent="0.35">
      <c r="B44" s="314">
        <v>45568</v>
      </c>
      <c r="C44" s="315">
        <v>82721.77</v>
      </c>
      <c r="D44" s="317">
        <f t="shared" si="0"/>
        <v>9.2080948176591626E-3</v>
      </c>
    </row>
    <row r="45" spans="2:4" x14ac:dyDescent="0.35">
      <c r="B45" s="314">
        <v>45567</v>
      </c>
      <c r="C45" s="315">
        <v>81967.009999999995</v>
      </c>
      <c r="D45" s="317">
        <f t="shared" si="0"/>
        <v>1.9854631628861696E-3</v>
      </c>
    </row>
    <row r="46" spans="2:4" x14ac:dyDescent="0.35">
      <c r="B46" s="314">
        <v>45566</v>
      </c>
      <c r="C46" s="315">
        <v>81804.59</v>
      </c>
      <c r="D46" s="317">
        <f t="shared" si="0"/>
        <v>8.5113334040156641E-3</v>
      </c>
    </row>
    <row r="47" spans="2:4" x14ac:dyDescent="0.35">
      <c r="B47" s="314">
        <v>45565</v>
      </c>
      <c r="C47" s="315">
        <v>81114.2</v>
      </c>
      <c r="D47" s="317">
        <f t="shared" si="0"/>
        <v>-2.1887727631200171E-3</v>
      </c>
    </row>
    <row r="48" spans="2:4" x14ac:dyDescent="0.35">
      <c r="B48" s="314">
        <v>45562</v>
      </c>
      <c r="C48" s="315">
        <v>81292.13</v>
      </c>
      <c r="D48" s="317">
        <f t="shared" si="0"/>
        <v>-4.4801505597065194E-3</v>
      </c>
    </row>
    <row r="49" spans="2:4" x14ac:dyDescent="0.35">
      <c r="B49" s="314">
        <v>45561</v>
      </c>
      <c r="C49" s="315">
        <v>81657.97</v>
      </c>
      <c r="D49" s="317">
        <f t="shared" si="0"/>
        <v>-7.1728257687245778E-3</v>
      </c>
    </row>
    <row r="50" spans="2:4" x14ac:dyDescent="0.35">
      <c r="B50" s="314">
        <v>45560</v>
      </c>
      <c r="C50" s="315">
        <v>82247.92</v>
      </c>
      <c r="D50" s="317">
        <f t="shared" si="0"/>
        <v>9.3795515271530849E-3</v>
      </c>
    </row>
    <row r="51" spans="2:4" x14ac:dyDescent="0.35">
      <c r="B51" s="314">
        <v>45559</v>
      </c>
      <c r="C51" s="315">
        <v>81483.64</v>
      </c>
      <c r="D51" s="317">
        <f t="shared" si="0"/>
        <v>-4.4820740252045077E-3</v>
      </c>
    </row>
    <row r="52" spans="2:4" x14ac:dyDescent="0.35">
      <c r="B52" s="314">
        <v>45558</v>
      </c>
      <c r="C52" s="315">
        <v>81850.5</v>
      </c>
      <c r="D52" s="317">
        <f t="shared" si="0"/>
        <v>-2.7286201735131632E-3</v>
      </c>
    </row>
    <row r="53" spans="2:4" x14ac:dyDescent="0.35">
      <c r="B53" s="314">
        <v>45555</v>
      </c>
      <c r="C53" s="315">
        <v>82074.45</v>
      </c>
      <c r="D53" s="317">
        <f t="shared" si="0"/>
        <v>7.5517476275572815E-3</v>
      </c>
    </row>
    <row r="54" spans="2:4" x14ac:dyDescent="0.35">
      <c r="B54" s="314">
        <v>45554</v>
      </c>
      <c r="C54" s="315">
        <v>81459.289999999994</v>
      </c>
      <c r="D54" s="317">
        <f t="shared" si="0"/>
        <v>1.2402850859804193E-2</v>
      </c>
    </row>
    <row r="55" spans="2:4" x14ac:dyDescent="0.35">
      <c r="B55" s="314">
        <v>45553</v>
      </c>
      <c r="C55" s="315">
        <v>80461.34</v>
      </c>
      <c r="D55" s="317">
        <f t="shared" si="0"/>
        <v>1.2205133804849222E-2</v>
      </c>
    </row>
    <row r="56" spans="2:4" x14ac:dyDescent="0.35">
      <c r="B56" s="314">
        <v>45551</v>
      </c>
      <c r="C56" s="315">
        <v>79491.14</v>
      </c>
      <c r="D56" s="317">
        <f t="shared" si="0"/>
        <v>1.9926119073183646E-3</v>
      </c>
    </row>
    <row r="57" spans="2:4" x14ac:dyDescent="0.35">
      <c r="B57" s="314">
        <v>45548</v>
      </c>
      <c r="C57" s="315">
        <v>79333.06</v>
      </c>
      <c r="D57" s="317">
        <f t="shared" si="0"/>
        <v>3.9920210201218609E-3</v>
      </c>
    </row>
    <row r="58" spans="2:4" x14ac:dyDescent="0.35">
      <c r="B58" s="314">
        <v>45547</v>
      </c>
      <c r="C58" s="315">
        <v>79017.62</v>
      </c>
      <c r="D58" s="317">
        <f t="shared" si="0"/>
        <v>4.6511332226344404E-3</v>
      </c>
    </row>
    <row r="59" spans="2:4" x14ac:dyDescent="0.35">
      <c r="B59" s="314">
        <v>45546</v>
      </c>
      <c r="C59" s="315">
        <v>78651.8</v>
      </c>
      <c r="D59" s="317">
        <f t="shared" si="0"/>
        <v>-8.0081486513381428E-3</v>
      </c>
    </row>
    <row r="60" spans="2:4" x14ac:dyDescent="0.35">
      <c r="B60" s="314">
        <v>45545</v>
      </c>
      <c r="C60" s="315">
        <v>79286.740000000005</v>
      </c>
      <c r="D60" s="317">
        <f t="shared" si="0"/>
        <v>8.5446797684920472E-3</v>
      </c>
    </row>
    <row r="61" spans="2:4" x14ac:dyDescent="0.35">
      <c r="B61" s="314">
        <v>45544</v>
      </c>
      <c r="C61" s="315">
        <v>78615</v>
      </c>
      <c r="D61" s="317">
        <f t="shared" si="0"/>
        <v>-3.5834998041134325E-3</v>
      </c>
    </row>
    <row r="62" spans="2:4" x14ac:dyDescent="0.35">
      <c r="B62" s="314">
        <v>45541</v>
      </c>
      <c r="C62" s="315">
        <v>78897.73</v>
      </c>
      <c r="D62" s="317">
        <f t="shared" si="0"/>
        <v>4.3607080298646572E-4</v>
      </c>
    </row>
    <row r="63" spans="2:4" x14ac:dyDescent="0.35">
      <c r="B63" s="314">
        <v>45540</v>
      </c>
      <c r="C63" s="315">
        <v>78863.34</v>
      </c>
      <c r="D63" s="317">
        <f t="shared" si="0"/>
        <v>1.944246912508607E-4</v>
      </c>
    </row>
    <row r="64" spans="2:4" x14ac:dyDescent="0.35">
      <c r="B64" s="314">
        <v>45539</v>
      </c>
      <c r="C64" s="315">
        <v>78848.009999999995</v>
      </c>
      <c r="D64" s="317">
        <f t="shared" si="0"/>
        <v>6.2750522229730876E-3</v>
      </c>
    </row>
    <row r="65" spans="2:4" x14ac:dyDescent="0.35">
      <c r="B65" s="314">
        <v>45538</v>
      </c>
      <c r="C65" s="315">
        <v>78356.320000000007</v>
      </c>
      <c r="D65" s="317">
        <f t="shared" si="0"/>
        <v>9.3276599223601764E-4</v>
      </c>
    </row>
    <row r="66" spans="2:4" x14ac:dyDescent="0.35">
      <c r="B66" s="314">
        <v>45537</v>
      </c>
      <c r="C66" s="315">
        <v>78283.3</v>
      </c>
      <c r="D66" s="317">
        <f t="shared" si="0"/>
        <v>-2.6108376518158005E-3</v>
      </c>
    </row>
    <row r="67" spans="2:4" x14ac:dyDescent="0.35">
      <c r="B67" s="314">
        <v>45534</v>
      </c>
      <c r="C67" s="315">
        <v>78488.22</v>
      </c>
      <c r="D67" s="317">
        <f t="shared" si="0"/>
        <v>1.768482466930843E-3</v>
      </c>
    </row>
    <row r="68" spans="2:4" x14ac:dyDescent="0.35">
      <c r="B68" s="314">
        <v>45533</v>
      </c>
      <c r="C68" s="315">
        <v>78349.66</v>
      </c>
      <c r="D68" s="317">
        <f t="shared" ref="D68:D131" si="1">(C68/C69)-1</f>
        <v>4.5756793672853124E-3</v>
      </c>
    </row>
    <row r="69" spans="2:4" x14ac:dyDescent="0.35">
      <c r="B69" s="314">
        <v>45532</v>
      </c>
      <c r="C69" s="315">
        <v>77992.789999999994</v>
      </c>
      <c r="D69" s="317">
        <f t="shared" si="1"/>
        <v>-1.1711710327206859E-3</v>
      </c>
    </row>
    <row r="70" spans="2:4" x14ac:dyDescent="0.35">
      <c r="B70" s="314">
        <v>45531</v>
      </c>
      <c r="C70" s="315">
        <v>78084.240000000005</v>
      </c>
      <c r="D70" s="317">
        <f t="shared" si="1"/>
        <v>-6.1959199735881487E-3</v>
      </c>
    </row>
    <row r="71" spans="2:4" x14ac:dyDescent="0.35">
      <c r="B71" s="314">
        <v>45530</v>
      </c>
      <c r="C71" s="315">
        <v>78571.06</v>
      </c>
      <c r="D71" s="317">
        <f t="shared" si="1"/>
        <v>-2.9234241053747168E-3</v>
      </c>
    </row>
    <row r="72" spans="2:4" x14ac:dyDescent="0.35">
      <c r="B72" s="314">
        <v>45527</v>
      </c>
      <c r="C72" s="315">
        <v>78801.429999999993</v>
      </c>
      <c r="D72" s="317">
        <f t="shared" si="1"/>
        <v>1.0178516198222631E-4</v>
      </c>
    </row>
    <row r="73" spans="2:4" x14ac:dyDescent="0.35">
      <c r="B73" s="314">
        <v>45526</v>
      </c>
      <c r="C73" s="315">
        <v>78793.41</v>
      </c>
      <c r="D73" s="317">
        <f t="shared" si="1"/>
        <v>6.8048063872541142E-3</v>
      </c>
    </row>
    <row r="74" spans="2:4" x14ac:dyDescent="0.35">
      <c r="B74" s="314">
        <v>45525</v>
      </c>
      <c r="C74" s="315">
        <v>78260.86</v>
      </c>
      <c r="D74" s="317">
        <f t="shared" si="1"/>
        <v>6.6285491434103783E-3</v>
      </c>
    </row>
    <row r="75" spans="2:4" x14ac:dyDescent="0.35">
      <c r="B75" s="314">
        <v>45524</v>
      </c>
      <c r="C75" s="315">
        <v>77745.52</v>
      </c>
      <c r="D75" s="317">
        <f t="shared" si="1"/>
        <v>-1.0898063660006452E-3</v>
      </c>
    </row>
    <row r="76" spans="2:4" x14ac:dyDescent="0.35">
      <c r="B76" s="314">
        <v>45523</v>
      </c>
      <c r="C76" s="315">
        <v>77830.34</v>
      </c>
      <c r="D76" s="317">
        <f t="shared" si="1"/>
        <v>-2.7544256022559166E-3</v>
      </c>
    </row>
    <row r="77" spans="2:4" x14ac:dyDescent="0.35">
      <c r="B77" s="314">
        <v>45520</v>
      </c>
      <c r="C77" s="315">
        <v>78045.31</v>
      </c>
      <c r="D77" s="317">
        <f t="shared" si="1"/>
        <v>-7.7676510812618726E-4</v>
      </c>
    </row>
    <row r="78" spans="2:4" x14ac:dyDescent="0.35">
      <c r="B78" s="314">
        <v>45519</v>
      </c>
      <c r="C78" s="315">
        <v>78105.98</v>
      </c>
      <c r="D78" s="317">
        <f t="shared" si="1"/>
        <v>2.9348686692496351E-3</v>
      </c>
    </row>
    <row r="79" spans="2:4" x14ac:dyDescent="0.35">
      <c r="B79" s="314">
        <v>45517</v>
      </c>
      <c r="C79" s="315">
        <v>77877.42</v>
      </c>
      <c r="D79" s="317">
        <f t="shared" si="1"/>
        <v>-1.319179500358314E-3</v>
      </c>
    </row>
    <row r="80" spans="2:4" x14ac:dyDescent="0.35">
      <c r="B80" s="314">
        <v>45516</v>
      </c>
      <c r="C80" s="315">
        <v>77980.289999999994</v>
      </c>
      <c r="D80" s="317">
        <f t="shared" si="1"/>
        <v>-7.5003573265433054E-3</v>
      </c>
    </row>
    <row r="81" spans="2:4" x14ac:dyDescent="0.35">
      <c r="B81" s="314">
        <v>45513</v>
      </c>
      <c r="C81" s="315">
        <v>78569.59</v>
      </c>
      <c r="D81" s="317">
        <f t="shared" si="1"/>
        <v>8.9293992286534341E-3</v>
      </c>
    </row>
    <row r="82" spans="2:4" x14ac:dyDescent="0.35">
      <c r="B82" s="314">
        <v>45512</v>
      </c>
      <c r="C82" s="315">
        <v>77874.22</v>
      </c>
      <c r="D82" s="317">
        <f t="shared" si="1"/>
        <v>9.8519746418603837E-3</v>
      </c>
    </row>
    <row r="83" spans="2:4" x14ac:dyDescent="0.35">
      <c r="B83" s="314">
        <v>45511</v>
      </c>
      <c r="C83" s="315">
        <v>77114.490000000005</v>
      </c>
      <c r="D83" s="317">
        <f t="shared" si="1"/>
        <v>-9.9557800136640395E-4</v>
      </c>
    </row>
    <row r="84" spans="2:4" x14ac:dyDescent="0.35">
      <c r="B84" s="314">
        <v>45510</v>
      </c>
      <c r="C84" s="315">
        <v>77191.34</v>
      </c>
      <c r="D84" s="317">
        <f t="shared" si="1"/>
        <v>1.3861413625488872E-3</v>
      </c>
    </row>
    <row r="85" spans="2:4" x14ac:dyDescent="0.35">
      <c r="B85" s="314">
        <v>45509</v>
      </c>
      <c r="C85" s="315">
        <v>77084.490000000005</v>
      </c>
      <c r="D85" s="317">
        <f t="shared" si="1"/>
        <v>-1.4592210925321591E-2</v>
      </c>
    </row>
    <row r="86" spans="2:4" x14ac:dyDescent="0.35">
      <c r="B86" s="314">
        <v>45506</v>
      </c>
      <c r="C86" s="315">
        <v>78225.98</v>
      </c>
      <c r="D86" s="317">
        <f t="shared" si="1"/>
        <v>6.2473380926830746E-3</v>
      </c>
    </row>
    <row r="87" spans="2:4" x14ac:dyDescent="0.35">
      <c r="B87" s="314">
        <v>45505</v>
      </c>
      <c r="C87" s="315">
        <v>77740.31</v>
      </c>
      <c r="D87" s="317">
        <f t="shared" si="1"/>
        <v>-1.8832413474959564E-3</v>
      </c>
    </row>
    <row r="88" spans="2:4" x14ac:dyDescent="0.35">
      <c r="B88" s="314">
        <v>45504</v>
      </c>
      <c r="C88" s="315">
        <v>77886.990000000005</v>
      </c>
      <c r="D88" s="317">
        <f t="shared" si="1"/>
        <v>-9.4344553860091773E-3</v>
      </c>
    </row>
    <row r="89" spans="2:4" x14ac:dyDescent="0.35">
      <c r="B89" s="314">
        <v>45503</v>
      </c>
      <c r="C89" s="315">
        <v>78628.81</v>
      </c>
      <c r="D89" s="317">
        <f t="shared" si="1"/>
        <v>-2.5236040003177029E-3</v>
      </c>
    </row>
    <row r="90" spans="2:4" x14ac:dyDescent="0.35">
      <c r="B90" s="314">
        <v>45502</v>
      </c>
      <c r="C90" s="315">
        <v>78827.740000000005</v>
      </c>
      <c r="D90" s="317">
        <f t="shared" si="1"/>
        <v>1.0229847656354707E-2</v>
      </c>
    </row>
    <row r="91" spans="2:4" x14ac:dyDescent="0.35">
      <c r="B91" s="314">
        <v>45499</v>
      </c>
      <c r="C91" s="315">
        <v>78029.509999999995</v>
      </c>
      <c r="D91" s="317">
        <f t="shared" si="1"/>
        <v>-5.6049924218800617E-3</v>
      </c>
    </row>
    <row r="92" spans="2:4" x14ac:dyDescent="0.35">
      <c r="B92" s="314">
        <v>45498</v>
      </c>
      <c r="C92" s="315">
        <v>78469.33</v>
      </c>
      <c r="D92" s="317">
        <f t="shared" si="1"/>
        <v>-1.1684067195981251E-2</v>
      </c>
    </row>
    <row r="93" spans="2:4" x14ac:dyDescent="0.35">
      <c r="B93" s="314">
        <v>45497</v>
      </c>
      <c r="C93" s="315">
        <v>79397.009999999995</v>
      </c>
      <c r="D93" s="317">
        <f t="shared" si="1"/>
        <v>5.1897088498893407E-3</v>
      </c>
    </row>
    <row r="94" spans="2:4" x14ac:dyDescent="0.35">
      <c r="B94" s="314">
        <v>45496</v>
      </c>
      <c r="C94" s="315">
        <v>78987.09</v>
      </c>
      <c r="D94" s="317">
        <f t="shared" si="1"/>
        <v>5.7028854002694196E-3</v>
      </c>
    </row>
    <row r="95" spans="2:4" x14ac:dyDescent="0.35">
      <c r="B95" s="314">
        <v>45495</v>
      </c>
      <c r="C95" s="315">
        <v>78539.19</v>
      </c>
      <c r="D95" s="317">
        <f t="shared" si="1"/>
        <v>-1.970471264283169E-2</v>
      </c>
    </row>
    <row r="96" spans="2:4" x14ac:dyDescent="0.35">
      <c r="B96" s="314">
        <v>45492</v>
      </c>
      <c r="C96" s="315">
        <v>80117.89</v>
      </c>
      <c r="D96" s="317">
        <f t="shared" si="1"/>
        <v>-2.1040725142980499E-2</v>
      </c>
    </row>
    <row r="97" spans="2:4" x14ac:dyDescent="0.35">
      <c r="B97" s="314">
        <v>45491</v>
      </c>
      <c r="C97" s="315">
        <v>81839.86</v>
      </c>
      <c r="D97" s="317">
        <f t="shared" si="1"/>
        <v>8.4313333360441778E-3</v>
      </c>
    </row>
    <row r="98" spans="2:4" x14ac:dyDescent="0.35">
      <c r="B98" s="314">
        <v>45488</v>
      </c>
      <c r="C98" s="315">
        <v>81155.61</v>
      </c>
      <c r="D98" s="317">
        <f t="shared" si="1"/>
        <v>1.5154464181847072E-2</v>
      </c>
    </row>
    <row r="99" spans="2:4" x14ac:dyDescent="0.35">
      <c r="B99" s="314">
        <v>45485</v>
      </c>
      <c r="C99" s="315">
        <v>79944.100000000006</v>
      </c>
      <c r="D99" s="317">
        <f t="shared" si="1"/>
        <v>-6.0318267934367231E-4</v>
      </c>
    </row>
    <row r="100" spans="2:4" x14ac:dyDescent="0.35">
      <c r="B100" s="314">
        <v>45484</v>
      </c>
      <c r="C100" s="315">
        <v>79992.350000000006</v>
      </c>
      <c r="D100" s="317">
        <f t="shared" si="1"/>
        <v>1.8886154028052715E-3</v>
      </c>
    </row>
    <row r="101" spans="2:4" x14ac:dyDescent="0.35">
      <c r="B101" s="314">
        <v>45483</v>
      </c>
      <c r="C101" s="315">
        <v>79841.56</v>
      </c>
      <c r="D101" s="317">
        <f t="shared" si="1"/>
        <v>-1.0294766242488373E-2</v>
      </c>
    </row>
    <row r="102" spans="2:4" x14ac:dyDescent="0.35">
      <c r="B102" s="314">
        <v>45482</v>
      </c>
      <c r="C102" s="315">
        <v>80672.06</v>
      </c>
      <c r="D102" s="317">
        <f t="shared" si="1"/>
        <v>1.3138262306242598E-3</v>
      </c>
    </row>
    <row r="103" spans="2:4" x14ac:dyDescent="0.35">
      <c r="B103" s="314">
        <v>45481</v>
      </c>
      <c r="C103" s="315">
        <v>80566.210000000006</v>
      </c>
      <c r="D103" s="317">
        <f t="shared" si="1"/>
        <v>4.4060305095985353E-3</v>
      </c>
    </row>
    <row r="104" spans="2:4" x14ac:dyDescent="0.35">
      <c r="B104" s="314">
        <v>45478</v>
      </c>
      <c r="C104" s="315">
        <v>80212.789999999994</v>
      </c>
      <c r="D104" s="317">
        <f t="shared" si="1"/>
        <v>-8.7204233036231038E-4</v>
      </c>
    </row>
    <row r="105" spans="2:4" x14ac:dyDescent="0.35">
      <c r="B105" s="314">
        <v>45477</v>
      </c>
      <c r="C105" s="315">
        <v>80282.8</v>
      </c>
      <c r="D105" s="317">
        <f t="shared" si="1"/>
        <v>6.1233644179559121E-4</v>
      </c>
    </row>
    <row r="106" spans="2:4" x14ac:dyDescent="0.35">
      <c r="B106" s="314">
        <v>45476</v>
      </c>
      <c r="C106" s="315">
        <v>80233.67</v>
      </c>
      <c r="D106" s="317">
        <f t="shared" si="1"/>
        <v>8.5575772294381736E-3</v>
      </c>
    </row>
    <row r="107" spans="2:4" x14ac:dyDescent="0.35">
      <c r="B107" s="314">
        <v>45475</v>
      </c>
      <c r="C107" s="315">
        <v>79552.89</v>
      </c>
      <c r="D107" s="317">
        <f t="shared" si="1"/>
        <v>9.2428314963159952E-3</v>
      </c>
    </row>
    <row r="108" spans="2:4" x14ac:dyDescent="0.35">
      <c r="B108" s="314">
        <v>45474</v>
      </c>
      <c r="C108" s="315">
        <v>78824.33</v>
      </c>
      <c r="D108" s="317">
        <f t="shared" si="1"/>
        <v>4.8361296888925764E-3</v>
      </c>
    </row>
    <row r="109" spans="2:4" x14ac:dyDescent="0.35">
      <c r="B109" s="314">
        <v>45471</v>
      </c>
      <c r="C109" s="315">
        <v>78444.960000000006</v>
      </c>
      <c r="D109" s="317">
        <f t="shared" si="1"/>
        <v>-1.0606374139242591E-3</v>
      </c>
    </row>
    <row r="110" spans="2:4" x14ac:dyDescent="0.35">
      <c r="B110" s="314">
        <v>45470</v>
      </c>
      <c r="C110" s="315">
        <v>78528.25</v>
      </c>
      <c r="D110" s="317">
        <f t="shared" si="1"/>
        <v>3.2270572010582033E-3</v>
      </c>
    </row>
    <row r="111" spans="2:4" x14ac:dyDescent="0.35">
      <c r="B111" s="314">
        <v>45469</v>
      </c>
      <c r="C111" s="315">
        <v>78275.649999999994</v>
      </c>
      <c r="D111" s="317">
        <f t="shared" si="1"/>
        <v>4.2990442206101154E-3</v>
      </c>
    </row>
    <row r="112" spans="2:4" x14ac:dyDescent="0.35">
      <c r="B112" s="314">
        <v>45468</v>
      </c>
      <c r="C112" s="315">
        <v>77940.58</v>
      </c>
      <c r="D112" s="317">
        <f t="shared" si="1"/>
        <v>-3.7263476245684712E-3</v>
      </c>
    </row>
    <row r="113" spans="2:4" x14ac:dyDescent="0.35">
      <c r="B113" s="314">
        <v>45467</v>
      </c>
      <c r="C113" s="315">
        <v>78232.100000000006</v>
      </c>
      <c r="D113" s="317">
        <f t="shared" si="1"/>
        <v>-7.3389976385123123E-3</v>
      </c>
    </row>
    <row r="114" spans="2:4" x14ac:dyDescent="0.35">
      <c r="B114" s="314">
        <v>45464</v>
      </c>
      <c r="C114" s="315">
        <v>78810.490000000005</v>
      </c>
      <c r="D114" s="317">
        <f t="shared" si="1"/>
        <v>1.1370337606386727E-4</v>
      </c>
    </row>
    <row r="115" spans="2:4" x14ac:dyDescent="0.35">
      <c r="B115" s="314">
        <v>45463</v>
      </c>
      <c r="C115" s="315">
        <v>78801.53</v>
      </c>
      <c r="D115" s="317">
        <f t="shared" si="1"/>
        <v>2.7308671711766763E-2</v>
      </c>
    </row>
    <row r="116" spans="2:4" x14ac:dyDescent="0.35">
      <c r="B116" s="314">
        <v>45457</v>
      </c>
      <c r="C116" s="315">
        <v>76706.77</v>
      </c>
      <c r="D116" s="317">
        <f t="shared" si="1"/>
        <v>6.5427376805844428E-3</v>
      </c>
    </row>
    <row r="117" spans="2:4" x14ac:dyDescent="0.35">
      <c r="B117" s="314">
        <v>45456</v>
      </c>
      <c r="C117" s="315">
        <v>76208.160000000003</v>
      </c>
      <c r="D117" s="317">
        <f t="shared" si="1"/>
        <v>4.6852340803789527E-2</v>
      </c>
    </row>
    <row r="118" spans="2:4" x14ac:dyDescent="0.35">
      <c r="B118" s="314">
        <v>45455</v>
      </c>
      <c r="C118" s="315">
        <v>72797.429999999993</v>
      </c>
      <c r="D118" s="317">
        <f t="shared" si="1"/>
        <v>2.8646020243425774E-3</v>
      </c>
    </row>
    <row r="119" spans="2:4" x14ac:dyDescent="0.35">
      <c r="B119" s="314">
        <v>45454</v>
      </c>
      <c r="C119" s="315">
        <v>72589.490000000005</v>
      </c>
      <c r="D119" s="317">
        <f t="shared" si="1"/>
        <v>-9.0518338198691817E-3</v>
      </c>
    </row>
    <row r="120" spans="2:4" x14ac:dyDescent="0.35">
      <c r="B120" s="314">
        <v>45453</v>
      </c>
      <c r="C120" s="315">
        <v>73252.56</v>
      </c>
      <c r="D120" s="317">
        <f t="shared" si="1"/>
        <v>-6.7990870192567998E-3</v>
      </c>
    </row>
    <row r="121" spans="2:4" x14ac:dyDescent="0.35">
      <c r="B121" s="314">
        <v>45450</v>
      </c>
      <c r="C121" s="315">
        <v>73754.02</v>
      </c>
      <c r="D121" s="317">
        <f t="shared" si="1"/>
        <v>-1.4744879467953886E-3</v>
      </c>
    </row>
    <row r="122" spans="2:4" x14ac:dyDescent="0.35">
      <c r="B122" s="314">
        <v>45449</v>
      </c>
      <c r="C122" s="315">
        <v>73862.929999999993</v>
      </c>
      <c r="D122" s="317">
        <f t="shared" si="1"/>
        <v>-4.8034585008995823E-3</v>
      </c>
    </row>
    <row r="123" spans="2:4" x14ac:dyDescent="0.35">
      <c r="B123" s="314">
        <v>45448</v>
      </c>
      <c r="C123" s="315">
        <v>74219.44</v>
      </c>
      <c r="D123" s="317">
        <f t="shared" si="1"/>
        <v>-5.9895541062101598E-3</v>
      </c>
    </row>
    <row r="124" spans="2:4" x14ac:dyDescent="0.35">
      <c r="B124" s="314">
        <v>45447</v>
      </c>
      <c r="C124" s="315">
        <v>74666.66</v>
      </c>
      <c r="D124" s="317">
        <f t="shared" si="1"/>
        <v>-1.2022452850311005E-2</v>
      </c>
    </row>
    <row r="125" spans="2:4" x14ac:dyDescent="0.35">
      <c r="B125" s="314">
        <v>45446</v>
      </c>
      <c r="C125" s="315">
        <v>75575.259999999995</v>
      </c>
      <c r="D125" s="317">
        <f t="shared" si="1"/>
        <v>-3.9961264379571038E-3</v>
      </c>
    </row>
    <row r="126" spans="2:4" x14ac:dyDescent="0.35">
      <c r="B126" s="314">
        <v>45443</v>
      </c>
      <c r="C126" s="315">
        <v>75878.48</v>
      </c>
      <c r="D126" s="317">
        <f t="shared" si="1"/>
        <v>1.3359843970441654E-2</v>
      </c>
    </row>
    <row r="127" spans="2:4" x14ac:dyDescent="0.35">
      <c r="B127" s="314">
        <v>45442</v>
      </c>
      <c r="C127" s="315">
        <v>74878.12</v>
      </c>
      <c r="D127" s="317">
        <f t="shared" si="1"/>
        <v>5.5881971716931211E-4</v>
      </c>
    </row>
    <row r="128" spans="2:4" x14ac:dyDescent="0.35">
      <c r="B128" s="314">
        <v>45441</v>
      </c>
      <c r="C128" s="315">
        <v>74836.3</v>
      </c>
      <c r="D128" s="317">
        <f t="shared" si="1"/>
        <v>-9.020294503961912E-3</v>
      </c>
    </row>
    <row r="129" spans="2:4" x14ac:dyDescent="0.35">
      <c r="B129" s="314">
        <v>45439</v>
      </c>
      <c r="C129" s="315">
        <v>75517.490000000005</v>
      </c>
      <c r="D129" s="317">
        <f t="shared" si="1"/>
        <v>-6.1270251887788341E-3</v>
      </c>
    </row>
    <row r="130" spans="2:4" x14ac:dyDescent="0.35">
      <c r="B130" s="314">
        <v>45436</v>
      </c>
      <c r="C130" s="315">
        <v>75983.039999999994</v>
      </c>
      <c r="D130" s="317">
        <f t="shared" si="1"/>
        <v>1.1563284677372998E-2</v>
      </c>
    </row>
    <row r="131" spans="2:4" x14ac:dyDescent="0.35">
      <c r="B131" s="314">
        <v>45435</v>
      </c>
      <c r="C131" s="315">
        <v>75114.47</v>
      </c>
      <c r="D131" s="317">
        <f t="shared" si="1"/>
        <v>2.1052162536037144E-3</v>
      </c>
    </row>
    <row r="132" spans="2:4" x14ac:dyDescent="0.35">
      <c r="B132" s="314">
        <v>45434</v>
      </c>
      <c r="C132" s="315">
        <v>74956.67</v>
      </c>
      <c r="D132" s="317">
        <f t="shared" ref="D132:D195" si="2">(C132/C133)-1</f>
        <v>-3.325498489032408E-3</v>
      </c>
    </row>
    <row r="133" spans="2:4" x14ac:dyDescent="0.35">
      <c r="B133" s="314">
        <v>45433</v>
      </c>
      <c r="C133" s="315">
        <v>75206.77</v>
      </c>
      <c r="D133" s="317">
        <f t="shared" si="2"/>
        <v>1.6351020190721322E-3</v>
      </c>
    </row>
    <row r="134" spans="2:4" x14ac:dyDescent="0.35">
      <c r="B134" s="314">
        <v>45432</v>
      </c>
      <c r="C134" s="315">
        <v>75084</v>
      </c>
      <c r="D134" s="317">
        <f t="shared" si="2"/>
        <v>-3.4290143591221289E-3</v>
      </c>
    </row>
    <row r="135" spans="2:4" x14ac:dyDescent="0.35">
      <c r="B135" s="314">
        <v>45429</v>
      </c>
      <c r="C135" s="315">
        <v>75342.350000000006</v>
      </c>
      <c r="D135" s="317">
        <f t="shared" si="2"/>
        <v>5.493742885092523E-3</v>
      </c>
    </row>
    <row r="136" spans="2:4" x14ac:dyDescent="0.35">
      <c r="B136" s="314">
        <v>45428</v>
      </c>
      <c r="C136" s="315">
        <v>74930.7</v>
      </c>
      <c r="D136" s="317">
        <f t="shared" si="2"/>
        <v>3.572271395122506E-3</v>
      </c>
    </row>
    <row r="137" spans="2:4" x14ac:dyDescent="0.35">
      <c r="B137" s="314">
        <v>45427</v>
      </c>
      <c r="C137" s="315">
        <v>74663.98</v>
      </c>
      <c r="D137" s="317">
        <f t="shared" si="2"/>
        <v>1.7816701974031623E-3</v>
      </c>
    </row>
    <row r="138" spans="2:4" x14ac:dyDescent="0.35">
      <c r="B138" s="314">
        <v>45426</v>
      </c>
      <c r="C138" s="315">
        <v>74531.19</v>
      </c>
      <c r="D138" s="317">
        <f t="shared" si="2"/>
        <v>9.9199028280965162E-3</v>
      </c>
    </row>
    <row r="139" spans="2:4" x14ac:dyDescent="0.35">
      <c r="B139" s="314">
        <v>45425</v>
      </c>
      <c r="C139" s="315">
        <v>73799.11</v>
      </c>
      <c r="D139" s="317">
        <f t="shared" si="2"/>
        <v>9.7640434833174972E-3</v>
      </c>
    </row>
    <row r="140" spans="2:4" x14ac:dyDescent="0.35">
      <c r="B140" s="314">
        <v>45422</v>
      </c>
      <c r="C140" s="315">
        <v>73085.5</v>
      </c>
      <c r="D140" s="317">
        <f t="shared" si="2"/>
        <v>5.883037048200368E-3</v>
      </c>
    </row>
    <row r="141" spans="2:4" x14ac:dyDescent="0.35">
      <c r="B141" s="314">
        <v>45421</v>
      </c>
      <c r="C141" s="315">
        <v>72658.05</v>
      </c>
      <c r="D141" s="317">
        <f t="shared" si="2"/>
        <v>7.7449849053357056E-4</v>
      </c>
    </row>
    <row r="142" spans="2:4" x14ac:dyDescent="0.35">
      <c r="B142" s="314">
        <v>45420</v>
      </c>
      <c r="C142" s="315">
        <v>72601.820000000007</v>
      </c>
      <c r="D142" s="317">
        <f t="shared" si="2"/>
        <v>-2.1904531536036664E-3</v>
      </c>
    </row>
    <row r="143" spans="2:4" x14ac:dyDescent="0.35">
      <c r="B143" s="314">
        <v>45419</v>
      </c>
      <c r="C143" s="315">
        <v>72761.2</v>
      </c>
      <c r="D143" s="317">
        <f t="shared" si="2"/>
        <v>-4.177876385447199E-5</v>
      </c>
    </row>
    <row r="144" spans="2:4" x14ac:dyDescent="0.35">
      <c r="B144" s="314">
        <v>45418</v>
      </c>
      <c r="C144" s="315">
        <v>72764.240000000005</v>
      </c>
      <c r="D144" s="317">
        <f t="shared" si="2"/>
        <v>1.199061112131794E-2</v>
      </c>
    </row>
    <row r="145" spans="2:4" x14ac:dyDescent="0.35">
      <c r="B145" s="314">
        <v>45415</v>
      </c>
      <c r="C145" s="315">
        <v>71902.09</v>
      </c>
      <c r="D145" s="317">
        <f t="shared" si="2"/>
        <v>1.7612391243183367E-2</v>
      </c>
    </row>
    <row r="146" spans="2:4" x14ac:dyDescent="0.35">
      <c r="B146" s="314">
        <v>45414</v>
      </c>
      <c r="C146" s="315">
        <v>70657.64</v>
      </c>
      <c r="D146" s="317">
        <f t="shared" si="2"/>
        <v>-6.2573001952813678E-3</v>
      </c>
    </row>
    <row r="147" spans="2:4" x14ac:dyDescent="0.35">
      <c r="B147" s="314">
        <v>45412</v>
      </c>
      <c r="C147" s="315">
        <v>71102.55</v>
      </c>
      <c r="D147" s="317">
        <f t="shared" si="2"/>
        <v>-8.2638922112173718E-3</v>
      </c>
    </row>
    <row r="148" spans="2:4" x14ac:dyDescent="0.35">
      <c r="B148" s="314">
        <v>45411</v>
      </c>
      <c r="C148" s="315">
        <v>71695.03</v>
      </c>
      <c r="D148" s="317">
        <f t="shared" si="2"/>
        <v>-1.4403084843506719E-2</v>
      </c>
    </row>
    <row r="149" spans="2:4" x14ac:dyDescent="0.35">
      <c r="B149" s="314">
        <v>45408</v>
      </c>
      <c r="C149" s="315">
        <v>72742.75</v>
      </c>
      <c r="D149" s="317">
        <f t="shared" si="2"/>
        <v>1.0717451654407295E-2</v>
      </c>
    </row>
    <row r="150" spans="2:4" x14ac:dyDescent="0.35">
      <c r="B150" s="314">
        <v>45407</v>
      </c>
      <c r="C150" s="315">
        <v>71971.399999999994</v>
      </c>
      <c r="D150" s="317">
        <f t="shared" si="2"/>
        <v>-1.1171115705640444E-3</v>
      </c>
    </row>
    <row r="151" spans="2:4" x14ac:dyDescent="0.35">
      <c r="B151" s="314">
        <v>45406</v>
      </c>
      <c r="C151" s="315">
        <v>72051.89</v>
      </c>
      <c r="D151" s="317">
        <f t="shared" si="2"/>
        <v>9.7041161074622462E-3</v>
      </c>
    </row>
    <row r="152" spans="2:4" x14ac:dyDescent="0.35">
      <c r="B152" s="314">
        <v>45405</v>
      </c>
      <c r="C152" s="315">
        <v>71359.41</v>
      </c>
      <c r="D152" s="317">
        <f t="shared" si="2"/>
        <v>-1.0366290531076405E-3</v>
      </c>
    </row>
    <row r="153" spans="2:4" x14ac:dyDescent="0.35">
      <c r="B153" s="314">
        <v>45404</v>
      </c>
      <c r="C153" s="315">
        <v>71433.460000000006</v>
      </c>
      <c r="D153" s="317">
        <f t="shared" si="2"/>
        <v>7.3834542144328719E-3</v>
      </c>
    </row>
    <row r="154" spans="2:4" x14ac:dyDescent="0.35">
      <c r="B154" s="314">
        <v>45401</v>
      </c>
      <c r="C154" s="315">
        <v>70909.899999999994</v>
      </c>
      <c r="D154" s="317">
        <f t="shared" si="2"/>
        <v>8.8174554261679639E-3</v>
      </c>
    </row>
    <row r="155" spans="2:4" x14ac:dyDescent="0.35">
      <c r="B155" s="314">
        <v>45400</v>
      </c>
      <c r="C155" s="315">
        <v>70290.12</v>
      </c>
      <c r="D155" s="317">
        <f t="shared" si="2"/>
        <v>-6.1421812591833103E-4</v>
      </c>
    </row>
    <row r="156" spans="2:4" x14ac:dyDescent="0.35">
      <c r="B156" s="314">
        <v>45399</v>
      </c>
      <c r="C156" s="315">
        <v>70333.320000000007</v>
      </c>
      <c r="D156" s="317">
        <f t="shared" si="2"/>
        <v>-2.1329766360032032E-3</v>
      </c>
    </row>
    <row r="157" spans="2:4" x14ac:dyDescent="0.35">
      <c r="B157" s="314">
        <v>45398</v>
      </c>
      <c r="C157" s="315">
        <v>70483.66</v>
      </c>
      <c r="D157" s="317">
        <f t="shared" si="2"/>
        <v>-8.6356740659587761E-4</v>
      </c>
    </row>
    <row r="158" spans="2:4" x14ac:dyDescent="0.35">
      <c r="B158" s="314">
        <v>45397</v>
      </c>
      <c r="C158" s="315">
        <v>70544.58</v>
      </c>
      <c r="D158" s="317">
        <f t="shared" si="2"/>
        <v>3.2690167862432506E-3</v>
      </c>
    </row>
    <row r="159" spans="2:4" x14ac:dyDescent="0.35">
      <c r="B159" s="314">
        <v>45391</v>
      </c>
      <c r="C159" s="315">
        <v>70314.720000000001</v>
      </c>
      <c r="D159" s="317">
        <f t="shared" si="2"/>
        <v>9.9788868111012619E-3</v>
      </c>
    </row>
    <row r="160" spans="2:4" x14ac:dyDescent="0.35">
      <c r="B160" s="314">
        <v>45390</v>
      </c>
      <c r="C160" s="315">
        <v>69619.990000000005</v>
      </c>
      <c r="D160" s="317">
        <f t="shared" si="2"/>
        <v>1.7586475130808576E-2</v>
      </c>
    </row>
    <row r="161" spans="2:4" x14ac:dyDescent="0.35">
      <c r="B161" s="314">
        <v>45386</v>
      </c>
      <c r="C161" s="315">
        <v>68416.78</v>
      </c>
      <c r="D161" s="317">
        <f t="shared" si="2"/>
        <v>9.7517505450437358E-3</v>
      </c>
    </row>
    <row r="162" spans="2:4" x14ac:dyDescent="0.35">
      <c r="B162" s="314">
        <v>45385</v>
      </c>
      <c r="C162" s="315">
        <v>67756.039999999994</v>
      </c>
      <c r="D162" s="317">
        <f t="shared" si="2"/>
        <v>1.3003866563925159E-2</v>
      </c>
    </row>
    <row r="163" spans="2:4" x14ac:dyDescent="0.35">
      <c r="B163" s="314">
        <v>45384</v>
      </c>
      <c r="C163" s="315">
        <v>66886.259999999995</v>
      </c>
      <c r="D163" s="317">
        <f t="shared" si="2"/>
        <v>1.346481363045049E-3</v>
      </c>
    </row>
    <row r="164" spans="2:4" x14ac:dyDescent="0.35">
      <c r="B164" s="314">
        <v>45383</v>
      </c>
      <c r="C164" s="315">
        <v>66796.320000000007</v>
      </c>
      <c r="D164" s="317">
        <f t="shared" si="2"/>
        <v>-3.1160310012176007E-3</v>
      </c>
    </row>
    <row r="165" spans="2:4" x14ac:dyDescent="0.35">
      <c r="B165" s="314">
        <v>45380</v>
      </c>
      <c r="C165" s="315">
        <v>67005.11</v>
      </c>
      <c r="D165" s="317">
        <f t="shared" si="2"/>
        <v>-2.0405968712337019E-3</v>
      </c>
    </row>
    <row r="166" spans="2:4" x14ac:dyDescent="0.35">
      <c r="B166" s="314">
        <v>45379</v>
      </c>
      <c r="C166" s="315">
        <v>67142.12</v>
      </c>
      <c r="D166" s="317">
        <f t="shared" si="2"/>
        <v>8.9308750899166345E-3</v>
      </c>
    </row>
    <row r="167" spans="2:4" x14ac:dyDescent="0.35">
      <c r="B167" s="314">
        <v>45378</v>
      </c>
      <c r="C167" s="315">
        <v>66547.789999999994</v>
      </c>
      <c r="D167" s="317">
        <f t="shared" si="2"/>
        <v>9.7336702966697164E-3</v>
      </c>
    </row>
    <row r="168" spans="2:4" x14ac:dyDescent="0.35">
      <c r="B168" s="314">
        <v>45377</v>
      </c>
      <c r="C168" s="315">
        <v>65906.28</v>
      </c>
      <c r="D168" s="317">
        <f t="shared" si="2"/>
        <v>5.8088702668344094E-3</v>
      </c>
    </row>
    <row r="169" spans="2:4" x14ac:dyDescent="0.35">
      <c r="B169" s="314">
        <v>45376</v>
      </c>
      <c r="C169" s="315">
        <v>65525.65</v>
      </c>
      <c r="D169" s="317">
        <f t="shared" si="2"/>
        <v>5.7376745979353938E-3</v>
      </c>
    </row>
    <row r="170" spans="2:4" x14ac:dyDescent="0.35">
      <c r="B170" s="314">
        <v>45373</v>
      </c>
      <c r="C170" s="315">
        <v>65151.83</v>
      </c>
      <c r="D170" s="317">
        <f t="shared" si="2"/>
        <v>-4.0596232806562327E-3</v>
      </c>
    </row>
    <row r="171" spans="2:4" x14ac:dyDescent="0.35">
      <c r="B171" s="314">
        <v>45372</v>
      </c>
      <c r="C171" s="315">
        <v>65417.4</v>
      </c>
      <c r="D171" s="317">
        <f t="shared" si="2"/>
        <v>-4.7829216274194453E-3</v>
      </c>
    </row>
    <row r="172" spans="2:4" x14ac:dyDescent="0.35">
      <c r="B172" s="314">
        <v>45371</v>
      </c>
      <c r="C172" s="315">
        <v>65731.789999999994</v>
      </c>
      <c r="D172" s="317">
        <f t="shared" si="2"/>
        <v>3.4989450800424482E-3</v>
      </c>
    </row>
    <row r="173" spans="2:4" x14ac:dyDescent="0.35">
      <c r="B173" s="314">
        <v>45370</v>
      </c>
      <c r="C173" s="315">
        <v>65502.6</v>
      </c>
      <c r="D173" s="317">
        <f t="shared" si="2"/>
        <v>9.4326581806800647E-3</v>
      </c>
    </row>
    <row r="174" spans="2:4" x14ac:dyDescent="0.35">
      <c r="B174" s="314">
        <v>45369</v>
      </c>
      <c r="C174" s="315">
        <v>64890.51</v>
      </c>
      <c r="D174" s="317">
        <f t="shared" si="2"/>
        <v>1.1423022574355013E-3</v>
      </c>
    </row>
    <row r="175" spans="2:4" x14ac:dyDescent="0.35">
      <c r="B175" s="314">
        <v>45366</v>
      </c>
      <c r="C175" s="315">
        <v>64816.47</v>
      </c>
      <c r="D175" s="317">
        <f t="shared" si="2"/>
        <v>-3.8085419232398721E-3</v>
      </c>
    </row>
    <row r="176" spans="2:4" x14ac:dyDescent="0.35">
      <c r="B176" s="314">
        <v>45365</v>
      </c>
      <c r="C176" s="315">
        <v>65064.27</v>
      </c>
      <c r="D176" s="317">
        <f t="shared" si="2"/>
        <v>1.5860339455574524E-2</v>
      </c>
    </row>
    <row r="177" spans="2:4" x14ac:dyDescent="0.35">
      <c r="B177" s="314">
        <v>45364</v>
      </c>
      <c r="C177" s="315">
        <v>64048.44</v>
      </c>
      <c r="D177" s="317">
        <f t="shared" si="2"/>
        <v>-1.1624077763391916E-2</v>
      </c>
    </row>
    <row r="178" spans="2:4" x14ac:dyDescent="0.35">
      <c r="B178" s="314">
        <v>45363</v>
      </c>
      <c r="C178" s="315">
        <v>64801.7</v>
      </c>
      <c r="D178" s="317">
        <f t="shared" si="2"/>
        <v>-1.4502402923809554E-2</v>
      </c>
    </row>
    <row r="179" spans="2:4" x14ac:dyDescent="0.35">
      <c r="B179" s="314">
        <v>45362</v>
      </c>
      <c r="C179" s="315">
        <v>65755.31</v>
      </c>
      <c r="D179" s="317">
        <f t="shared" si="2"/>
        <v>-5.8440192504571886E-4</v>
      </c>
    </row>
    <row r="180" spans="2:4" x14ac:dyDescent="0.35">
      <c r="B180" s="314">
        <v>45359</v>
      </c>
      <c r="C180" s="315">
        <v>65793.759999999995</v>
      </c>
      <c r="D180" s="317">
        <f t="shared" si="2"/>
        <v>2.9064179751288055E-3</v>
      </c>
    </row>
    <row r="181" spans="2:4" x14ac:dyDescent="0.35">
      <c r="B181" s="314">
        <v>45358</v>
      </c>
      <c r="C181" s="315">
        <v>65603.09</v>
      </c>
      <c r="D181" s="317">
        <f t="shared" si="2"/>
        <v>-8.1530240210347937E-4</v>
      </c>
    </row>
    <row r="182" spans="2:4" x14ac:dyDescent="0.35">
      <c r="B182" s="314">
        <v>45357</v>
      </c>
      <c r="C182" s="315">
        <v>65656.62</v>
      </c>
      <c r="D182" s="317">
        <f t="shared" si="2"/>
        <v>-1.0562023818869726E-3</v>
      </c>
    </row>
    <row r="183" spans="2:4" x14ac:dyDescent="0.35">
      <c r="B183" s="314">
        <v>45356</v>
      </c>
      <c r="C183" s="315">
        <v>65726.039999999994</v>
      </c>
      <c r="D183" s="317">
        <f t="shared" si="2"/>
        <v>-3.4220482161726462E-3</v>
      </c>
    </row>
    <row r="184" spans="2:4" x14ac:dyDescent="0.35">
      <c r="B184" s="314">
        <v>45355</v>
      </c>
      <c r="C184" s="315">
        <v>65951.73</v>
      </c>
      <c r="D184" s="317">
        <f t="shared" si="2"/>
        <v>9.5833660539978993E-3</v>
      </c>
    </row>
    <row r="185" spans="2:4" x14ac:dyDescent="0.35">
      <c r="B185" s="314">
        <v>45352</v>
      </c>
      <c r="C185" s="315">
        <v>65325.69</v>
      </c>
      <c r="D185" s="317">
        <f t="shared" si="2"/>
        <v>1.1569946167858891E-2</v>
      </c>
    </row>
    <row r="186" spans="2:4" x14ac:dyDescent="0.35">
      <c r="B186" s="314">
        <v>45351</v>
      </c>
      <c r="C186" s="315">
        <v>64578.52</v>
      </c>
      <c r="D186" s="317">
        <f t="shared" si="2"/>
        <v>1.3736618660370903E-2</v>
      </c>
    </row>
    <row r="187" spans="2:4" x14ac:dyDescent="0.35">
      <c r="B187" s="314">
        <v>45350</v>
      </c>
      <c r="C187" s="315">
        <v>63703.45</v>
      </c>
      <c r="D187" s="317">
        <f t="shared" si="2"/>
        <v>7.6614504160925634E-3</v>
      </c>
    </row>
    <row r="188" spans="2:4" x14ac:dyDescent="0.35">
      <c r="B188" s="314">
        <v>45349</v>
      </c>
      <c r="C188" s="315">
        <v>63219.1</v>
      </c>
      <c r="D188" s="317">
        <f t="shared" si="2"/>
        <v>-1.3715934668363516E-3</v>
      </c>
    </row>
    <row r="189" spans="2:4" x14ac:dyDescent="0.35">
      <c r="B189" s="314">
        <v>45348</v>
      </c>
      <c r="C189" s="315">
        <v>63305.93</v>
      </c>
      <c r="D189" s="317">
        <f t="shared" si="2"/>
        <v>7.8023338706714185E-3</v>
      </c>
    </row>
    <row r="190" spans="2:4" x14ac:dyDescent="0.35">
      <c r="B190" s="314">
        <v>45345</v>
      </c>
      <c r="C190" s="315">
        <v>62815.82</v>
      </c>
      <c r="D190" s="317">
        <f t="shared" si="2"/>
        <v>1.4560116444752635E-2</v>
      </c>
    </row>
    <row r="191" spans="2:4" x14ac:dyDescent="0.35">
      <c r="B191" s="314">
        <v>45344</v>
      </c>
      <c r="C191" s="315">
        <v>61914.34</v>
      </c>
      <c r="D191" s="317">
        <f t="shared" si="2"/>
        <v>5.7697343498512854E-3</v>
      </c>
    </row>
    <row r="192" spans="2:4" x14ac:dyDescent="0.35">
      <c r="B192" s="314">
        <v>45343</v>
      </c>
      <c r="C192" s="315">
        <v>61559.16</v>
      </c>
      <c r="D192" s="317">
        <f t="shared" si="2"/>
        <v>1.8108554742439553E-2</v>
      </c>
    </row>
    <row r="193" spans="2:4" x14ac:dyDescent="0.35">
      <c r="B193" s="314">
        <v>45342</v>
      </c>
      <c r="C193" s="315">
        <v>60464.24</v>
      </c>
      <c r="D193" s="317">
        <f t="shared" si="2"/>
        <v>7.4264283262737152E-5</v>
      </c>
    </row>
    <row r="194" spans="2:4" x14ac:dyDescent="0.35">
      <c r="B194" s="314">
        <v>45341</v>
      </c>
      <c r="C194" s="315">
        <v>60459.75</v>
      </c>
      <c r="D194" s="317">
        <f t="shared" si="2"/>
        <v>9.8005844374489115E-3</v>
      </c>
    </row>
    <row r="195" spans="2:4" x14ac:dyDescent="0.35">
      <c r="B195" s="314">
        <v>45338</v>
      </c>
      <c r="C195" s="315">
        <v>59872.959999999999</v>
      </c>
      <c r="D195" s="317">
        <f t="shared" si="2"/>
        <v>-1.8798736022219598E-2</v>
      </c>
    </row>
    <row r="196" spans="2:4" x14ac:dyDescent="0.35">
      <c r="B196" s="314">
        <v>45337</v>
      </c>
      <c r="C196" s="315">
        <v>61020.06</v>
      </c>
      <c r="D196" s="317">
        <f t="shared" ref="D196:D259" si="3">(C196/C197)-1</f>
        <v>-1.8241511707080327E-2</v>
      </c>
    </row>
    <row r="197" spans="2:4" x14ac:dyDescent="0.35">
      <c r="B197" s="314">
        <v>45336</v>
      </c>
      <c r="C197" s="315">
        <v>62153.84</v>
      </c>
      <c r="D197" s="317">
        <f t="shared" si="3"/>
        <v>1.5138926612848325E-2</v>
      </c>
    </row>
    <row r="198" spans="2:4" x14ac:dyDescent="0.35">
      <c r="B198" s="314">
        <v>45335</v>
      </c>
      <c r="C198" s="315">
        <v>61226.93</v>
      </c>
      <c r="D198" s="317">
        <f t="shared" si="3"/>
        <v>2.6465103269743828E-3</v>
      </c>
    </row>
    <row r="199" spans="2:4" x14ac:dyDescent="0.35">
      <c r="B199" s="314">
        <v>45334</v>
      </c>
      <c r="C199" s="315">
        <v>61065.32</v>
      </c>
      <c r="D199" s="317">
        <f t="shared" si="3"/>
        <v>-2.9842994737364736E-2</v>
      </c>
    </row>
    <row r="200" spans="2:4" x14ac:dyDescent="0.35">
      <c r="B200" s="314">
        <v>45331</v>
      </c>
      <c r="C200" s="315">
        <v>62943.75</v>
      </c>
      <c r="D200" s="317">
        <f t="shared" si="3"/>
        <v>-1.8709815918496964E-2</v>
      </c>
    </row>
    <row r="201" spans="2:4" x14ac:dyDescent="0.35">
      <c r="B201" s="314">
        <v>45329</v>
      </c>
      <c r="C201" s="315">
        <v>64143.87</v>
      </c>
      <c r="D201" s="317">
        <f t="shared" si="3"/>
        <v>5.4052554412278297E-3</v>
      </c>
    </row>
    <row r="202" spans="2:4" x14ac:dyDescent="0.35">
      <c r="B202" s="314">
        <v>45328</v>
      </c>
      <c r="C202" s="315">
        <v>63799.02</v>
      </c>
      <c r="D202" s="317">
        <f t="shared" si="3"/>
        <v>1.2635922271539091E-2</v>
      </c>
    </row>
    <row r="203" spans="2:4" x14ac:dyDescent="0.35">
      <c r="B203" s="314">
        <v>45324</v>
      </c>
      <c r="C203" s="315">
        <v>63002.92</v>
      </c>
      <c r="D203" s="317">
        <f t="shared" si="3"/>
        <v>9.7634794772680777E-3</v>
      </c>
    </row>
    <row r="204" spans="2:4" x14ac:dyDescent="0.35">
      <c r="B204" s="314">
        <v>45323</v>
      </c>
      <c r="C204" s="315">
        <v>62393.74</v>
      </c>
      <c r="D204" s="317">
        <f t="shared" si="3"/>
        <v>6.6886977207507581E-3</v>
      </c>
    </row>
    <row r="205" spans="2:4" x14ac:dyDescent="0.35">
      <c r="B205" s="314">
        <v>45322</v>
      </c>
      <c r="C205" s="315">
        <v>61979.18</v>
      </c>
      <c r="D205" s="317">
        <f t="shared" si="3"/>
        <v>2.2224471691774106E-3</v>
      </c>
    </row>
    <row r="206" spans="2:4" x14ac:dyDescent="0.35">
      <c r="B206" s="314">
        <v>45321</v>
      </c>
      <c r="C206" s="315">
        <v>61841.74</v>
      </c>
      <c r="D206" s="317">
        <f t="shared" si="3"/>
        <v>-1.4846658761022979E-2</v>
      </c>
    </row>
    <row r="207" spans="2:4" x14ac:dyDescent="0.35">
      <c r="B207" s="314">
        <v>45320</v>
      </c>
      <c r="C207" s="315">
        <v>62773.72</v>
      </c>
      <c r="D207" s="317">
        <f t="shared" si="3"/>
        <v>-1.6287261573101119E-2</v>
      </c>
    </row>
    <row r="208" spans="2:4" x14ac:dyDescent="0.35">
      <c r="B208" s="314">
        <v>45317</v>
      </c>
      <c r="C208" s="315">
        <v>63813.06</v>
      </c>
      <c r="D208" s="317">
        <f t="shared" si="3"/>
        <v>-7.5422240906056759E-3</v>
      </c>
    </row>
    <row r="209" spans="2:4" x14ac:dyDescent="0.35">
      <c r="B209" s="314">
        <v>45316</v>
      </c>
      <c r="C209" s="315">
        <v>64298.01</v>
      </c>
      <c r="D209" s="317">
        <f t="shared" si="3"/>
        <v>-8.0901009110581068E-3</v>
      </c>
    </row>
    <row r="210" spans="2:4" x14ac:dyDescent="0.35">
      <c r="B210" s="314">
        <v>45315</v>
      </c>
      <c r="C210" s="315">
        <v>64822.43</v>
      </c>
      <c r="D210" s="317">
        <f t="shared" si="3"/>
        <v>5.712736885187697E-3</v>
      </c>
    </row>
    <row r="211" spans="2:4" x14ac:dyDescent="0.35">
      <c r="B211" s="314">
        <v>45314</v>
      </c>
      <c r="C211" s="315">
        <v>64454.22</v>
      </c>
      <c r="D211" s="317">
        <f t="shared" si="3"/>
        <v>8.0515287832652049E-3</v>
      </c>
    </row>
    <row r="212" spans="2:4" x14ac:dyDescent="0.35">
      <c r="B212" s="314">
        <v>45313</v>
      </c>
      <c r="C212" s="315">
        <v>63939.41</v>
      </c>
      <c r="D212" s="317">
        <f t="shared" si="3"/>
        <v>1.0384905841655634E-2</v>
      </c>
    </row>
    <row r="213" spans="2:4" x14ac:dyDescent="0.35">
      <c r="B213" s="314">
        <v>45310</v>
      </c>
      <c r="C213" s="315">
        <v>63282.23</v>
      </c>
      <c r="D213" s="317">
        <f t="shared" si="3"/>
        <v>1.2630849461412463E-3</v>
      </c>
    </row>
    <row r="214" spans="2:4" x14ac:dyDescent="0.35">
      <c r="B214" s="314">
        <v>45309</v>
      </c>
      <c r="C214" s="315">
        <v>63202.400000000001</v>
      </c>
      <c r="D214" s="317">
        <f t="shared" si="3"/>
        <v>-5.7409984435402572E-3</v>
      </c>
    </row>
    <row r="215" spans="2:4" x14ac:dyDescent="0.35">
      <c r="B215" s="314">
        <v>45308</v>
      </c>
      <c r="C215" s="315">
        <v>63567.34</v>
      </c>
      <c r="D215" s="317">
        <f t="shared" si="3"/>
        <v>-2.6690740421724257E-3</v>
      </c>
    </row>
    <row r="216" spans="2:4" x14ac:dyDescent="0.35">
      <c r="B216" s="314">
        <v>45307</v>
      </c>
      <c r="C216" s="315">
        <v>63737.46</v>
      </c>
      <c r="D216" s="317">
        <f t="shared" si="3"/>
        <v>-8.2764140559625776E-3</v>
      </c>
    </row>
    <row r="217" spans="2:4" x14ac:dyDescent="0.35">
      <c r="B217" s="314">
        <v>45306</v>
      </c>
      <c r="C217" s="315">
        <v>64269.38</v>
      </c>
      <c r="D217" s="317">
        <f t="shared" si="3"/>
        <v>-5.6972995920024916E-3</v>
      </c>
    </row>
    <row r="218" spans="2:4" x14ac:dyDescent="0.35">
      <c r="B218" s="314">
        <v>45303</v>
      </c>
      <c r="C218" s="315">
        <v>64637.64</v>
      </c>
      <c r="D218" s="317">
        <f t="shared" si="3"/>
        <v>3.1059663803523208E-4</v>
      </c>
    </row>
    <row r="219" spans="2:4" x14ac:dyDescent="0.35">
      <c r="B219" s="314">
        <v>45302</v>
      </c>
      <c r="C219" s="315">
        <v>64617.57</v>
      </c>
      <c r="D219" s="317">
        <f t="shared" si="3"/>
        <v>1.0915545014576811E-2</v>
      </c>
    </row>
    <row r="220" spans="2:4" x14ac:dyDescent="0.35">
      <c r="B220" s="314">
        <v>45301</v>
      </c>
      <c r="C220" s="315">
        <v>63919.85</v>
      </c>
      <c r="D220" s="317">
        <f t="shared" si="3"/>
        <v>-3.9072422284480712E-3</v>
      </c>
    </row>
    <row r="221" spans="2:4" x14ac:dyDescent="0.35">
      <c r="B221" s="314">
        <v>45300</v>
      </c>
      <c r="C221" s="315">
        <v>64170.58</v>
      </c>
      <c r="D221" s="317">
        <f t="shared" si="3"/>
        <v>-1.0344500671963797E-3</v>
      </c>
    </row>
    <row r="222" spans="2:4" x14ac:dyDescent="0.35">
      <c r="B222" s="314">
        <v>45299</v>
      </c>
      <c r="C222" s="315">
        <v>64237.03</v>
      </c>
      <c r="D222" s="317">
        <f t="shared" si="3"/>
        <v>-4.3070670496273555E-3</v>
      </c>
    </row>
    <row r="223" spans="2:4" x14ac:dyDescent="0.35">
      <c r="B223" s="314">
        <v>45296</v>
      </c>
      <c r="C223" s="315">
        <v>64514.9</v>
      </c>
      <c r="D223" s="317">
        <f t="shared" si="3"/>
        <v>-1.9223640901274708E-3</v>
      </c>
    </row>
    <row r="224" spans="2:4" x14ac:dyDescent="0.35">
      <c r="B224" s="314">
        <v>45295</v>
      </c>
      <c r="C224" s="315">
        <v>64639.16</v>
      </c>
      <c r="D224" s="317">
        <f t="shared" si="3"/>
        <v>-1.1895397842265343E-4</v>
      </c>
    </row>
    <row r="225" spans="2:4" x14ac:dyDescent="0.35">
      <c r="B225" s="314">
        <v>45294</v>
      </c>
      <c r="C225" s="315">
        <v>64646.85</v>
      </c>
      <c r="D225" s="317">
        <f t="shared" si="3"/>
        <v>4.6192983328567916E-3</v>
      </c>
    </row>
    <row r="226" spans="2:4" x14ac:dyDescent="0.35">
      <c r="B226" s="314">
        <v>45293</v>
      </c>
      <c r="C226" s="315">
        <v>64349.599999999999</v>
      </c>
      <c r="D226" s="317">
        <f t="shared" si="3"/>
        <v>-4.8278906024548096E-3</v>
      </c>
    </row>
    <row r="227" spans="2:4" x14ac:dyDescent="0.35">
      <c r="B227" s="314">
        <v>45292</v>
      </c>
      <c r="C227" s="315">
        <v>64661.78</v>
      </c>
      <c r="D227" s="317">
        <f t="shared" si="3"/>
        <v>3.5399570607631103E-2</v>
      </c>
    </row>
    <row r="228" spans="2:4" x14ac:dyDescent="0.35">
      <c r="B228" s="314">
        <v>45289</v>
      </c>
      <c r="C228" s="315">
        <v>62451.040000000001</v>
      </c>
      <c r="D228" s="317">
        <f t="shared" si="3"/>
        <v>6.4268429310530006E-3</v>
      </c>
    </row>
    <row r="229" spans="2:4" x14ac:dyDescent="0.35">
      <c r="B229" s="314">
        <v>45288</v>
      </c>
      <c r="C229" s="315">
        <v>62052.24</v>
      </c>
      <c r="D229" s="317">
        <f t="shared" si="3"/>
        <v>1.9529236019809382E-2</v>
      </c>
    </row>
    <row r="230" spans="2:4" x14ac:dyDescent="0.35">
      <c r="B230" s="314">
        <v>45287</v>
      </c>
      <c r="C230" s="315">
        <v>60863.62</v>
      </c>
      <c r="D230" s="317">
        <f t="shared" si="3"/>
        <v>2.8605914588536452E-2</v>
      </c>
    </row>
    <row r="231" spans="2:4" x14ac:dyDescent="0.35">
      <c r="B231" s="314">
        <v>45286</v>
      </c>
      <c r="C231" s="315">
        <v>59170.98</v>
      </c>
      <c r="D231" s="317">
        <f t="shared" si="3"/>
        <v>-4.1068086927674718E-2</v>
      </c>
    </row>
    <row r="232" spans="2:4" x14ac:dyDescent="0.35">
      <c r="B232" s="314">
        <v>45282</v>
      </c>
      <c r="C232" s="315">
        <v>61705.09</v>
      </c>
      <c r="D232" s="317">
        <f t="shared" si="3"/>
        <v>-1.5766848179167403E-2</v>
      </c>
    </row>
    <row r="233" spans="2:4" x14ac:dyDescent="0.35">
      <c r="B233" s="314">
        <v>45281</v>
      </c>
      <c r="C233" s="315">
        <v>62693.57</v>
      </c>
      <c r="D233" s="317">
        <f t="shared" si="3"/>
        <v>3.9322309870242211E-3</v>
      </c>
    </row>
    <row r="234" spans="2:4" x14ac:dyDescent="0.35">
      <c r="B234" s="314">
        <v>45280</v>
      </c>
      <c r="C234" s="315">
        <v>62448.01</v>
      </c>
      <c r="D234" s="317">
        <f t="shared" si="3"/>
        <v>-6.1276688391439516E-3</v>
      </c>
    </row>
    <row r="235" spans="2:4" x14ac:dyDescent="0.35">
      <c r="B235" s="314">
        <v>45279</v>
      </c>
      <c r="C235" s="315">
        <v>62833.03</v>
      </c>
      <c r="D235" s="317">
        <f t="shared" si="3"/>
        <v>-3.6372389221141832E-2</v>
      </c>
    </row>
    <row r="236" spans="2:4" x14ac:dyDescent="0.35">
      <c r="B236" s="314">
        <v>45278</v>
      </c>
      <c r="C236" s="315">
        <v>65204.68</v>
      </c>
      <c r="D236" s="317">
        <f t="shared" si="3"/>
        <v>-1.3992737337747752E-2</v>
      </c>
    </row>
    <row r="237" spans="2:4" x14ac:dyDescent="0.35">
      <c r="B237" s="314">
        <v>45275</v>
      </c>
      <c r="C237" s="315">
        <v>66130.02</v>
      </c>
      <c r="D237" s="317">
        <f t="shared" si="3"/>
        <v>1.0386982833816116E-2</v>
      </c>
    </row>
    <row r="238" spans="2:4" x14ac:dyDescent="0.35">
      <c r="B238" s="314">
        <v>45274</v>
      </c>
      <c r="C238" s="315">
        <v>65450.19</v>
      </c>
      <c r="D238" s="317">
        <f t="shared" si="3"/>
        <v>2.6046198416180832E-3</v>
      </c>
    </row>
    <row r="239" spans="2:4" x14ac:dyDescent="0.35">
      <c r="B239" s="314">
        <v>45273</v>
      </c>
      <c r="C239" s="315">
        <v>65280.160000000003</v>
      </c>
      <c r="D239" s="317">
        <f t="shared" si="3"/>
        <v>-1.7261411737856225E-2</v>
      </c>
    </row>
    <row r="240" spans="2:4" x14ac:dyDescent="0.35">
      <c r="B240" s="314">
        <v>45272</v>
      </c>
      <c r="C240" s="315">
        <v>66426.78</v>
      </c>
      <c r="D240" s="317">
        <f t="shared" si="3"/>
        <v>6.2783725404025326E-3</v>
      </c>
    </row>
    <row r="241" spans="2:4" x14ac:dyDescent="0.35">
      <c r="B241" s="314">
        <v>45271</v>
      </c>
      <c r="C241" s="315">
        <v>66012.33</v>
      </c>
      <c r="D241" s="317">
        <f t="shared" si="3"/>
        <v>-3.1907039828532602E-3</v>
      </c>
    </row>
    <row r="242" spans="2:4" x14ac:dyDescent="0.35">
      <c r="B242" s="314">
        <v>45268</v>
      </c>
      <c r="C242" s="315">
        <v>66223.63</v>
      </c>
      <c r="D242" s="317">
        <f t="shared" si="3"/>
        <v>2.3263205583354818E-2</v>
      </c>
    </row>
    <row r="243" spans="2:4" x14ac:dyDescent="0.35">
      <c r="B243" s="314">
        <v>45267</v>
      </c>
      <c r="C243" s="315">
        <v>64718.080000000002</v>
      </c>
      <c r="D243" s="317">
        <f t="shared" si="3"/>
        <v>1.4727946220332022E-2</v>
      </c>
    </row>
    <row r="244" spans="2:4" x14ac:dyDescent="0.35">
      <c r="B244" s="314">
        <v>45266</v>
      </c>
      <c r="C244" s="315">
        <v>63778.75</v>
      </c>
      <c r="D244" s="317">
        <f t="shared" si="3"/>
        <v>1.1909285584071894E-2</v>
      </c>
    </row>
    <row r="245" spans="2:4" x14ac:dyDescent="0.35">
      <c r="B245" s="314">
        <v>45265</v>
      </c>
      <c r="C245" s="315">
        <v>63028.13</v>
      </c>
      <c r="D245" s="317">
        <f t="shared" si="3"/>
        <v>7.2357565718770278E-3</v>
      </c>
    </row>
    <row r="246" spans="2:4" x14ac:dyDescent="0.35">
      <c r="B246" s="314">
        <v>45264</v>
      </c>
      <c r="C246" s="315">
        <v>62575.35</v>
      </c>
      <c r="D246" s="317">
        <f t="shared" si="3"/>
        <v>1.4331043705549718E-2</v>
      </c>
    </row>
    <row r="247" spans="2:4" x14ac:dyDescent="0.35">
      <c r="B247" s="314">
        <v>45261</v>
      </c>
      <c r="C247" s="315">
        <v>61691.25</v>
      </c>
      <c r="D247" s="317">
        <f t="shared" si="3"/>
        <v>1.9239090405782422E-2</v>
      </c>
    </row>
    <row r="248" spans="2:4" x14ac:dyDescent="0.35">
      <c r="B248" s="314">
        <v>45260</v>
      </c>
      <c r="C248" s="315">
        <v>60526.77</v>
      </c>
      <c r="D248" s="317">
        <f t="shared" si="3"/>
        <v>4.5967732337870437E-4</v>
      </c>
    </row>
    <row r="249" spans="2:4" x14ac:dyDescent="0.35">
      <c r="B249" s="316">
        <v>45259</v>
      </c>
      <c r="C249" s="315">
        <v>60498.96</v>
      </c>
      <c r="D249" s="317">
        <f t="shared" si="3"/>
        <v>-5.6958991071324183E-3</v>
      </c>
    </row>
    <row r="250" spans="2:4" x14ac:dyDescent="0.35">
      <c r="B250" s="314">
        <v>45258</v>
      </c>
      <c r="C250" s="315">
        <v>60845.53</v>
      </c>
      <c r="D250" s="317">
        <f t="shared" si="3"/>
        <v>1.792533416669384E-2</v>
      </c>
    </row>
    <row r="251" spans="2:4" x14ac:dyDescent="0.35">
      <c r="B251" s="314">
        <v>45257</v>
      </c>
      <c r="C251" s="315">
        <v>59774.06</v>
      </c>
      <c r="D251" s="317">
        <f t="shared" si="3"/>
        <v>1.0151869068063535E-2</v>
      </c>
    </row>
    <row r="252" spans="2:4" x14ac:dyDescent="0.35">
      <c r="B252" s="314">
        <v>45254</v>
      </c>
      <c r="C252" s="315">
        <v>59173.34</v>
      </c>
      <c r="D252" s="317">
        <f t="shared" si="3"/>
        <v>4.4565682353658875E-3</v>
      </c>
    </row>
    <row r="253" spans="2:4" x14ac:dyDescent="0.35">
      <c r="B253" s="314">
        <v>45253</v>
      </c>
      <c r="C253" s="315">
        <v>58910.8</v>
      </c>
      <c r="D253" s="317">
        <f t="shared" si="3"/>
        <v>1.2591127237025157E-2</v>
      </c>
    </row>
    <row r="254" spans="2:4" x14ac:dyDescent="0.35">
      <c r="B254" s="314">
        <v>45252</v>
      </c>
      <c r="C254" s="315">
        <v>58178.27</v>
      </c>
      <c r="D254" s="317">
        <f t="shared" si="3"/>
        <v>1.3414290437355758E-2</v>
      </c>
    </row>
    <row r="255" spans="2:4" x14ac:dyDescent="0.35">
      <c r="B255" s="314">
        <v>45251</v>
      </c>
      <c r="C255" s="315">
        <v>57408.18</v>
      </c>
      <c r="D255" s="317">
        <f t="shared" si="3"/>
        <v>5.9963911955265292E-3</v>
      </c>
    </row>
    <row r="256" spans="2:4" x14ac:dyDescent="0.35">
      <c r="B256" s="314">
        <v>45250</v>
      </c>
      <c r="C256" s="315">
        <v>57065.99</v>
      </c>
      <c r="D256" s="317">
        <f t="shared" si="3"/>
        <v>8.599195748071331E-4</v>
      </c>
    </row>
    <row r="257" spans="2:4" x14ac:dyDescent="0.35">
      <c r="B257" s="314">
        <v>45247</v>
      </c>
      <c r="C257" s="315">
        <v>57016.959999999999</v>
      </c>
      <c r="D257" s="317">
        <f t="shared" si="3"/>
        <v>-5.7058992580936163E-3</v>
      </c>
    </row>
    <row r="258" spans="2:4" x14ac:dyDescent="0.35">
      <c r="B258" s="314">
        <v>45246</v>
      </c>
      <c r="C258" s="315">
        <v>57344.160000000003</v>
      </c>
      <c r="D258" s="317">
        <f t="shared" si="3"/>
        <v>1.0197782870092542E-2</v>
      </c>
    </row>
    <row r="259" spans="2:4" x14ac:dyDescent="0.35">
      <c r="B259" s="314">
        <v>45245</v>
      </c>
      <c r="C259" s="315">
        <v>56765.279999999999</v>
      </c>
      <c r="D259" s="317">
        <f t="shared" si="3"/>
        <v>2.1308305225318236E-3</v>
      </c>
    </row>
    <row r="260" spans="2:4" x14ac:dyDescent="0.35">
      <c r="B260" s="314">
        <v>45244</v>
      </c>
      <c r="C260" s="315">
        <v>56644.58</v>
      </c>
      <c r="D260" s="317">
        <f t="shared" ref="D260:D323" si="4">(C260/C261)-1</f>
        <v>2.0852089215877001E-3</v>
      </c>
    </row>
    <row r="261" spans="2:4" x14ac:dyDescent="0.35">
      <c r="B261" s="314">
        <v>45243</v>
      </c>
      <c r="C261" s="315">
        <v>56526.71</v>
      </c>
      <c r="D261" s="317">
        <f t="shared" si="4"/>
        <v>2.0343987670682351E-2</v>
      </c>
    </row>
    <row r="262" spans="2:4" x14ac:dyDescent="0.35">
      <c r="B262" s="314">
        <v>45240</v>
      </c>
      <c r="C262" s="315">
        <v>55399.66</v>
      </c>
      <c r="D262" s="317">
        <f t="shared" si="4"/>
        <v>2.011310803671762E-2</v>
      </c>
    </row>
    <row r="263" spans="2:4" x14ac:dyDescent="0.35">
      <c r="B263" s="314">
        <v>45238</v>
      </c>
      <c r="C263" s="315">
        <v>54307.37</v>
      </c>
      <c r="D263" s="317">
        <f t="shared" si="4"/>
        <v>9.2276980726182511E-3</v>
      </c>
    </row>
    <row r="264" spans="2:4" x14ac:dyDescent="0.35">
      <c r="B264" s="314">
        <v>45237</v>
      </c>
      <c r="C264" s="315">
        <v>53810.82</v>
      </c>
      <c r="D264" s="317">
        <f t="shared" si="4"/>
        <v>-2.414117339969768E-3</v>
      </c>
    </row>
    <row r="265" spans="2:4" x14ac:dyDescent="0.35">
      <c r="B265" s="314">
        <v>45236</v>
      </c>
      <c r="C265" s="315">
        <v>53941.04</v>
      </c>
      <c r="D265" s="317">
        <f t="shared" si="4"/>
        <v>1.4392282793726174E-2</v>
      </c>
    </row>
    <row r="266" spans="2:4" x14ac:dyDescent="0.35">
      <c r="B266" s="314">
        <v>45233</v>
      </c>
      <c r="C266" s="315">
        <v>53175.72</v>
      </c>
      <c r="D266" s="317">
        <f t="shared" si="4"/>
        <v>8.9995660459307736E-3</v>
      </c>
    </row>
    <row r="267" spans="2:4" x14ac:dyDescent="0.35">
      <c r="B267" s="314">
        <v>45232</v>
      </c>
      <c r="C267" s="315">
        <v>52701.43</v>
      </c>
      <c r="D267" s="317">
        <f t="shared" si="4"/>
        <v>6.5775287186728981E-3</v>
      </c>
    </row>
    <row r="268" spans="2:4" x14ac:dyDescent="0.35">
      <c r="B268" s="314">
        <v>45231</v>
      </c>
      <c r="C268" s="315">
        <v>52357.05</v>
      </c>
      <c r="D268" s="317">
        <f t="shared" si="4"/>
        <v>7.3252602964697378E-3</v>
      </c>
    </row>
    <row r="269" spans="2:4" x14ac:dyDescent="0.35">
      <c r="B269" s="314">
        <v>45230</v>
      </c>
      <c r="C269" s="315">
        <v>51976.31</v>
      </c>
      <c r="D269" s="317">
        <f t="shared" si="4"/>
        <v>9.5833706434345078E-3</v>
      </c>
    </row>
    <row r="270" spans="2:4" x14ac:dyDescent="0.35">
      <c r="B270" s="314">
        <v>45229</v>
      </c>
      <c r="C270" s="315">
        <v>51482.93</v>
      </c>
      <c r="D270" s="317">
        <f t="shared" si="4"/>
        <v>1.0292306771497284E-2</v>
      </c>
    </row>
    <row r="271" spans="2:4" x14ac:dyDescent="0.35">
      <c r="B271" s="314">
        <v>45226</v>
      </c>
      <c r="C271" s="315">
        <v>50958.45</v>
      </c>
      <c r="D271" s="317">
        <f t="shared" si="4"/>
        <v>-3.9084490523551008E-3</v>
      </c>
    </row>
    <row r="272" spans="2:4" x14ac:dyDescent="0.35">
      <c r="B272" s="314">
        <v>45225</v>
      </c>
      <c r="C272" s="315">
        <v>51158.400000000001</v>
      </c>
      <c r="D272" s="317">
        <f t="shared" si="4"/>
        <v>6.470375148752705E-4</v>
      </c>
    </row>
    <row r="273" spans="2:4" x14ac:dyDescent="0.35">
      <c r="B273" s="314">
        <v>45224</v>
      </c>
      <c r="C273" s="315">
        <v>51125.32</v>
      </c>
      <c r="D273" s="317">
        <f t="shared" si="4"/>
        <v>1.1194844536173143E-3</v>
      </c>
    </row>
    <row r="274" spans="2:4" x14ac:dyDescent="0.35">
      <c r="B274" s="314">
        <v>45223</v>
      </c>
      <c r="C274" s="315">
        <v>51068.15</v>
      </c>
      <c r="D274" s="317">
        <f t="shared" si="4"/>
        <v>-8.9676036507224666E-5</v>
      </c>
    </row>
    <row r="275" spans="2:4" x14ac:dyDescent="0.35">
      <c r="B275" s="314">
        <v>45222</v>
      </c>
      <c r="C275" s="315">
        <v>51072.73</v>
      </c>
      <c r="D275" s="317">
        <f t="shared" si="4"/>
        <v>7.8581898753062873E-3</v>
      </c>
    </row>
    <row r="276" spans="2:4" x14ac:dyDescent="0.35">
      <c r="B276" s="314">
        <v>45219</v>
      </c>
      <c r="C276" s="315">
        <v>50674.52</v>
      </c>
      <c r="D276" s="317">
        <f t="shared" si="4"/>
        <v>6.9658653719091301E-3</v>
      </c>
    </row>
    <row r="277" spans="2:4" x14ac:dyDescent="0.35">
      <c r="B277" s="314">
        <v>45218</v>
      </c>
      <c r="C277" s="315">
        <v>50323.97</v>
      </c>
      <c r="D277" s="317">
        <f t="shared" si="4"/>
        <v>1.85762148427151E-2</v>
      </c>
    </row>
    <row r="278" spans="2:4" x14ac:dyDescent="0.35">
      <c r="B278" s="314">
        <v>45217</v>
      </c>
      <c r="C278" s="315">
        <v>49406.19</v>
      </c>
      <c r="D278" s="317">
        <f t="shared" si="4"/>
        <v>-2.4569999765787776E-3</v>
      </c>
    </row>
    <row r="279" spans="2:4" x14ac:dyDescent="0.35">
      <c r="B279" s="314">
        <v>45216</v>
      </c>
      <c r="C279" s="315">
        <v>49527.88</v>
      </c>
      <c r="D279" s="317">
        <f t="shared" si="4"/>
        <v>-3.8614340705236394E-3</v>
      </c>
    </row>
    <row r="280" spans="2:4" x14ac:dyDescent="0.35">
      <c r="B280" s="314">
        <v>45215</v>
      </c>
      <c r="C280" s="315">
        <v>49719.87</v>
      </c>
      <c r="D280" s="317">
        <f t="shared" si="4"/>
        <v>4.5743408170815236E-3</v>
      </c>
    </row>
    <row r="281" spans="2:4" x14ac:dyDescent="0.35">
      <c r="B281" s="314">
        <v>45212</v>
      </c>
      <c r="C281" s="315">
        <v>49493.47</v>
      </c>
      <c r="D281" s="317">
        <f t="shared" si="4"/>
        <v>1.4798742959801992E-2</v>
      </c>
    </row>
    <row r="282" spans="2:4" x14ac:dyDescent="0.35">
      <c r="B282" s="314">
        <v>45211</v>
      </c>
      <c r="C282" s="315">
        <v>48771.71</v>
      </c>
      <c r="D282" s="317">
        <f t="shared" si="4"/>
        <v>5.5649481050186189E-3</v>
      </c>
    </row>
    <row r="283" spans="2:4" x14ac:dyDescent="0.35">
      <c r="B283" s="314">
        <v>45210</v>
      </c>
      <c r="C283" s="315">
        <v>48501.8</v>
      </c>
      <c r="D283" s="317">
        <f t="shared" si="4"/>
        <v>7.4423338560760666E-3</v>
      </c>
    </row>
    <row r="284" spans="2:4" x14ac:dyDescent="0.35">
      <c r="B284" s="314">
        <v>45209</v>
      </c>
      <c r="C284" s="315">
        <v>48143.5</v>
      </c>
      <c r="D284" s="317">
        <f t="shared" si="4"/>
        <v>8.5236467357023837E-3</v>
      </c>
    </row>
    <row r="285" spans="2:4" x14ac:dyDescent="0.35">
      <c r="B285" s="314">
        <v>45208</v>
      </c>
      <c r="C285" s="315">
        <v>47736.61</v>
      </c>
      <c r="D285" s="317">
        <f t="shared" si="4"/>
        <v>4.7978611061938459E-3</v>
      </c>
    </row>
    <row r="286" spans="2:4" x14ac:dyDescent="0.35">
      <c r="B286" s="314">
        <v>45205</v>
      </c>
      <c r="C286" s="315">
        <v>47508.67</v>
      </c>
      <c r="D286" s="317">
        <f t="shared" si="4"/>
        <v>5.0774399088893141E-4</v>
      </c>
    </row>
    <row r="287" spans="2:4" x14ac:dyDescent="0.35">
      <c r="B287" s="314">
        <v>45204</v>
      </c>
      <c r="C287" s="315">
        <v>47484.56</v>
      </c>
      <c r="D287" s="317">
        <f t="shared" si="4"/>
        <v>8.5966750517152413E-3</v>
      </c>
    </row>
    <row r="288" spans="2:4" x14ac:dyDescent="0.35">
      <c r="B288" s="314">
        <v>45203</v>
      </c>
      <c r="C288" s="315">
        <v>47079.83</v>
      </c>
      <c r="D288" s="317">
        <f t="shared" si="4"/>
        <v>6.9087277144714854E-3</v>
      </c>
    </row>
    <row r="289" spans="2:4" x14ac:dyDescent="0.35">
      <c r="B289" s="314">
        <v>45202</v>
      </c>
      <c r="C289" s="315">
        <v>46756.800000000003</v>
      </c>
      <c r="D289" s="317">
        <f t="shared" si="4"/>
        <v>2.7820742795816589E-3</v>
      </c>
    </row>
    <row r="290" spans="2:4" x14ac:dyDescent="0.35">
      <c r="B290" s="314">
        <v>45201</v>
      </c>
      <c r="C290" s="315">
        <v>46627.08</v>
      </c>
      <c r="D290" s="317">
        <f t="shared" si="4"/>
        <v>8.5327255081319997E-3</v>
      </c>
    </row>
    <row r="291" spans="2:4" x14ac:dyDescent="0.35">
      <c r="B291" s="314">
        <v>45197</v>
      </c>
      <c r="C291" s="315">
        <v>46232.59</v>
      </c>
      <c r="D291" s="317">
        <f t="shared" si="4"/>
        <v>-3.7801655834487358E-3</v>
      </c>
    </row>
    <row r="292" spans="2:4" x14ac:dyDescent="0.35">
      <c r="B292" s="314">
        <v>45196</v>
      </c>
      <c r="C292" s="315">
        <v>46408.02</v>
      </c>
      <c r="D292" s="317">
        <f t="shared" si="4"/>
        <v>2.1481998784671497E-3</v>
      </c>
    </row>
    <row r="293" spans="2:4" x14ac:dyDescent="0.35">
      <c r="B293" s="314">
        <v>45195</v>
      </c>
      <c r="C293" s="315">
        <v>46308.54</v>
      </c>
      <c r="D293" s="317">
        <f t="shared" si="4"/>
        <v>-1.8489332314817197E-3</v>
      </c>
    </row>
    <row r="294" spans="2:4" x14ac:dyDescent="0.35">
      <c r="B294" s="314">
        <v>45194</v>
      </c>
      <c r="C294" s="315">
        <v>46394.32</v>
      </c>
      <c r="D294" s="317">
        <f t="shared" si="4"/>
        <v>-9.0640081780657411E-4</v>
      </c>
    </row>
    <row r="295" spans="2:4" x14ac:dyDescent="0.35">
      <c r="B295" s="314">
        <v>45191</v>
      </c>
      <c r="C295" s="315">
        <v>46436.41</v>
      </c>
      <c r="D295" s="317">
        <f t="shared" si="4"/>
        <v>2.8437699561145724E-3</v>
      </c>
    </row>
    <row r="296" spans="2:4" x14ac:dyDescent="0.35">
      <c r="B296" s="314">
        <v>45190</v>
      </c>
      <c r="C296" s="315">
        <v>46304.73</v>
      </c>
      <c r="D296" s="317">
        <f t="shared" si="4"/>
        <v>8.1034090879403831E-3</v>
      </c>
    </row>
    <row r="297" spans="2:4" x14ac:dyDescent="0.35">
      <c r="B297" s="314">
        <v>45189</v>
      </c>
      <c r="C297" s="315">
        <v>45932.52</v>
      </c>
      <c r="D297" s="317">
        <f t="shared" si="4"/>
        <v>3.9944086990106875E-4</v>
      </c>
    </row>
    <row r="298" spans="2:4" x14ac:dyDescent="0.35">
      <c r="B298" s="314">
        <v>45188</v>
      </c>
      <c r="C298" s="315">
        <v>45914.18</v>
      </c>
      <c r="D298" s="317">
        <f t="shared" si="4"/>
        <v>1.6746143216612719E-3</v>
      </c>
    </row>
    <row r="299" spans="2:4" x14ac:dyDescent="0.35">
      <c r="B299" s="314">
        <v>45187</v>
      </c>
      <c r="C299" s="315">
        <v>45837.42</v>
      </c>
      <c r="D299" s="317">
        <f t="shared" si="4"/>
        <v>1.8339576570189919E-3</v>
      </c>
    </row>
    <row r="300" spans="2:4" x14ac:dyDescent="0.35">
      <c r="B300" s="314">
        <v>45184</v>
      </c>
      <c r="C300" s="315">
        <v>45753.51</v>
      </c>
      <c r="D300" s="317">
        <f t="shared" si="4"/>
        <v>2.2663721069309251E-3</v>
      </c>
    </row>
    <row r="301" spans="2:4" x14ac:dyDescent="0.35">
      <c r="B301" s="314">
        <v>45183</v>
      </c>
      <c r="C301" s="315">
        <v>45650.05</v>
      </c>
      <c r="D301" s="317">
        <f t="shared" si="4"/>
        <v>1.2969687823805032E-3</v>
      </c>
    </row>
    <row r="302" spans="2:4" x14ac:dyDescent="0.35">
      <c r="B302" s="314">
        <v>45182</v>
      </c>
      <c r="C302" s="315">
        <v>45590.92</v>
      </c>
      <c r="D302" s="317">
        <f t="shared" si="4"/>
        <v>1.8135117502509068E-3</v>
      </c>
    </row>
    <row r="303" spans="2:4" x14ac:dyDescent="0.35">
      <c r="B303" s="314">
        <v>45181</v>
      </c>
      <c r="C303" s="315">
        <v>45508.39</v>
      </c>
      <c r="D303" s="317">
        <f t="shared" si="4"/>
        <v>-7.7910021272964425E-3</v>
      </c>
    </row>
    <row r="304" spans="2:4" x14ac:dyDescent="0.35">
      <c r="B304" s="314">
        <v>45180</v>
      </c>
      <c r="C304" s="315">
        <v>45865.73</v>
      </c>
      <c r="D304" s="317">
        <f t="shared" si="4"/>
        <v>-3.2110155545722607E-3</v>
      </c>
    </row>
    <row r="305" spans="2:4" x14ac:dyDescent="0.35">
      <c r="B305" s="314">
        <v>45177</v>
      </c>
      <c r="C305" s="315">
        <v>46013.48</v>
      </c>
      <c r="D305" s="317">
        <f t="shared" si="4"/>
        <v>5.6002078797166011E-3</v>
      </c>
    </row>
    <row r="306" spans="2:4" x14ac:dyDescent="0.35">
      <c r="B306" s="314">
        <v>45176</v>
      </c>
      <c r="C306" s="315">
        <v>45757.23</v>
      </c>
      <c r="D306" s="317">
        <f t="shared" si="4"/>
        <v>-1.0989449997019785E-3</v>
      </c>
    </row>
    <row r="307" spans="2:4" x14ac:dyDescent="0.35">
      <c r="B307" s="314">
        <v>45175</v>
      </c>
      <c r="C307" s="315">
        <v>45807.57</v>
      </c>
      <c r="D307" s="317">
        <f t="shared" si="4"/>
        <v>6.9483340616747213E-3</v>
      </c>
    </row>
    <row r="308" spans="2:4" x14ac:dyDescent="0.35">
      <c r="B308" s="314">
        <v>45174</v>
      </c>
      <c r="C308" s="315">
        <v>45491.48</v>
      </c>
      <c r="D308" s="317">
        <f t="shared" si="4"/>
        <v>-4.7243970453811901E-3</v>
      </c>
    </row>
    <row r="309" spans="2:4" x14ac:dyDescent="0.35">
      <c r="B309" s="314">
        <v>45173</v>
      </c>
      <c r="C309" s="315">
        <v>45707.42</v>
      </c>
      <c r="D309" s="317">
        <f t="shared" si="4"/>
        <v>8.7121366770648301E-3</v>
      </c>
    </row>
    <row r="310" spans="2:4" x14ac:dyDescent="0.35">
      <c r="B310" s="314">
        <v>45170</v>
      </c>
      <c r="C310" s="315">
        <v>45312.65</v>
      </c>
      <c r="D310" s="317">
        <f t="shared" si="4"/>
        <v>6.8938530180939761E-3</v>
      </c>
    </row>
    <row r="311" spans="2:4" x14ac:dyDescent="0.35">
      <c r="B311" s="314">
        <v>45169</v>
      </c>
      <c r="C311" s="315">
        <v>45002.41</v>
      </c>
      <c r="D311" s="317">
        <f t="shared" si="4"/>
        <v>-2.686024623442107E-2</v>
      </c>
    </row>
    <row r="312" spans="2:4" x14ac:dyDescent="0.35">
      <c r="B312" s="314">
        <v>45168</v>
      </c>
      <c r="C312" s="315">
        <v>46244.55</v>
      </c>
      <c r="D312" s="317">
        <f t="shared" si="4"/>
        <v>-1.1243433615399145E-2</v>
      </c>
    </row>
    <row r="313" spans="2:4" x14ac:dyDescent="0.35">
      <c r="B313" s="314">
        <v>45167</v>
      </c>
      <c r="C313" s="315">
        <v>46770.41</v>
      </c>
      <c r="D313" s="317">
        <f t="shared" si="4"/>
        <v>-1.4916190680392627E-2</v>
      </c>
    </row>
    <row r="314" spans="2:4" x14ac:dyDescent="0.35">
      <c r="B314" s="314">
        <v>45166</v>
      </c>
      <c r="C314" s="315">
        <v>47478.61</v>
      </c>
      <c r="D314" s="317">
        <f t="shared" si="4"/>
        <v>-4.0401743526123912E-3</v>
      </c>
    </row>
    <row r="315" spans="2:4" x14ac:dyDescent="0.35">
      <c r="B315" s="314">
        <v>45163</v>
      </c>
      <c r="C315" s="315">
        <v>47671.21</v>
      </c>
      <c r="D315" s="317">
        <f t="shared" si="4"/>
        <v>-1.6659420708696748E-3</v>
      </c>
    </row>
    <row r="316" spans="2:4" x14ac:dyDescent="0.35">
      <c r="B316" s="314">
        <v>45162</v>
      </c>
      <c r="C316" s="315">
        <v>47750.76</v>
      </c>
      <c r="D316" s="317">
        <f t="shared" si="4"/>
        <v>7.0042091051556454E-3</v>
      </c>
    </row>
    <row r="317" spans="2:4" x14ac:dyDescent="0.35">
      <c r="B317" s="314">
        <v>45161</v>
      </c>
      <c r="C317" s="315">
        <v>47418.63</v>
      </c>
      <c r="D317" s="317">
        <f t="shared" si="4"/>
        <v>1.5395030146692079E-5</v>
      </c>
    </row>
    <row r="318" spans="2:4" x14ac:dyDescent="0.35">
      <c r="B318" s="314">
        <v>45160</v>
      </c>
      <c r="C318" s="315">
        <v>47417.9</v>
      </c>
      <c r="D318" s="317">
        <f t="shared" si="4"/>
        <v>-6.333255704408236E-4</v>
      </c>
    </row>
    <row r="319" spans="2:4" x14ac:dyDescent="0.35">
      <c r="B319" s="314">
        <v>45159</v>
      </c>
      <c r="C319" s="315">
        <v>47447.95</v>
      </c>
      <c r="D319" s="317">
        <f t="shared" si="4"/>
        <v>-1.598017689894482E-2</v>
      </c>
    </row>
    <row r="320" spans="2:4" x14ac:dyDescent="0.35">
      <c r="B320" s="314">
        <v>45156</v>
      </c>
      <c r="C320" s="315">
        <v>48218.49</v>
      </c>
      <c r="D320" s="317">
        <f t="shared" si="4"/>
        <v>-2.2213788730831574E-3</v>
      </c>
    </row>
    <row r="321" spans="2:4" x14ac:dyDescent="0.35">
      <c r="B321" s="314">
        <v>45155</v>
      </c>
      <c r="C321" s="315">
        <v>48325.84</v>
      </c>
      <c r="D321" s="317">
        <f t="shared" si="4"/>
        <v>3.7263406653409437E-3</v>
      </c>
    </row>
    <row r="322" spans="2:4" x14ac:dyDescent="0.35">
      <c r="B322" s="314">
        <v>45154</v>
      </c>
      <c r="C322" s="315">
        <v>48146.43</v>
      </c>
      <c r="D322" s="317">
        <f t="shared" si="4"/>
        <v>-8.6340682476848674E-3</v>
      </c>
    </row>
    <row r="323" spans="2:4" x14ac:dyDescent="0.35">
      <c r="B323" s="314">
        <v>45153</v>
      </c>
      <c r="C323" s="315">
        <v>48565.75</v>
      </c>
      <c r="D323" s="317">
        <f t="shared" si="4"/>
        <v>2.9189829920452937E-3</v>
      </c>
    </row>
    <row r="324" spans="2:4" x14ac:dyDescent="0.35">
      <c r="B324" s="314">
        <v>45149</v>
      </c>
      <c r="C324" s="315">
        <v>48424.4</v>
      </c>
      <c r="D324" s="317">
        <f t="shared" ref="D324:D387" si="5">(C324/C325)-1</f>
        <v>1.2886036202051976E-2</v>
      </c>
    </row>
    <row r="325" spans="2:4" x14ac:dyDescent="0.35">
      <c r="B325" s="314">
        <v>45148</v>
      </c>
      <c r="C325" s="315">
        <v>47808.34</v>
      </c>
      <c r="D325" s="317">
        <f t="shared" si="5"/>
        <v>-8.693362307060748E-3</v>
      </c>
    </row>
    <row r="326" spans="2:4" x14ac:dyDescent="0.35">
      <c r="B326" s="314">
        <v>45147</v>
      </c>
      <c r="C326" s="315">
        <v>48227.6</v>
      </c>
      <c r="D326" s="317">
        <f t="shared" si="5"/>
        <v>1.682021985324833E-2</v>
      </c>
    </row>
    <row r="327" spans="2:4" x14ac:dyDescent="0.35">
      <c r="B327" s="314">
        <v>45146</v>
      </c>
      <c r="C327" s="315">
        <v>47429.82</v>
      </c>
      <c r="D327" s="317">
        <f t="shared" si="5"/>
        <v>-1.9766565914903556E-2</v>
      </c>
    </row>
    <row r="328" spans="2:4" x14ac:dyDescent="0.35">
      <c r="B328" s="314">
        <v>45145</v>
      </c>
      <c r="C328" s="315">
        <v>48386.25</v>
      </c>
      <c r="D328" s="317">
        <f t="shared" si="5"/>
        <v>-4.1053223262560445E-3</v>
      </c>
    </row>
    <row r="329" spans="2:4" x14ac:dyDescent="0.35">
      <c r="B329" s="314">
        <v>45142</v>
      </c>
      <c r="C329" s="315">
        <v>48585.71</v>
      </c>
      <c r="D329" s="317">
        <f t="shared" si="5"/>
        <v>-5.2395354319734189E-4</v>
      </c>
    </row>
    <row r="330" spans="2:4" x14ac:dyDescent="0.35">
      <c r="B330" s="314">
        <v>45141</v>
      </c>
      <c r="C330" s="315">
        <v>48611.18</v>
      </c>
      <c r="D330" s="317">
        <f t="shared" si="5"/>
        <v>-3.1451125869099705E-3</v>
      </c>
    </row>
    <row r="331" spans="2:4" x14ac:dyDescent="0.35">
      <c r="B331" s="314">
        <v>45140</v>
      </c>
      <c r="C331" s="315">
        <v>48764.55</v>
      </c>
      <c r="D331" s="317">
        <f t="shared" si="5"/>
        <v>1.1072868827816551E-2</v>
      </c>
    </row>
    <row r="332" spans="2:4" x14ac:dyDescent="0.35">
      <c r="B332" s="314">
        <v>45139</v>
      </c>
      <c r="C332" s="315">
        <v>48230.5</v>
      </c>
      <c r="D332" s="317">
        <f t="shared" si="5"/>
        <v>4.0785192503984824E-3</v>
      </c>
    </row>
    <row r="333" spans="2:4" x14ac:dyDescent="0.35">
      <c r="B333" s="314">
        <v>45138</v>
      </c>
      <c r="C333" s="315">
        <v>48034.59</v>
      </c>
      <c r="D333" s="317">
        <f t="shared" si="5"/>
        <v>1.8997621081116245E-2</v>
      </c>
    </row>
    <row r="334" spans="2:4" x14ac:dyDescent="0.35">
      <c r="B334" s="314">
        <v>45134</v>
      </c>
      <c r="C334" s="315">
        <v>47139.06</v>
      </c>
      <c r="D334" s="317">
        <f t="shared" si="5"/>
        <v>8.8707057398909051E-3</v>
      </c>
    </row>
    <row r="335" spans="2:4" x14ac:dyDescent="0.35">
      <c r="B335" s="314">
        <v>45133</v>
      </c>
      <c r="C335" s="315">
        <v>46724.58</v>
      </c>
      <c r="D335" s="317">
        <f t="shared" si="5"/>
        <v>7.012186842796142E-3</v>
      </c>
    </row>
    <row r="336" spans="2:4" x14ac:dyDescent="0.35">
      <c r="B336" s="314">
        <v>45132</v>
      </c>
      <c r="C336" s="315">
        <v>46399.22</v>
      </c>
      <c r="D336" s="317">
        <f t="shared" si="5"/>
        <v>7.2433738444455109E-3</v>
      </c>
    </row>
    <row r="337" spans="2:4" x14ac:dyDescent="0.35">
      <c r="B337" s="314">
        <v>45131</v>
      </c>
      <c r="C337" s="315">
        <v>46065.55</v>
      </c>
      <c r="D337" s="317">
        <f t="shared" si="5"/>
        <v>3.863515417668939E-3</v>
      </c>
    </row>
    <row r="338" spans="2:4" x14ac:dyDescent="0.35">
      <c r="B338" s="314">
        <v>45128</v>
      </c>
      <c r="C338" s="315">
        <v>45888.26</v>
      </c>
      <c r="D338" s="317">
        <f t="shared" si="5"/>
        <v>1.0163212815052391E-2</v>
      </c>
    </row>
    <row r="339" spans="2:4" x14ac:dyDescent="0.35">
      <c r="B339" s="314">
        <v>45127</v>
      </c>
      <c r="C339" s="315">
        <v>45426.58</v>
      </c>
      <c r="D339" s="317">
        <f t="shared" si="5"/>
        <v>7.5466333143550113E-3</v>
      </c>
    </row>
    <row r="340" spans="2:4" x14ac:dyDescent="0.35">
      <c r="B340" s="314">
        <v>45126</v>
      </c>
      <c r="C340" s="315">
        <v>45086.33</v>
      </c>
      <c r="D340" s="317">
        <f t="shared" si="5"/>
        <v>1.4824657443572864E-3</v>
      </c>
    </row>
    <row r="341" spans="2:4" x14ac:dyDescent="0.35">
      <c r="B341" s="314">
        <v>45125</v>
      </c>
      <c r="C341" s="315">
        <v>45019.59</v>
      </c>
      <c r="D341" s="317">
        <f t="shared" si="5"/>
        <v>-6.1624046697539292E-4</v>
      </c>
    </row>
    <row r="342" spans="2:4" x14ac:dyDescent="0.35">
      <c r="B342" s="314">
        <v>45124</v>
      </c>
      <c r="C342" s="315">
        <v>45047.35</v>
      </c>
      <c r="D342" s="317">
        <f t="shared" si="5"/>
        <v>-5.4557225626417072E-4</v>
      </c>
    </row>
    <row r="343" spans="2:4" x14ac:dyDescent="0.35">
      <c r="B343" s="314">
        <v>45121</v>
      </c>
      <c r="C343" s="315">
        <v>45071.94</v>
      </c>
      <c r="D343" s="317">
        <f t="shared" si="5"/>
        <v>-4.957996773261919E-3</v>
      </c>
    </row>
    <row r="344" spans="2:4" x14ac:dyDescent="0.35">
      <c r="B344" s="314">
        <v>45120</v>
      </c>
      <c r="C344" s="315">
        <v>45296.52</v>
      </c>
      <c r="D344" s="317">
        <f t="shared" si="5"/>
        <v>-6.2440312471411241E-3</v>
      </c>
    </row>
    <row r="345" spans="2:4" x14ac:dyDescent="0.35">
      <c r="B345" s="314">
        <v>45119</v>
      </c>
      <c r="C345" s="315">
        <v>45581.13</v>
      </c>
      <c r="D345" s="317">
        <f t="shared" si="5"/>
        <v>8.8956806036755154E-3</v>
      </c>
    </row>
    <row r="346" spans="2:4" x14ac:dyDescent="0.35">
      <c r="B346" s="314">
        <v>45118</v>
      </c>
      <c r="C346" s="315">
        <v>45179.23</v>
      </c>
      <c r="D346" s="317">
        <f t="shared" si="5"/>
        <v>1.3855134283115023E-2</v>
      </c>
    </row>
    <row r="347" spans="2:4" x14ac:dyDescent="0.35">
      <c r="B347" s="314">
        <v>45117</v>
      </c>
      <c r="C347" s="315">
        <v>44561.82</v>
      </c>
      <c r="D347" s="317">
        <f t="shared" si="5"/>
        <v>6.2526927902319951E-3</v>
      </c>
    </row>
    <row r="348" spans="2:4" x14ac:dyDescent="0.35">
      <c r="B348" s="314">
        <v>45114</v>
      </c>
      <c r="C348" s="315">
        <v>44284.92</v>
      </c>
      <c r="D348" s="317">
        <f t="shared" si="5"/>
        <v>1.6556695826355217E-3</v>
      </c>
    </row>
    <row r="349" spans="2:4" x14ac:dyDescent="0.35">
      <c r="B349" s="314">
        <v>45113</v>
      </c>
      <c r="C349" s="315">
        <v>44211.72</v>
      </c>
      <c r="D349" s="317">
        <f t="shared" si="5"/>
        <v>1.5105681913935909E-2</v>
      </c>
    </row>
    <row r="350" spans="2:4" x14ac:dyDescent="0.35">
      <c r="B350" s="314">
        <v>45112</v>
      </c>
      <c r="C350" s="315">
        <v>43553.81</v>
      </c>
      <c r="D350" s="317">
        <f t="shared" si="5"/>
        <v>1.1704969485935024E-3</v>
      </c>
    </row>
    <row r="351" spans="2:4" x14ac:dyDescent="0.35">
      <c r="B351" s="314">
        <v>45111</v>
      </c>
      <c r="C351" s="315">
        <v>43502.89</v>
      </c>
      <c r="D351" s="317">
        <f t="shared" si="5"/>
        <v>-9.1200454453413959E-3</v>
      </c>
    </row>
    <row r="352" spans="2:4" x14ac:dyDescent="0.35">
      <c r="B352" s="314">
        <v>45110</v>
      </c>
      <c r="C352" s="315">
        <v>43903.29</v>
      </c>
      <c r="D352" s="317">
        <f t="shared" si="5"/>
        <v>5.9118252426622275E-2</v>
      </c>
    </row>
    <row r="353" spans="2:4" x14ac:dyDescent="0.35">
      <c r="B353" s="314">
        <v>45104</v>
      </c>
      <c r="C353" s="315">
        <v>41452.68</v>
      </c>
      <c r="D353" s="317">
        <f t="shared" si="5"/>
        <v>1.5973780866596066E-3</v>
      </c>
    </row>
    <row r="354" spans="2:4" x14ac:dyDescent="0.35">
      <c r="B354" s="314">
        <v>45103</v>
      </c>
      <c r="C354" s="315">
        <v>41386.57</v>
      </c>
      <c r="D354" s="317">
        <f t="shared" si="5"/>
        <v>3.233221153414445E-2</v>
      </c>
    </row>
    <row r="355" spans="2:4" x14ac:dyDescent="0.35">
      <c r="B355" s="314">
        <v>45100</v>
      </c>
      <c r="C355" s="315">
        <v>40090.36</v>
      </c>
      <c r="D355" s="317">
        <f t="shared" si="5"/>
        <v>-2.276650347520115E-3</v>
      </c>
    </row>
    <row r="356" spans="2:4" x14ac:dyDescent="0.35">
      <c r="B356" s="314">
        <v>45099</v>
      </c>
      <c r="C356" s="315">
        <v>40181.839999999997</v>
      </c>
      <c r="D356" s="317">
        <f t="shared" si="5"/>
        <v>-1.1911579885141022E-3</v>
      </c>
    </row>
    <row r="357" spans="2:4" x14ac:dyDescent="0.35">
      <c r="B357" s="314">
        <v>45098</v>
      </c>
      <c r="C357" s="315">
        <v>40229.760000000002</v>
      </c>
      <c r="D357" s="317">
        <f t="shared" si="5"/>
        <v>-1.0276651836719108E-2</v>
      </c>
    </row>
    <row r="358" spans="2:4" x14ac:dyDescent="0.35">
      <c r="B358" s="314">
        <v>45097</v>
      </c>
      <c r="C358" s="315">
        <v>40647.480000000003</v>
      </c>
      <c r="D358" s="317">
        <f t="shared" si="5"/>
        <v>-7.3061921823547316E-5</v>
      </c>
    </row>
    <row r="359" spans="2:4" x14ac:dyDescent="0.35">
      <c r="B359" s="314">
        <v>45096</v>
      </c>
      <c r="C359" s="315">
        <v>40650.449999999997</v>
      </c>
      <c r="D359" s="317">
        <f t="shared" si="5"/>
        <v>-1.6573635320510038E-2</v>
      </c>
    </row>
    <row r="360" spans="2:4" x14ac:dyDescent="0.35">
      <c r="B360" s="314">
        <v>45093</v>
      </c>
      <c r="C360" s="315">
        <v>41335.53</v>
      </c>
      <c r="D360" s="317">
        <f t="shared" si="5"/>
        <v>-1.6657609680107432E-3</v>
      </c>
    </row>
    <row r="361" spans="2:4" x14ac:dyDescent="0.35">
      <c r="B361" s="314">
        <v>45092</v>
      </c>
      <c r="C361" s="315">
        <v>41404.5</v>
      </c>
      <c r="D361" s="317">
        <f t="shared" si="5"/>
        <v>-3.1868072871162889E-3</v>
      </c>
    </row>
    <row r="362" spans="2:4" x14ac:dyDescent="0.35">
      <c r="B362" s="314">
        <v>45091</v>
      </c>
      <c r="C362" s="315">
        <v>41536.870000000003</v>
      </c>
      <c r="D362" s="317">
        <f t="shared" si="5"/>
        <v>1.7093539701251714E-5</v>
      </c>
    </row>
    <row r="363" spans="2:4" x14ac:dyDescent="0.35">
      <c r="B363" s="314">
        <v>45090</v>
      </c>
      <c r="C363" s="315">
        <v>41536.160000000003</v>
      </c>
      <c r="D363" s="317">
        <f t="shared" si="5"/>
        <v>-5.6537425611642433E-3</v>
      </c>
    </row>
    <row r="364" spans="2:4" x14ac:dyDescent="0.35">
      <c r="B364" s="314">
        <v>45089</v>
      </c>
      <c r="C364" s="315">
        <v>41772.33</v>
      </c>
      <c r="D364" s="317">
        <f t="shared" si="5"/>
        <v>-3.162640323819188E-3</v>
      </c>
    </row>
    <row r="365" spans="2:4" x14ac:dyDescent="0.35">
      <c r="B365" s="314">
        <v>45086</v>
      </c>
      <c r="C365" s="315">
        <v>41904.86</v>
      </c>
      <c r="D365" s="317">
        <f t="shared" si="5"/>
        <v>5.6827686043534609E-3</v>
      </c>
    </row>
    <row r="366" spans="2:4" x14ac:dyDescent="0.35">
      <c r="B366" s="314">
        <v>45085</v>
      </c>
      <c r="C366" s="315">
        <v>41668.07</v>
      </c>
      <c r="D366" s="317">
        <f t="shared" si="5"/>
        <v>-1.0711261984433729E-2</v>
      </c>
    </row>
    <row r="367" spans="2:4" x14ac:dyDescent="0.35">
      <c r="B367" s="314">
        <v>45084</v>
      </c>
      <c r="C367" s="315">
        <v>42119.22</v>
      </c>
      <c r="D367" s="317">
        <f t="shared" si="5"/>
        <v>4.9230689945429784E-3</v>
      </c>
    </row>
    <row r="368" spans="2:4" x14ac:dyDescent="0.35">
      <c r="B368" s="314">
        <v>45083</v>
      </c>
      <c r="C368" s="315">
        <v>41912.879999999997</v>
      </c>
      <c r="D368" s="317">
        <f t="shared" si="5"/>
        <v>6.5888493181676111E-3</v>
      </c>
    </row>
    <row r="369" spans="2:4" x14ac:dyDescent="0.35">
      <c r="B369" s="314">
        <v>45082</v>
      </c>
      <c r="C369" s="315">
        <v>41638.53</v>
      </c>
      <c r="D369" s="317">
        <f t="shared" si="5"/>
        <v>6.8258139521388816E-3</v>
      </c>
    </row>
    <row r="370" spans="2:4" x14ac:dyDescent="0.35">
      <c r="B370" s="314">
        <v>45079</v>
      </c>
      <c r="C370" s="315">
        <v>41356.239999999998</v>
      </c>
      <c r="D370" s="317">
        <f t="shared" si="5"/>
        <v>1.9993351701759199E-3</v>
      </c>
    </row>
    <row r="371" spans="2:4" x14ac:dyDescent="0.35">
      <c r="B371" s="314">
        <v>45078</v>
      </c>
      <c r="C371" s="315">
        <v>41273.72</v>
      </c>
      <c r="D371" s="317">
        <f t="shared" si="5"/>
        <v>-1.5506381323446838E-3</v>
      </c>
    </row>
    <row r="372" spans="2:4" x14ac:dyDescent="0.35">
      <c r="B372" s="314">
        <v>45077</v>
      </c>
      <c r="C372" s="315">
        <v>41337.82</v>
      </c>
      <c r="D372" s="317">
        <f t="shared" si="5"/>
        <v>-7.8728743083363861E-3</v>
      </c>
    </row>
    <row r="373" spans="2:4" x14ac:dyDescent="0.35">
      <c r="B373" s="314">
        <v>45076</v>
      </c>
      <c r="C373" s="315">
        <v>41665.85</v>
      </c>
      <c r="D373" s="317">
        <f t="shared" si="5"/>
        <v>7.6323601429253429E-3</v>
      </c>
    </row>
    <row r="374" spans="2:4" x14ac:dyDescent="0.35">
      <c r="B374" s="314">
        <v>45075</v>
      </c>
      <c r="C374" s="315">
        <v>41350.25</v>
      </c>
      <c r="D374" s="317">
        <f t="shared" si="5"/>
        <v>8.4787306170828192E-3</v>
      </c>
    </row>
    <row r="375" spans="2:4" x14ac:dyDescent="0.35">
      <c r="B375" s="314">
        <v>45072</v>
      </c>
      <c r="C375" s="315">
        <v>41002.6</v>
      </c>
      <c r="D375" s="317">
        <f t="shared" si="5"/>
        <v>-1.6483931210632408E-3</v>
      </c>
    </row>
    <row r="376" spans="2:4" x14ac:dyDescent="0.35">
      <c r="B376" s="314">
        <v>45071</v>
      </c>
      <c r="C376" s="315">
        <v>41070.300000000003</v>
      </c>
      <c r="D376" s="317">
        <f t="shared" si="5"/>
        <v>-6.8567012697307028E-4</v>
      </c>
    </row>
    <row r="377" spans="2:4" x14ac:dyDescent="0.35">
      <c r="B377" s="314">
        <v>45070</v>
      </c>
      <c r="C377" s="315">
        <v>41098.480000000003</v>
      </c>
      <c r="D377" s="317">
        <f t="shared" si="5"/>
        <v>-4.4142722786366662E-4</v>
      </c>
    </row>
    <row r="378" spans="2:4" x14ac:dyDescent="0.35">
      <c r="B378" s="314">
        <v>45069</v>
      </c>
      <c r="C378" s="315">
        <v>41116.629999999997</v>
      </c>
      <c r="D378" s="317">
        <f t="shared" si="5"/>
        <v>-2.1083160411130564E-3</v>
      </c>
    </row>
    <row r="379" spans="2:4" x14ac:dyDescent="0.35">
      <c r="B379" s="314">
        <v>45068</v>
      </c>
      <c r="C379" s="315">
        <v>41203.5</v>
      </c>
      <c r="D379" s="317">
        <f t="shared" si="5"/>
        <v>-9.8851684506043869E-3</v>
      </c>
    </row>
    <row r="380" spans="2:4" x14ac:dyDescent="0.35">
      <c r="B380" s="314">
        <v>45065</v>
      </c>
      <c r="C380" s="315">
        <v>41614.870000000003</v>
      </c>
      <c r="D380" s="317">
        <f t="shared" si="5"/>
        <v>3.440135801814348E-3</v>
      </c>
    </row>
    <row r="381" spans="2:4" x14ac:dyDescent="0.35">
      <c r="B381" s="314">
        <v>45064</v>
      </c>
      <c r="C381" s="315">
        <v>41472.199999999997</v>
      </c>
      <c r="D381" s="317">
        <f t="shared" si="5"/>
        <v>-8.6856710689015015E-3</v>
      </c>
    </row>
    <row r="382" spans="2:4" x14ac:dyDescent="0.35">
      <c r="B382" s="314">
        <v>45063</v>
      </c>
      <c r="C382" s="315">
        <v>41835.57</v>
      </c>
      <c r="D382" s="317">
        <f t="shared" si="5"/>
        <v>-3.4435338813861849E-3</v>
      </c>
    </row>
    <row r="383" spans="2:4" x14ac:dyDescent="0.35">
      <c r="B383" s="314">
        <v>45062</v>
      </c>
      <c r="C383" s="315">
        <v>41980.13</v>
      </c>
      <c r="D383" s="317">
        <f t="shared" si="5"/>
        <v>6.3253513138521456E-3</v>
      </c>
    </row>
    <row r="384" spans="2:4" x14ac:dyDescent="0.35">
      <c r="B384" s="314">
        <v>45061</v>
      </c>
      <c r="C384" s="315">
        <v>41716.26</v>
      </c>
      <c r="D384" s="317">
        <f t="shared" si="5"/>
        <v>5.5120110645161535E-3</v>
      </c>
    </row>
    <row r="385" spans="2:4" x14ac:dyDescent="0.35">
      <c r="B385" s="314">
        <v>45058</v>
      </c>
      <c r="C385" s="315">
        <v>41487.58</v>
      </c>
      <c r="D385" s="317">
        <f t="shared" si="5"/>
        <v>3.9188755259147445E-3</v>
      </c>
    </row>
    <row r="386" spans="2:4" x14ac:dyDescent="0.35">
      <c r="B386" s="314">
        <v>45057</v>
      </c>
      <c r="C386" s="315">
        <v>41325.629999999997</v>
      </c>
      <c r="D386" s="317">
        <f t="shared" si="5"/>
        <v>6.1029897784417031E-3</v>
      </c>
    </row>
    <row r="387" spans="2:4" x14ac:dyDescent="0.35">
      <c r="B387" s="314">
        <v>45056</v>
      </c>
      <c r="C387" s="315">
        <v>41074.949999999997</v>
      </c>
      <c r="D387" s="317">
        <f t="shared" si="5"/>
        <v>-7.2234101717970622E-3</v>
      </c>
    </row>
    <row r="388" spans="2:4" x14ac:dyDescent="0.35">
      <c r="B388" s="314">
        <v>45055</v>
      </c>
      <c r="C388" s="315">
        <v>41373.81</v>
      </c>
      <c r="D388" s="317">
        <f t="shared" ref="D388:D451" si="6">(C388/C389)-1</f>
        <v>-1.0893749840124811E-2</v>
      </c>
    </row>
    <row r="389" spans="2:4" x14ac:dyDescent="0.35">
      <c r="B389" s="314">
        <v>45054</v>
      </c>
      <c r="C389" s="315">
        <v>41829.49</v>
      </c>
      <c r="D389" s="317">
        <f t="shared" si="6"/>
        <v>-9.7649305264574382E-3</v>
      </c>
    </row>
    <row r="390" spans="2:4" x14ac:dyDescent="0.35">
      <c r="B390" s="314">
        <v>45051</v>
      </c>
      <c r="C390" s="315">
        <v>42241.98</v>
      </c>
      <c r="D390" s="317">
        <f t="shared" si="6"/>
        <v>3.5202333835386845E-3</v>
      </c>
    </row>
    <row r="391" spans="2:4" x14ac:dyDescent="0.35">
      <c r="B391" s="314">
        <v>45050</v>
      </c>
      <c r="C391" s="315">
        <v>42093.8</v>
      </c>
      <c r="D391" s="317">
        <f t="shared" si="6"/>
        <v>1.3946991453384072E-4</v>
      </c>
    </row>
    <row r="392" spans="2:4" x14ac:dyDescent="0.35">
      <c r="B392" s="314">
        <v>45049</v>
      </c>
      <c r="C392" s="315">
        <v>42087.93</v>
      </c>
      <c r="D392" s="317">
        <f t="shared" si="6"/>
        <v>3.8230150802669449E-3</v>
      </c>
    </row>
    <row r="393" spans="2:4" x14ac:dyDescent="0.35">
      <c r="B393" s="314">
        <v>45048</v>
      </c>
      <c r="C393" s="315">
        <v>41927.64</v>
      </c>
      <c r="D393" s="317">
        <f t="shared" si="6"/>
        <v>8.3401373468796614E-3</v>
      </c>
    </row>
    <row r="394" spans="2:4" x14ac:dyDescent="0.35">
      <c r="B394" s="314">
        <v>45044</v>
      </c>
      <c r="C394" s="315">
        <v>41580.85</v>
      </c>
      <c r="D394" s="317">
        <f t="shared" si="6"/>
        <v>2.8202839529605228E-3</v>
      </c>
    </row>
    <row r="395" spans="2:4" x14ac:dyDescent="0.35">
      <c r="B395" s="314">
        <v>45043</v>
      </c>
      <c r="C395" s="315">
        <v>41463.910000000003</v>
      </c>
      <c r="D395" s="317">
        <f t="shared" si="6"/>
        <v>8.8645674724656676E-3</v>
      </c>
    </row>
    <row r="396" spans="2:4" x14ac:dyDescent="0.35">
      <c r="B396" s="314">
        <v>45042</v>
      </c>
      <c r="C396" s="315">
        <v>41099.58</v>
      </c>
      <c r="D396" s="317">
        <f t="shared" si="6"/>
        <v>2.2376219950244192E-3</v>
      </c>
    </row>
    <row r="397" spans="2:4" x14ac:dyDescent="0.35">
      <c r="B397" s="314">
        <v>45036</v>
      </c>
      <c r="C397" s="315">
        <v>41007.82</v>
      </c>
      <c r="D397" s="317">
        <f t="shared" si="6"/>
        <v>1.2555266332735293E-2</v>
      </c>
    </row>
    <row r="398" spans="2:4" x14ac:dyDescent="0.35">
      <c r="B398" s="314">
        <v>45035</v>
      </c>
      <c r="C398" s="315">
        <v>40499.339999999997</v>
      </c>
      <c r="D398" s="317">
        <f t="shared" si="6"/>
        <v>1.2680462964220762E-3</v>
      </c>
    </row>
    <row r="399" spans="2:4" x14ac:dyDescent="0.35">
      <c r="B399" s="314">
        <v>45034</v>
      </c>
      <c r="C399" s="315">
        <v>40448.050000000003</v>
      </c>
      <c r="D399" s="317">
        <f t="shared" si="6"/>
        <v>5.003893490789002E-3</v>
      </c>
    </row>
    <row r="400" spans="2:4" x14ac:dyDescent="0.35">
      <c r="B400" s="314">
        <v>45033</v>
      </c>
      <c r="C400" s="315">
        <v>40246.660000000003</v>
      </c>
      <c r="D400" s="317">
        <f t="shared" si="6"/>
        <v>1.0227446267356832E-3</v>
      </c>
    </row>
    <row r="401" spans="2:4" x14ac:dyDescent="0.35">
      <c r="B401" s="314">
        <v>45029</v>
      </c>
      <c r="C401" s="315">
        <v>40205.54</v>
      </c>
      <c r="D401" s="317">
        <f t="shared" si="6"/>
        <v>1.9810073505863723E-3</v>
      </c>
    </row>
    <row r="402" spans="2:4" x14ac:dyDescent="0.35">
      <c r="B402" s="314">
        <v>45028</v>
      </c>
      <c r="C402" s="315">
        <v>40126.050000000003</v>
      </c>
      <c r="D402" s="317">
        <f t="shared" si="6"/>
        <v>8.0729139842998787E-3</v>
      </c>
    </row>
    <row r="403" spans="2:4" x14ac:dyDescent="0.35">
      <c r="B403" s="314">
        <v>45027</v>
      </c>
      <c r="C403" s="315">
        <v>39804.71</v>
      </c>
      <c r="D403" s="317">
        <f t="shared" si="6"/>
        <v>-7.8296210202366545E-4</v>
      </c>
    </row>
    <row r="404" spans="2:4" x14ac:dyDescent="0.35">
      <c r="B404" s="314">
        <v>45026</v>
      </c>
      <c r="C404" s="315">
        <v>39835.9</v>
      </c>
      <c r="D404" s="317">
        <f t="shared" si="6"/>
        <v>-5.3371252932298274E-3</v>
      </c>
    </row>
    <row r="405" spans="2:4" x14ac:dyDescent="0.35">
      <c r="B405" s="314">
        <v>45023</v>
      </c>
      <c r="C405" s="315">
        <v>40049.65</v>
      </c>
      <c r="D405" s="317">
        <f t="shared" si="6"/>
        <v>-7.465510673990039E-3</v>
      </c>
    </row>
    <row r="406" spans="2:4" x14ac:dyDescent="0.35">
      <c r="B406" s="314">
        <v>45022</v>
      </c>
      <c r="C406" s="315">
        <v>40350.89</v>
      </c>
      <c r="D406" s="317">
        <f t="shared" si="6"/>
        <v>1.5956331207047869E-2</v>
      </c>
    </row>
    <row r="407" spans="2:4" x14ac:dyDescent="0.35">
      <c r="B407" s="314">
        <v>45021</v>
      </c>
      <c r="C407" s="315">
        <v>39717.15</v>
      </c>
      <c r="D407" s="317">
        <f t="shared" si="6"/>
        <v>7.5313841267954373E-4</v>
      </c>
    </row>
    <row r="408" spans="2:4" x14ac:dyDescent="0.35">
      <c r="B408" s="314">
        <v>45020</v>
      </c>
      <c r="C408" s="315">
        <v>39687.26</v>
      </c>
      <c r="D408" s="317">
        <f t="shared" si="6"/>
        <v>-5.0799826522502922E-3</v>
      </c>
    </row>
    <row r="409" spans="2:4" x14ac:dyDescent="0.35">
      <c r="B409" s="314">
        <v>45019</v>
      </c>
      <c r="C409" s="315">
        <v>39889.9</v>
      </c>
      <c r="D409" s="317">
        <f t="shared" si="6"/>
        <v>-2.7731924562565125E-3</v>
      </c>
    </row>
    <row r="410" spans="2:4" x14ac:dyDescent="0.35">
      <c r="B410" s="314">
        <v>45016</v>
      </c>
      <c r="C410" s="315">
        <v>40000.83</v>
      </c>
      <c r="D410" s="317">
        <f t="shared" si="6"/>
        <v>3.8265072455949678E-3</v>
      </c>
    </row>
    <row r="411" spans="2:4" x14ac:dyDescent="0.35">
      <c r="B411" s="314">
        <v>45015</v>
      </c>
      <c r="C411" s="315">
        <v>39848.35</v>
      </c>
      <c r="D411" s="317">
        <f t="shared" si="6"/>
        <v>-7.9087479930362026E-4</v>
      </c>
    </row>
    <row r="412" spans="2:4" x14ac:dyDescent="0.35">
      <c r="B412" s="314">
        <v>45014</v>
      </c>
      <c r="C412" s="315">
        <v>39879.89</v>
      </c>
      <c r="D412" s="317">
        <f t="shared" si="6"/>
        <v>-5.0515974978526668E-3</v>
      </c>
    </row>
    <row r="413" spans="2:4" x14ac:dyDescent="0.35">
      <c r="B413" s="314">
        <v>45013</v>
      </c>
      <c r="C413" s="315">
        <v>40082.370000000003</v>
      </c>
      <c r="D413" s="317">
        <f t="shared" si="6"/>
        <v>2.0499810376755079E-3</v>
      </c>
    </row>
    <row r="414" spans="2:4" x14ac:dyDescent="0.35">
      <c r="B414" s="314">
        <v>45012</v>
      </c>
      <c r="C414" s="315">
        <v>40000.370000000003</v>
      </c>
      <c r="D414" s="317">
        <f t="shared" si="6"/>
        <v>1.4601153421018864E-3</v>
      </c>
    </row>
    <row r="415" spans="2:4" x14ac:dyDescent="0.35">
      <c r="B415" s="314">
        <v>45009</v>
      </c>
      <c r="C415" s="315">
        <v>39942.050000000003</v>
      </c>
      <c r="D415" s="317">
        <f t="shared" si="6"/>
        <v>-1.0750171512355022E-2</v>
      </c>
    </row>
    <row r="416" spans="2:4" x14ac:dyDescent="0.35">
      <c r="B416" s="314">
        <v>45007</v>
      </c>
      <c r="C416" s="315">
        <v>40376.1</v>
      </c>
      <c r="D416" s="317">
        <f t="shared" si="6"/>
        <v>-1.2277514691283797E-2</v>
      </c>
    </row>
    <row r="417" spans="2:4" x14ac:dyDescent="0.35">
      <c r="B417" s="314">
        <v>45006</v>
      </c>
      <c r="C417" s="315">
        <v>40877.980000000003</v>
      </c>
      <c r="D417" s="317">
        <f t="shared" si="6"/>
        <v>-9.8904039620251183E-4</v>
      </c>
    </row>
    <row r="418" spans="2:4" x14ac:dyDescent="0.35">
      <c r="B418" s="314">
        <v>45005</v>
      </c>
      <c r="C418" s="315">
        <v>40918.449999999997</v>
      </c>
      <c r="D418" s="317">
        <f t="shared" si="6"/>
        <v>-9.9564601457297064E-3</v>
      </c>
    </row>
    <row r="419" spans="2:4" x14ac:dyDescent="0.35">
      <c r="B419" s="314">
        <v>45002</v>
      </c>
      <c r="C419" s="315">
        <v>41329.949999999997</v>
      </c>
      <c r="D419" s="317">
        <f t="shared" si="6"/>
        <v>-8.7336118860010803E-3</v>
      </c>
    </row>
    <row r="420" spans="2:4" x14ac:dyDescent="0.35">
      <c r="B420" s="314">
        <v>45001</v>
      </c>
      <c r="C420" s="315">
        <v>41694.089999999997</v>
      </c>
      <c r="D420" s="317">
        <f t="shared" si="6"/>
        <v>-4.2974119526084653E-3</v>
      </c>
    </row>
    <row r="421" spans="2:4" x14ac:dyDescent="0.35">
      <c r="B421" s="314">
        <v>45000</v>
      </c>
      <c r="C421" s="315">
        <v>41874.04</v>
      </c>
      <c r="D421" s="317">
        <f t="shared" si="6"/>
        <v>1.3776881479361514E-3</v>
      </c>
    </row>
    <row r="422" spans="2:4" x14ac:dyDescent="0.35">
      <c r="B422" s="314">
        <v>44999</v>
      </c>
      <c r="C422" s="315">
        <v>41816.43</v>
      </c>
      <c r="D422" s="317">
        <f t="shared" si="6"/>
        <v>-9.6567228542043804E-4</v>
      </c>
    </row>
    <row r="423" spans="2:4" x14ac:dyDescent="0.35">
      <c r="B423" s="314">
        <v>44998</v>
      </c>
      <c r="C423" s="315">
        <v>41856.85</v>
      </c>
      <c r="D423" s="317">
        <f t="shared" si="6"/>
        <v>1.5069195554275883E-3</v>
      </c>
    </row>
    <row r="424" spans="2:4" x14ac:dyDescent="0.35">
      <c r="B424" s="314">
        <v>44995</v>
      </c>
      <c r="C424" s="315">
        <v>41793.870000000003</v>
      </c>
      <c r="D424" s="317">
        <f t="shared" si="6"/>
        <v>5.0096740357346015E-3</v>
      </c>
    </row>
    <row r="425" spans="2:4" x14ac:dyDescent="0.35">
      <c r="B425" s="314">
        <v>44994</v>
      </c>
      <c r="C425" s="315">
        <v>41585.54</v>
      </c>
      <c r="D425" s="317">
        <f t="shared" si="6"/>
        <v>5.4791069304742646E-3</v>
      </c>
    </row>
    <row r="426" spans="2:4" x14ac:dyDescent="0.35">
      <c r="B426" s="314">
        <v>44993</v>
      </c>
      <c r="C426" s="315">
        <v>41358.93</v>
      </c>
      <c r="D426" s="317">
        <f t="shared" si="6"/>
        <v>5.8643236467958992E-4</v>
      </c>
    </row>
    <row r="427" spans="2:4" x14ac:dyDescent="0.35">
      <c r="B427" s="314">
        <v>44992</v>
      </c>
      <c r="C427" s="315">
        <v>41334.69</v>
      </c>
      <c r="D427" s="317">
        <f t="shared" si="6"/>
        <v>-2.4047691853590347E-3</v>
      </c>
    </row>
    <row r="428" spans="2:4" x14ac:dyDescent="0.35">
      <c r="B428" s="314">
        <v>44991</v>
      </c>
      <c r="C428" s="315">
        <v>41434.33</v>
      </c>
      <c r="D428" s="317">
        <f t="shared" si="6"/>
        <v>2.3545491932168705E-3</v>
      </c>
    </row>
    <row r="429" spans="2:4" x14ac:dyDescent="0.35">
      <c r="B429" s="314">
        <v>44988</v>
      </c>
      <c r="C429" s="315">
        <v>41337</v>
      </c>
      <c r="D429" s="317">
        <f t="shared" si="6"/>
        <v>1.6378303100400116E-2</v>
      </c>
    </row>
    <row r="430" spans="2:4" x14ac:dyDescent="0.35">
      <c r="B430" s="314">
        <v>44987</v>
      </c>
      <c r="C430" s="315">
        <v>40670.879999999997</v>
      </c>
      <c r="D430" s="317">
        <f t="shared" si="6"/>
        <v>6.3868425747604096E-3</v>
      </c>
    </row>
    <row r="431" spans="2:4" x14ac:dyDescent="0.35">
      <c r="B431" s="314">
        <v>44986</v>
      </c>
      <c r="C431" s="315">
        <v>40412.769999999997</v>
      </c>
      <c r="D431" s="317">
        <f t="shared" si="6"/>
        <v>-2.4092596537628186E-3</v>
      </c>
    </row>
    <row r="432" spans="2:4" x14ac:dyDescent="0.35">
      <c r="B432" s="314">
        <v>44985</v>
      </c>
      <c r="C432" s="315">
        <v>40510.370000000003</v>
      </c>
      <c r="D432" s="317">
        <f t="shared" si="6"/>
        <v>-6.7124148535225858E-3</v>
      </c>
    </row>
    <row r="433" spans="2:4" x14ac:dyDescent="0.35">
      <c r="B433" s="314">
        <v>44984</v>
      </c>
      <c r="C433" s="315">
        <v>40784.129999999997</v>
      </c>
      <c r="D433" s="317">
        <f t="shared" si="6"/>
        <v>1.8760550813898824E-3</v>
      </c>
    </row>
    <row r="434" spans="2:4" x14ac:dyDescent="0.35">
      <c r="B434" s="314">
        <v>44981</v>
      </c>
      <c r="C434" s="315">
        <v>40707.760000000002</v>
      </c>
      <c r="D434" s="317">
        <f t="shared" si="6"/>
        <v>-3.2016349274250899E-3</v>
      </c>
    </row>
    <row r="435" spans="2:4" x14ac:dyDescent="0.35">
      <c r="B435" s="314">
        <v>44980</v>
      </c>
      <c r="C435" s="315">
        <v>40838.51</v>
      </c>
      <c r="D435" s="317">
        <f t="shared" si="6"/>
        <v>-7.9939078304296363E-3</v>
      </c>
    </row>
    <row r="436" spans="2:4" x14ac:dyDescent="0.35">
      <c r="B436" s="314">
        <v>44979</v>
      </c>
      <c r="C436" s="315">
        <v>41167.599999999999</v>
      </c>
      <c r="D436" s="317">
        <f t="shared" si="6"/>
        <v>5.3177252951415177E-3</v>
      </c>
    </row>
    <row r="437" spans="2:4" x14ac:dyDescent="0.35">
      <c r="B437" s="314">
        <v>44978</v>
      </c>
      <c r="C437" s="315">
        <v>40949.839999999997</v>
      </c>
      <c r="D437" s="317">
        <f t="shared" si="6"/>
        <v>6.7906388511083104E-3</v>
      </c>
    </row>
    <row r="438" spans="2:4" x14ac:dyDescent="0.35">
      <c r="B438" s="314">
        <v>44977</v>
      </c>
      <c r="C438" s="315">
        <v>40673.64</v>
      </c>
      <c r="D438" s="317">
        <f t="shared" si="6"/>
        <v>-1.0821620672488708E-2</v>
      </c>
    </row>
    <row r="439" spans="2:4" x14ac:dyDescent="0.35">
      <c r="B439" s="314">
        <v>44974</v>
      </c>
      <c r="C439" s="315">
        <v>41118.61</v>
      </c>
      <c r="D439" s="317">
        <f t="shared" si="6"/>
        <v>9.7276809242763385E-4</v>
      </c>
    </row>
    <row r="440" spans="2:4" x14ac:dyDescent="0.35">
      <c r="B440" s="314">
        <v>44973</v>
      </c>
      <c r="C440" s="315">
        <v>41078.65</v>
      </c>
      <c r="D440" s="317">
        <f t="shared" si="6"/>
        <v>-6.0057807454475531E-3</v>
      </c>
    </row>
    <row r="441" spans="2:4" x14ac:dyDescent="0.35">
      <c r="B441" s="314">
        <v>44972</v>
      </c>
      <c r="C441" s="315">
        <v>41326.85</v>
      </c>
      <c r="D441" s="317">
        <f t="shared" si="6"/>
        <v>4.2937864640135714E-3</v>
      </c>
    </row>
    <row r="442" spans="2:4" x14ac:dyDescent="0.35">
      <c r="B442" s="314">
        <v>44971</v>
      </c>
      <c r="C442" s="315">
        <v>41150.160000000003</v>
      </c>
      <c r="D442" s="317">
        <f t="shared" si="6"/>
        <v>-1.3586563734884538E-2</v>
      </c>
    </row>
    <row r="443" spans="2:4" x14ac:dyDescent="0.35">
      <c r="B443" s="314">
        <v>44970</v>
      </c>
      <c r="C443" s="315">
        <v>41716.949999999997</v>
      </c>
      <c r="D443" s="317">
        <f t="shared" si="6"/>
        <v>-5.9484765623318836E-4</v>
      </c>
    </row>
    <row r="444" spans="2:4" x14ac:dyDescent="0.35">
      <c r="B444" s="314">
        <v>44967</v>
      </c>
      <c r="C444" s="315">
        <v>41741.78</v>
      </c>
      <c r="D444" s="317">
        <f t="shared" si="6"/>
        <v>-1.7067770216539602E-2</v>
      </c>
    </row>
    <row r="445" spans="2:4" x14ac:dyDescent="0.35">
      <c r="B445" s="314">
        <v>44966</v>
      </c>
      <c r="C445" s="315">
        <v>42466.59</v>
      </c>
      <c r="D445" s="317">
        <f t="shared" si="6"/>
        <v>1.7814258309261977E-2</v>
      </c>
    </row>
    <row r="446" spans="2:4" x14ac:dyDescent="0.35">
      <c r="B446" s="314">
        <v>44965</v>
      </c>
      <c r="C446" s="315">
        <v>41723.32</v>
      </c>
      <c r="D446" s="317">
        <f t="shared" si="6"/>
        <v>4.8301220824433777E-3</v>
      </c>
    </row>
    <row r="447" spans="2:4" x14ac:dyDescent="0.35">
      <c r="B447" s="314">
        <v>44964</v>
      </c>
      <c r="C447" s="315">
        <v>41522.76</v>
      </c>
      <c r="D447" s="317">
        <f t="shared" si="6"/>
        <v>8.0598153421265195E-3</v>
      </c>
    </row>
    <row r="448" spans="2:4" x14ac:dyDescent="0.35">
      <c r="B448" s="314">
        <v>44963</v>
      </c>
      <c r="C448" s="315">
        <v>41190.769999999997</v>
      </c>
      <c r="D448" s="317">
        <f t="shared" si="6"/>
        <v>1.7780809840884038E-2</v>
      </c>
    </row>
    <row r="449" spans="2:4" x14ac:dyDescent="0.35">
      <c r="B449" s="314">
        <v>44960</v>
      </c>
      <c r="C449" s="315">
        <v>40471.160000000003</v>
      </c>
      <c r="D449" s="317">
        <f t="shared" si="6"/>
        <v>-6.4406430970470607E-3</v>
      </c>
    </row>
    <row r="450" spans="2:4" x14ac:dyDescent="0.35">
      <c r="B450" s="314">
        <v>44959</v>
      </c>
      <c r="C450" s="315">
        <v>40733.51</v>
      </c>
      <c r="D450" s="317">
        <f t="shared" si="6"/>
        <v>2.795917473044085E-3</v>
      </c>
    </row>
    <row r="451" spans="2:4" x14ac:dyDescent="0.35">
      <c r="B451" s="314">
        <v>44958</v>
      </c>
      <c r="C451" s="315">
        <v>40619.94</v>
      </c>
      <c r="D451" s="317">
        <f t="shared" si="6"/>
        <v>-1.3060241840666675E-3</v>
      </c>
    </row>
    <row r="452" spans="2:4" x14ac:dyDescent="0.35">
      <c r="B452" s="314">
        <v>44957</v>
      </c>
      <c r="C452" s="315">
        <v>40673.06</v>
      </c>
      <c r="D452" s="317">
        <f t="shared" ref="D452:D515" si="7">(C452/C453)-1</f>
        <v>2.0109467293116134E-2</v>
      </c>
    </row>
    <row r="453" spans="2:4" x14ac:dyDescent="0.35">
      <c r="B453" s="314">
        <v>44956</v>
      </c>
      <c r="C453" s="315">
        <v>39871.269999999997</v>
      </c>
      <c r="D453" s="317">
        <f t="shared" si="7"/>
        <v>-1.4320207918165795E-2</v>
      </c>
    </row>
    <row r="454" spans="2:4" x14ac:dyDescent="0.35">
      <c r="B454" s="314">
        <v>44953</v>
      </c>
      <c r="C454" s="315">
        <v>40450.53</v>
      </c>
      <c r="D454" s="317">
        <f t="shared" si="7"/>
        <v>-9.6948259742014598E-3</v>
      </c>
    </row>
    <row r="455" spans="2:4" x14ac:dyDescent="0.35">
      <c r="B455" s="314">
        <v>44952</v>
      </c>
      <c r="C455" s="315">
        <v>40846.53</v>
      </c>
      <c r="D455" s="317">
        <f t="shared" si="7"/>
        <v>2.6684244524932677E-2</v>
      </c>
    </row>
    <row r="456" spans="2:4" x14ac:dyDescent="0.35">
      <c r="B456" s="314">
        <v>44951</v>
      </c>
      <c r="C456" s="315">
        <v>39784.9</v>
      </c>
      <c r="D456" s="317">
        <f t="shared" si="7"/>
        <v>1.8672074334955324E-2</v>
      </c>
    </row>
    <row r="457" spans="2:4" x14ac:dyDescent="0.35">
      <c r="B457" s="314">
        <v>44950</v>
      </c>
      <c r="C457" s="315">
        <v>39055.65</v>
      </c>
      <c r="D457" s="317">
        <f t="shared" si="7"/>
        <v>1.5920989689048426E-2</v>
      </c>
    </row>
    <row r="458" spans="2:4" x14ac:dyDescent="0.35">
      <c r="B458" s="314">
        <v>44949</v>
      </c>
      <c r="C458" s="315">
        <v>38443.589999999997</v>
      </c>
      <c r="D458" s="317">
        <f t="shared" si="7"/>
        <v>9.2715107641683225E-4</v>
      </c>
    </row>
    <row r="459" spans="2:4" x14ac:dyDescent="0.35">
      <c r="B459" s="314">
        <v>44946</v>
      </c>
      <c r="C459" s="315">
        <v>38407.980000000003</v>
      </c>
      <c r="D459" s="317">
        <f t="shared" si="7"/>
        <v>-1.0908647034192254E-2</v>
      </c>
    </row>
    <row r="460" spans="2:4" x14ac:dyDescent="0.35">
      <c r="B460" s="314">
        <v>44945</v>
      </c>
      <c r="C460" s="315">
        <v>38831.58</v>
      </c>
      <c r="D460" s="317">
        <f t="shared" si="7"/>
        <v>1.0437963975749032E-3</v>
      </c>
    </row>
    <row r="461" spans="2:4" x14ac:dyDescent="0.35">
      <c r="B461" s="314">
        <v>44944</v>
      </c>
      <c r="C461" s="315">
        <v>38791.089999999997</v>
      </c>
      <c r="D461" s="317">
        <f t="shared" si="7"/>
        <v>1.1707202062687605E-2</v>
      </c>
    </row>
    <row r="462" spans="2:4" x14ac:dyDescent="0.35">
      <c r="B462" s="314">
        <v>44943</v>
      </c>
      <c r="C462" s="315">
        <v>38342.21</v>
      </c>
      <c r="D462" s="317">
        <f t="shared" si="7"/>
        <v>-3.4705789795006381E-2</v>
      </c>
    </row>
    <row r="463" spans="2:4" x14ac:dyDescent="0.35">
      <c r="B463" s="314">
        <v>44942</v>
      </c>
      <c r="C463" s="315">
        <v>39720.75</v>
      </c>
      <c r="D463" s="317">
        <f t="shared" si="7"/>
        <v>-1.4946637750489988E-2</v>
      </c>
    </row>
    <row r="464" spans="2:4" x14ac:dyDescent="0.35">
      <c r="B464" s="314">
        <v>44939</v>
      </c>
      <c r="C464" s="315">
        <v>40323.449999999997</v>
      </c>
      <c r="D464" s="317">
        <f t="shared" si="7"/>
        <v>-1.1774367590933199E-2</v>
      </c>
    </row>
    <row r="465" spans="2:4" x14ac:dyDescent="0.35">
      <c r="B465" s="314">
        <v>44938</v>
      </c>
      <c r="C465" s="315">
        <v>40803.89</v>
      </c>
      <c r="D465" s="317">
        <f t="shared" si="7"/>
        <v>1.1210014181195493E-3</v>
      </c>
    </row>
    <row r="466" spans="2:4" x14ac:dyDescent="0.35">
      <c r="B466" s="314">
        <v>44937</v>
      </c>
      <c r="C466" s="315">
        <v>40758.199999999997</v>
      </c>
      <c r="D466" s="317">
        <f t="shared" si="7"/>
        <v>-1.0612354937932222E-3</v>
      </c>
    </row>
    <row r="467" spans="2:4" x14ac:dyDescent="0.35">
      <c r="B467" s="314">
        <v>44936</v>
      </c>
      <c r="C467" s="315">
        <v>40801.5</v>
      </c>
      <c r="D467" s="317">
        <f t="shared" si="7"/>
        <v>7.3260525429603707E-3</v>
      </c>
    </row>
    <row r="468" spans="2:4" x14ac:dyDescent="0.35">
      <c r="B468" s="314">
        <v>44935</v>
      </c>
      <c r="C468" s="315">
        <v>40504.76</v>
      </c>
      <c r="D468" s="317">
        <f t="shared" si="7"/>
        <v>-1.2260190326066844E-2</v>
      </c>
    </row>
    <row r="469" spans="2:4" x14ac:dyDescent="0.35">
      <c r="B469" s="314">
        <v>44932</v>
      </c>
      <c r="C469" s="315">
        <v>41007.519999999997</v>
      </c>
      <c r="D469" s="317">
        <f t="shared" si="7"/>
        <v>7.1415344155745242E-3</v>
      </c>
    </row>
    <row r="470" spans="2:4" x14ac:dyDescent="0.35">
      <c r="B470" s="314">
        <v>44931</v>
      </c>
      <c r="C470" s="315">
        <v>40716.74</v>
      </c>
      <c r="D470" s="317">
        <f t="shared" si="7"/>
        <v>4.3769872691437062E-3</v>
      </c>
    </row>
    <row r="471" spans="2:4" x14ac:dyDescent="0.35">
      <c r="B471" s="314">
        <v>44930</v>
      </c>
      <c r="C471" s="315">
        <v>40539.300000000003</v>
      </c>
      <c r="D471" s="317">
        <f t="shared" si="7"/>
        <v>-2.2480571312682995E-3</v>
      </c>
    </row>
    <row r="472" spans="2:4" x14ac:dyDescent="0.35">
      <c r="B472" s="314">
        <v>44929</v>
      </c>
      <c r="C472" s="315">
        <v>40630.639999999999</v>
      </c>
      <c r="D472" s="317">
        <f t="shared" si="7"/>
        <v>-4.5389174316872172E-3</v>
      </c>
    </row>
    <row r="473" spans="2:4" x14ac:dyDescent="0.35">
      <c r="B473" s="314">
        <v>44928</v>
      </c>
      <c r="C473" s="315">
        <v>40815.9</v>
      </c>
      <c r="D473" s="317">
        <f t="shared" si="7"/>
        <v>9.7834140886605692E-3</v>
      </c>
    </row>
    <row r="474" spans="2:4" x14ac:dyDescent="0.35">
      <c r="B474" s="314">
        <v>44925</v>
      </c>
      <c r="C474" s="315">
        <v>40420.449999999997</v>
      </c>
      <c r="D474" s="317">
        <f t="shared" si="7"/>
        <v>1.6934462297486519E-2</v>
      </c>
    </row>
    <row r="475" spans="2:4" x14ac:dyDescent="0.35">
      <c r="B475" s="314">
        <v>44924</v>
      </c>
      <c r="C475" s="315">
        <v>39747.35</v>
      </c>
      <c r="D475" s="317">
        <f t="shared" si="7"/>
        <v>1.1912596491344241E-2</v>
      </c>
    </row>
    <row r="476" spans="2:4" x14ac:dyDescent="0.35">
      <c r="B476" s="314">
        <v>44923</v>
      </c>
      <c r="C476" s="315">
        <v>39279.43</v>
      </c>
      <c r="D476" s="317">
        <f t="shared" si="7"/>
        <v>-1.3151802217476138E-2</v>
      </c>
    </row>
    <row r="477" spans="2:4" x14ac:dyDescent="0.35">
      <c r="B477" s="314">
        <v>44922</v>
      </c>
      <c r="C477" s="315">
        <v>39802.910000000003</v>
      </c>
      <c r="D477" s="317">
        <f t="shared" si="7"/>
        <v>-8.7722225487334438E-3</v>
      </c>
    </row>
    <row r="478" spans="2:4" x14ac:dyDescent="0.35">
      <c r="B478" s="314">
        <v>44921</v>
      </c>
      <c r="C478" s="315">
        <v>40155.160000000003</v>
      </c>
      <c r="D478" s="317">
        <f t="shared" si="7"/>
        <v>1.2250310064231273E-2</v>
      </c>
    </row>
    <row r="479" spans="2:4" x14ac:dyDescent="0.35">
      <c r="B479" s="314">
        <v>44918</v>
      </c>
      <c r="C479" s="315">
        <v>39669.199999999997</v>
      </c>
      <c r="D479" s="317">
        <f t="shared" si="7"/>
        <v>-4.2454088813462798E-3</v>
      </c>
    </row>
    <row r="480" spans="2:4" x14ac:dyDescent="0.35">
      <c r="B480" s="314">
        <v>44917</v>
      </c>
      <c r="C480" s="315">
        <v>39838.33</v>
      </c>
      <c r="D480" s="317">
        <f t="shared" si="7"/>
        <v>1.2592872562234403E-2</v>
      </c>
    </row>
    <row r="481" spans="2:4" x14ac:dyDescent="0.35">
      <c r="B481" s="314">
        <v>44916</v>
      </c>
      <c r="C481" s="315">
        <v>39342.89</v>
      </c>
      <c r="D481" s="317">
        <f t="shared" si="7"/>
        <v>-1.2290481755453109E-2</v>
      </c>
    </row>
    <row r="482" spans="2:4" x14ac:dyDescent="0.35">
      <c r="B482" s="314">
        <v>44915</v>
      </c>
      <c r="C482" s="315">
        <v>39832.449999999997</v>
      </c>
      <c r="D482" s="317">
        <f t="shared" si="7"/>
        <v>-2.7784896665480563E-2</v>
      </c>
    </row>
    <row r="483" spans="2:4" x14ac:dyDescent="0.35">
      <c r="B483" s="314">
        <v>44914</v>
      </c>
      <c r="C483" s="315">
        <v>40970.82</v>
      </c>
      <c r="D483" s="317">
        <f t="shared" si="7"/>
        <v>-8.006008501390327E-3</v>
      </c>
    </row>
    <row r="484" spans="2:4" x14ac:dyDescent="0.35">
      <c r="B484" s="314">
        <v>44911</v>
      </c>
      <c r="C484" s="315">
        <v>41301.480000000003</v>
      </c>
      <c r="D484" s="317">
        <f t="shared" si="7"/>
        <v>2.9558210149840392E-3</v>
      </c>
    </row>
    <row r="485" spans="2:4" x14ac:dyDescent="0.35">
      <c r="B485" s="314">
        <v>44910</v>
      </c>
      <c r="C485" s="315">
        <v>41179.760000000002</v>
      </c>
      <c r="D485" s="317">
        <f t="shared" si="7"/>
        <v>-1.3365879511098133E-2</v>
      </c>
    </row>
    <row r="486" spans="2:4" x14ac:dyDescent="0.35">
      <c r="B486" s="314">
        <v>44909</v>
      </c>
      <c r="C486" s="315">
        <v>41737.620000000003</v>
      </c>
      <c r="D486" s="317">
        <f t="shared" si="7"/>
        <v>5.5904090443803511E-4</v>
      </c>
    </row>
    <row r="487" spans="2:4" x14ac:dyDescent="0.35">
      <c r="B487" s="314">
        <v>44908</v>
      </c>
      <c r="C487" s="315">
        <v>41714.300000000003</v>
      </c>
      <c r="D487" s="317">
        <f t="shared" si="7"/>
        <v>4.1826600755165977E-3</v>
      </c>
    </row>
    <row r="488" spans="2:4" x14ac:dyDescent="0.35">
      <c r="B488" s="314">
        <v>44907</v>
      </c>
      <c r="C488" s="315">
        <v>41540.550000000003</v>
      </c>
      <c r="D488" s="317">
        <f t="shared" si="7"/>
        <v>-3.7826500277707842E-3</v>
      </c>
    </row>
    <row r="489" spans="2:4" x14ac:dyDescent="0.35">
      <c r="B489" s="314">
        <v>44904</v>
      </c>
      <c r="C489" s="315">
        <v>41698.28</v>
      </c>
      <c r="D489" s="317">
        <f t="shared" si="7"/>
        <v>1.1204848984227578E-3</v>
      </c>
    </row>
    <row r="490" spans="2:4" x14ac:dyDescent="0.35">
      <c r="B490" s="314">
        <v>44903</v>
      </c>
      <c r="C490" s="315">
        <v>41651.61</v>
      </c>
      <c r="D490" s="317">
        <f t="shared" si="7"/>
        <v>-4.009632875163649E-3</v>
      </c>
    </row>
    <row r="491" spans="2:4" x14ac:dyDescent="0.35">
      <c r="B491" s="314">
        <v>44902</v>
      </c>
      <c r="C491" s="315">
        <v>41819.29</v>
      </c>
      <c r="D491" s="317">
        <f t="shared" si="7"/>
        <v>6.7248532376309456E-3</v>
      </c>
    </row>
    <row r="492" spans="2:4" x14ac:dyDescent="0.35">
      <c r="B492" s="314">
        <v>44901</v>
      </c>
      <c r="C492" s="315">
        <v>41539.94</v>
      </c>
      <c r="D492" s="317">
        <f t="shared" si="7"/>
        <v>-1.7477849895235487E-3</v>
      </c>
    </row>
    <row r="493" spans="2:4" x14ac:dyDescent="0.35">
      <c r="B493" s="314">
        <v>44900</v>
      </c>
      <c r="C493" s="315">
        <v>41612.67</v>
      </c>
      <c r="D493" s="317">
        <f t="shared" si="7"/>
        <v>-1.2750384933843617E-2</v>
      </c>
    </row>
    <row r="494" spans="2:4" x14ac:dyDescent="0.35">
      <c r="B494" s="314">
        <v>44897</v>
      </c>
      <c r="C494" s="315">
        <v>42150.1</v>
      </c>
      <c r="D494" s="317">
        <f t="shared" si="7"/>
        <v>-5.7419152738437118E-3</v>
      </c>
    </row>
    <row r="495" spans="2:4" x14ac:dyDescent="0.35">
      <c r="B495" s="314">
        <v>44896</v>
      </c>
      <c r="C495" s="315">
        <v>42393.52</v>
      </c>
      <c r="D495" s="317">
        <f t="shared" si="7"/>
        <v>1.0600106780314089E-3</v>
      </c>
    </row>
    <row r="496" spans="2:4" x14ac:dyDescent="0.35">
      <c r="B496" s="314">
        <v>44895</v>
      </c>
      <c r="C496" s="315">
        <v>42348.63</v>
      </c>
      <c r="D496" s="317">
        <f t="shared" si="7"/>
        <v>-5.8904614879218276E-4</v>
      </c>
    </row>
    <row r="497" spans="2:4" x14ac:dyDescent="0.35">
      <c r="B497" s="316">
        <v>44894</v>
      </c>
      <c r="C497" s="315">
        <v>42373.59</v>
      </c>
      <c r="D497" s="317">
        <f t="shared" si="7"/>
        <v>7.184225651001297E-3</v>
      </c>
    </row>
    <row r="498" spans="2:4" x14ac:dyDescent="0.35">
      <c r="B498" s="314">
        <v>44893</v>
      </c>
      <c r="C498" s="315">
        <v>42071.34</v>
      </c>
      <c r="D498" s="317">
        <f t="shared" si="7"/>
        <v>-2.0155004817553834E-2</v>
      </c>
    </row>
    <row r="499" spans="2:4" x14ac:dyDescent="0.35">
      <c r="B499" s="314">
        <v>44890</v>
      </c>
      <c r="C499" s="315">
        <v>42936.73</v>
      </c>
      <c r="D499" s="317">
        <f t="shared" si="7"/>
        <v>7.7102997064359968E-4</v>
      </c>
    </row>
    <row r="500" spans="2:4" x14ac:dyDescent="0.35">
      <c r="B500" s="314">
        <v>44889</v>
      </c>
      <c r="C500" s="315">
        <v>42903.65</v>
      </c>
      <c r="D500" s="317">
        <f t="shared" si="7"/>
        <v>5.443057664462625E-4</v>
      </c>
    </row>
    <row r="501" spans="2:4" x14ac:dyDescent="0.35">
      <c r="B501" s="314">
        <v>44888</v>
      </c>
      <c r="C501" s="315">
        <v>42880.31</v>
      </c>
      <c r="D501" s="317">
        <f t="shared" si="7"/>
        <v>-1.1253564638230573E-3</v>
      </c>
    </row>
    <row r="502" spans="2:4" x14ac:dyDescent="0.35">
      <c r="B502" s="314">
        <v>44887</v>
      </c>
      <c r="C502" s="315">
        <v>42928.62</v>
      </c>
      <c r="D502" s="317">
        <f t="shared" si="7"/>
        <v>3.9154663375833287E-3</v>
      </c>
    </row>
    <row r="503" spans="2:4" x14ac:dyDescent="0.35">
      <c r="B503" s="314">
        <v>44886</v>
      </c>
      <c r="C503" s="315">
        <v>42761.19</v>
      </c>
      <c r="D503" s="317">
        <f t="shared" si="7"/>
        <v>7.2431140101270053E-4</v>
      </c>
    </row>
    <row r="504" spans="2:4" x14ac:dyDescent="0.35">
      <c r="B504" s="314">
        <v>44883</v>
      </c>
      <c r="C504" s="315">
        <v>42730.239999999998</v>
      </c>
      <c r="D504" s="317">
        <f t="shared" si="7"/>
        <v>-2.0896913851843335E-3</v>
      </c>
    </row>
    <row r="505" spans="2:4" x14ac:dyDescent="0.35">
      <c r="B505" s="314">
        <v>44882</v>
      </c>
      <c r="C505" s="315">
        <v>42819.72</v>
      </c>
      <c r="D505" s="317">
        <f t="shared" si="7"/>
        <v>-3.8160932910692447E-3</v>
      </c>
    </row>
    <row r="506" spans="2:4" x14ac:dyDescent="0.35">
      <c r="B506" s="314">
        <v>44881</v>
      </c>
      <c r="C506" s="315">
        <v>42983.75</v>
      </c>
      <c r="D506" s="317">
        <f t="shared" si="7"/>
        <v>4.367143843530652E-3</v>
      </c>
    </row>
    <row r="507" spans="2:4" x14ac:dyDescent="0.35">
      <c r="B507" s="314">
        <v>44880</v>
      </c>
      <c r="C507" s="315">
        <v>42796.85</v>
      </c>
      <c r="D507" s="317">
        <f t="shared" si="7"/>
        <v>-1.2597188899259315E-3</v>
      </c>
    </row>
    <row r="508" spans="2:4" x14ac:dyDescent="0.35">
      <c r="B508" s="314">
        <v>44879</v>
      </c>
      <c r="C508" s="315">
        <v>42850.83</v>
      </c>
      <c r="D508" s="317">
        <f t="shared" si="7"/>
        <v>-5.6185524546357168E-3</v>
      </c>
    </row>
    <row r="509" spans="2:4" x14ac:dyDescent="0.35">
      <c r="B509" s="314">
        <v>44876</v>
      </c>
      <c r="C509" s="315">
        <v>43092.95</v>
      </c>
      <c r="D509" s="317">
        <f t="shared" si="7"/>
        <v>4.4679330005847895E-3</v>
      </c>
    </row>
    <row r="510" spans="2:4" x14ac:dyDescent="0.35">
      <c r="B510" s="314">
        <v>44875</v>
      </c>
      <c r="C510" s="315">
        <v>42901.27</v>
      </c>
      <c r="D510" s="317">
        <f t="shared" si="7"/>
        <v>1.5045654408243347E-2</v>
      </c>
    </row>
    <row r="511" spans="2:4" x14ac:dyDescent="0.35">
      <c r="B511" s="314">
        <v>44873</v>
      </c>
      <c r="C511" s="315">
        <v>42265.36</v>
      </c>
      <c r="D511" s="317">
        <f t="shared" si="7"/>
        <v>5.1846299030426923E-3</v>
      </c>
    </row>
    <row r="512" spans="2:4" x14ac:dyDescent="0.35">
      <c r="B512" s="314">
        <v>44872</v>
      </c>
      <c r="C512" s="315">
        <v>42047.360000000001</v>
      </c>
      <c r="D512" s="317">
        <f t="shared" si="7"/>
        <v>4.5644252921483996E-3</v>
      </c>
    </row>
    <row r="513" spans="2:4" x14ac:dyDescent="0.35">
      <c r="B513" s="314">
        <v>44869</v>
      </c>
      <c r="C513" s="315">
        <v>41856.31</v>
      </c>
      <c r="D513" s="317">
        <f t="shared" si="7"/>
        <v>-5.5689248292557503E-3</v>
      </c>
    </row>
    <row r="514" spans="2:4" x14ac:dyDescent="0.35">
      <c r="B514" s="314">
        <v>44868</v>
      </c>
      <c r="C514" s="315">
        <v>42090.71</v>
      </c>
      <c r="D514" s="317">
        <f t="shared" si="7"/>
        <v>3.4836435402039179E-3</v>
      </c>
    </row>
    <row r="515" spans="2:4" x14ac:dyDescent="0.35">
      <c r="B515" s="314">
        <v>44867</v>
      </c>
      <c r="C515" s="315">
        <v>41944.59</v>
      </c>
      <c r="D515" s="317">
        <f t="shared" si="7"/>
        <v>3.2505204061641368E-3</v>
      </c>
    </row>
    <row r="516" spans="2:4" x14ac:dyDescent="0.35">
      <c r="B516" s="314">
        <v>44866</v>
      </c>
      <c r="C516" s="315">
        <v>41808.69</v>
      </c>
      <c r="D516" s="317">
        <f t="shared" ref="D516:D579" si="8">(C516/C517)-1</f>
        <v>1.3183920575136288E-2</v>
      </c>
    </row>
    <row r="517" spans="2:4" x14ac:dyDescent="0.35">
      <c r="B517" s="314">
        <v>44865</v>
      </c>
      <c r="C517" s="315">
        <v>41264.660000000003</v>
      </c>
      <c r="D517" s="317">
        <f t="shared" si="8"/>
        <v>3.0220953502317904E-3</v>
      </c>
    </row>
    <row r="518" spans="2:4" x14ac:dyDescent="0.35">
      <c r="B518" s="314">
        <v>44862</v>
      </c>
      <c r="C518" s="315">
        <v>41140.33</v>
      </c>
      <c r="D518" s="317">
        <f t="shared" si="8"/>
        <v>-1.1117507574601171E-2</v>
      </c>
    </row>
    <row r="519" spans="2:4" x14ac:dyDescent="0.35">
      <c r="B519" s="314">
        <v>44861</v>
      </c>
      <c r="C519" s="315">
        <v>41602.85</v>
      </c>
      <c r="D519" s="317">
        <f t="shared" si="8"/>
        <v>1.512276230902998E-3</v>
      </c>
    </row>
    <row r="520" spans="2:4" x14ac:dyDescent="0.35">
      <c r="B520" s="314">
        <v>44860</v>
      </c>
      <c r="C520" s="315">
        <v>41540.03</v>
      </c>
      <c r="D520" s="317">
        <f t="shared" si="8"/>
        <v>-1.540625010369745E-2</v>
      </c>
    </row>
    <row r="521" spans="2:4" x14ac:dyDescent="0.35">
      <c r="B521" s="314">
        <v>44859</v>
      </c>
      <c r="C521" s="315">
        <v>42190.02</v>
      </c>
      <c r="D521" s="317">
        <f t="shared" si="8"/>
        <v>-3.7124033850621796E-3</v>
      </c>
    </row>
    <row r="522" spans="2:4" x14ac:dyDescent="0.35">
      <c r="B522" s="314">
        <v>44858</v>
      </c>
      <c r="C522" s="315">
        <v>42347.23</v>
      </c>
      <c r="D522" s="317">
        <f t="shared" si="8"/>
        <v>3.1684191874254974E-3</v>
      </c>
    </row>
    <row r="523" spans="2:4" x14ac:dyDescent="0.35">
      <c r="B523" s="314">
        <v>44855</v>
      </c>
      <c r="C523" s="315">
        <v>42213.48</v>
      </c>
      <c r="D523" s="317">
        <f t="shared" si="8"/>
        <v>1.8140809131348412E-3</v>
      </c>
    </row>
    <row r="524" spans="2:4" x14ac:dyDescent="0.35">
      <c r="B524" s="314">
        <v>44854</v>
      </c>
      <c r="C524" s="315">
        <v>42137.04</v>
      </c>
      <c r="D524" s="317">
        <f t="shared" si="8"/>
        <v>-2.1079404775015131E-3</v>
      </c>
    </row>
    <row r="525" spans="2:4" x14ac:dyDescent="0.35">
      <c r="B525" s="314">
        <v>44853</v>
      </c>
      <c r="C525" s="315">
        <v>42226.05</v>
      </c>
      <c r="D525" s="317">
        <f t="shared" si="8"/>
        <v>9.2446663731624579E-3</v>
      </c>
    </row>
    <row r="526" spans="2:4" x14ac:dyDescent="0.35">
      <c r="B526" s="314">
        <v>44852</v>
      </c>
      <c r="C526" s="315">
        <v>41839.26</v>
      </c>
      <c r="D526" s="317">
        <f t="shared" si="8"/>
        <v>2.0071631367881704E-3</v>
      </c>
    </row>
    <row r="527" spans="2:4" x14ac:dyDescent="0.35">
      <c r="B527" s="314">
        <v>44851</v>
      </c>
      <c r="C527" s="315">
        <v>41755.449999999997</v>
      </c>
      <c r="D527" s="317">
        <f t="shared" si="8"/>
        <v>-4.6020715877803653E-3</v>
      </c>
    </row>
    <row r="528" spans="2:4" x14ac:dyDescent="0.35">
      <c r="B528" s="314">
        <v>44848</v>
      </c>
      <c r="C528" s="315">
        <v>41948.5</v>
      </c>
      <c r="D528" s="317">
        <f t="shared" si="8"/>
        <v>-3.2604883556702768E-3</v>
      </c>
    </row>
    <row r="529" spans="2:4" x14ac:dyDescent="0.35">
      <c r="B529" s="314">
        <v>44847</v>
      </c>
      <c r="C529" s="315">
        <v>42085.72</v>
      </c>
      <c r="D529" s="317">
        <f t="shared" si="8"/>
        <v>1.8706343731089703E-3</v>
      </c>
    </row>
    <row r="530" spans="2:4" x14ac:dyDescent="0.35">
      <c r="B530" s="314">
        <v>44846</v>
      </c>
      <c r="C530" s="315">
        <v>42007.14</v>
      </c>
      <c r="D530" s="317">
        <f t="shared" si="8"/>
        <v>-3.5188782099030425E-3</v>
      </c>
    </row>
    <row r="531" spans="2:4" x14ac:dyDescent="0.35">
      <c r="B531" s="314">
        <v>44845</v>
      </c>
      <c r="C531" s="315">
        <v>42155.48</v>
      </c>
      <c r="D531" s="317">
        <f t="shared" si="8"/>
        <v>-1.3304387131131135E-3</v>
      </c>
    </row>
    <row r="532" spans="2:4" x14ac:dyDescent="0.35">
      <c r="B532" s="314">
        <v>44844</v>
      </c>
      <c r="C532" s="315">
        <v>42211.64</v>
      </c>
      <c r="D532" s="317">
        <f t="shared" si="8"/>
        <v>3.0031899537248385E-3</v>
      </c>
    </row>
    <row r="533" spans="2:4" x14ac:dyDescent="0.35">
      <c r="B533" s="314">
        <v>44841</v>
      </c>
      <c r="C533" s="315">
        <v>42085.25</v>
      </c>
      <c r="D533" s="317">
        <f t="shared" si="8"/>
        <v>-1.7865033608416292E-3</v>
      </c>
    </row>
    <row r="534" spans="2:4" x14ac:dyDescent="0.35">
      <c r="B534" s="314">
        <v>44840</v>
      </c>
      <c r="C534" s="315">
        <v>42160.57</v>
      </c>
      <c r="D534" s="317">
        <f t="shared" si="8"/>
        <v>1.3197098296573451E-2</v>
      </c>
    </row>
    <row r="535" spans="2:4" x14ac:dyDescent="0.35">
      <c r="B535" s="314">
        <v>44839</v>
      </c>
      <c r="C535" s="315">
        <v>41611.42</v>
      </c>
      <c r="D535" s="317">
        <f t="shared" si="8"/>
        <v>6.3116635062803184E-3</v>
      </c>
    </row>
    <row r="536" spans="2:4" x14ac:dyDescent="0.35">
      <c r="B536" s="314">
        <v>44838</v>
      </c>
      <c r="C536" s="315">
        <v>41350.43</v>
      </c>
      <c r="D536" s="317">
        <f t="shared" si="8"/>
        <v>3.366277052390565E-3</v>
      </c>
    </row>
    <row r="537" spans="2:4" x14ac:dyDescent="0.35">
      <c r="B537" s="314">
        <v>44837</v>
      </c>
      <c r="C537" s="315">
        <v>41211.699999999997</v>
      </c>
      <c r="D537" s="317">
        <f t="shared" si="8"/>
        <v>2.0187864086049778E-3</v>
      </c>
    </row>
    <row r="538" spans="2:4" x14ac:dyDescent="0.35">
      <c r="B538" s="314">
        <v>44834</v>
      </c>
      <c r="C538" s="315">
        <v>41128.67</v>
      </c>
      <c r="D538" s="317">
        <f t="shared" si="8"/>
        <v>2.799297603298001E-3</v>
      </c>
    </row>
    <row r="539" spans="2:4" x14ac:dyDescent="0.35">
      <c r="B539" s="314">
        <v>44833</v>
      </c>
      <c r="C539" s="315">
        <v>41013.86</v>
      </c>
      <c r="D539" s="317">
        <f t="shared" si="8"/>
        <v>-1.0166976669314098E-2</v>
      </c>
    </row>
    <row r="540" spans="2:4" x14ac:dyDescent="0.35">
      <c r="B540" s="314">
        <v>44832</v>
      </c>
      <c r="C540" s="315">
        <v>41435.129999999997</v>
      </c>
      <c r="D540" s="317">
        <f t="shared" si="8"/>
        <v>-2.0015304120625244E-3</v>
      </c>
    </row>
    <row r="541" spans="2:4" x14ac:dyDescent="0.35">
      <c r="B541" s="314">
        <v>44831</v>
      </c>
      <c r="C541" s="315">
        <v>41518.230000000003</v>
      </c>
      <c r="D541" s="317">
        <f t="shared" si="8"/>
        <v>8.9107236327001793E-3</v>
      </c>
    </row>
    <row r="542" spans="2:4" x14ac:dyDescent="0.35">
      <c r="B542" s="314">
        <v>44830</v>
      </c>
      <c r="C542" s="315">
        <v>41151.54</v>
      </c>
      <c r="D542" s="317">
        <f t="shared" si="8"/>
        <v>1.3080434591549395E-2</v>
      </c>
    </row>
    <row r="543" spans="2:4" x14ac:dyDescent="0.35">
      <c r="B543" s="314">
        <v>44827</v>
      </c>
      <c r="C543" s="315">
        <v>40620.21</v>
      </c>
      <c r="D543" s="317">
        <f t="shared" si="8"/>
        <v>-7.5190670434263085E-3</v>
      </c>
    </row>
    <row r="544" spans="2:4" x14ac:dyDescent="0.35">
      <c r="B544" s="314">
        <v>44826</v>
      </c>
      <c r="C544" s="315">
        <v>40927.949999999997</v>
      </c>
      <c r="D544" s="317">
        <f t="shared" si="8"/>
        <v>-9.1857603383149744E-4</v>
      </c>
    </row>
    <row r="545" spans="2:4" x14ac:dyDescent="0.35">
      <c r="B545" s="314">
        <v>44825</v>
      </c>
      <c r="C545" s="315">
        <v>40965.58</v>
      </c>
      <c r="D545" s="317">
        <f t="shared" si="8"/>
        <v>-6.1941863971465283E-3</v>
      </c>
    </row>
    <row r="546" spans="2:4" x14ac:dyDescent="0.35">
      <c r="B546" s="314">
        <v>44824</v>
      </c>
      <c r="C546" s="315">
        <v>41220.910000000003</v>
      </c>
      <c r="D546" s="317">
        <f t="shared" si="8"/>
        <v>-7.217623834343212E-3</v>
      </c>
    </row>
    <row r="547" spans="2:4" x14ac:dyDescent="0.35">
      <c r="B547" s="314">
        <v>44823</v>
      </c>
      <c r="C547" s="315">
        <v>41520.589999999997</v>
      </c>
      <c r="D547" s="317">
        <f t="shared" si="8"/>
        <v>-3.8124266875626533E-3</v>
      </c>
    </row>
    <row r="548" spans="2:4" x14ac:dyDescent="0.35">
      <c r="B548" s="314">
        <v>44820</v>
      </c>
      <c r="C548" s="315">
        <v>41679.49</v>
      </c>
      <c r="D548" s="317">
        <f t="shared" si="8"/>
        <v>-2.2167911636692406E-3</v>
      </c>
    </row>
    <row r="549" spans="2:4" x14ac:dyDescent="0.35">
      <c r="B549" s="314">
        <v>44819</v>
      </c>
      <c r="C549" s="315">
        <v>41772.089999999997</v>
      </c>
      <c r="D549" s="317">
        <f t="shared" si="8"/>
        <v>-3.9470527893572527E-3</v>
      </c>
    </row>
    <row r="550" spans="2:4" x14ac:dyDescent="0.35">
      <c r="B550" s="314">
        <v>44818</v>
      </c>
      <c r="C550" s="315">
        <v>41937.620000000003</v>
      </c>
      <c r="D550" s="317">
        <f t="shared" si="8"/>
        <v>-1.51709445460535E-3</v>
      </c>
    </row>
    <row r="551" spans="2:4" x14ac:dyDescent="0.35">
      <c r="B551" s="314">
        <v>44817</v>
      </c>
      <c r="C551" s="315">
        <v>42001.34</v>
      </c>
      <c r="D551" s="317">
        <f t="shared" si="8"/>
        <v>3.321605196466626E-3</v>
      </c>
    </row>
    <row r="552" spans="2:4" x14ac:dyDescent="0.35">
      <c r="B552" s="314">
        <v>44816</v>
      </c>
      <c r="C552" s="315">
        <v>41862.29</v>
      </c>
      <c r="D552" s="317">
        <f t="shared" si="8"/>
        <v>-2.0470504546564738E-3</v>
      </c>
    </row>
    <row r="553" spans="2:4" x14ac:dyDescent="0.35">
      <c r="B553" s="314">
        <v>44813</v>
      </c>
      <c r="C553" s="315">
        <v>41948.160000000003</v>
      </c>
      <c r="D553" s="317">
        <f t="shared" si="8"/>
        <v>2.9496860593920537E-3</v>
      </c>
    </row>
    <row r="554" spans="2:4" x14ac:dyDescent="0.35">
      <c r="B554" s="314">
        <v>44812</v>
      </c>
      <c r="C554" s="315">
        <v>41824.79</v>
      </c>
      <c r="D554" s="317">
        <f t="shared" si="8"/>
        <v>1.4064054417404215E-3</v>
      </c>
    </row>
    <row r="555" spans="2:4" x14ac:dyDescent="0.35">
      <c r="B555" s="314">
        <v>44811</v>
      </c>
      <c r="C555" s="315">
        <v>41766.050000000003</v>
      </c>
      <c r="D555" s="317">
        <f t="shared" si="8"/>
        <v>-2.2529667685609045E-3</v>
      </c>
    </row>
    <row r="556" spans="2:4" x14ac:dyDescent="0.35">
      <c r="B556" s="314">
        <v>44810</v>
      </c>
      <c r="C556" s="315">
        <v>41860.36</v>
      </c>
      <c r="D556" s="317">
        <f t="shared" si="8"/>
        <v>2.5322927043713861E-5</v>
      </c>
    </row>
    <row r="557" spans="2:4" x14ac:dyDescent="0.35">
      <c r="B557" s="314">
        <v>44809</v>
      </c>
      <c r="C557" s="315">
        <v>41859.300000000003</v>
      </c>
      <c r="D557" s="317">
        <f t="shared" si="8"/>
        <v>-1.0631516474820635E-2</v>
      </c>
    </row>
    <row r="558" spans="2:4" x14ac:dyDescent="0.35">
      <c r="B558" s="314">
        <v>44806</v>
      </c>
      <c r="C558" s="315">
        <v>42309.11</v>
      </c>
      <c r="D558" s="317">
        <f t="shared" si="8"/>
        <v>-3.5555750248233986E-3</v>
      </c>
    </row>
    <row r="559" spans="2:4" x14ac:dyDescent="0.35">
      <c r="B559" s="314">
        <v>44805</v>
      </c>
      <c r="C559" s="315">
        <v>42460.08</v>
      </c>
      <c r="D559" s="317">
        <f t="shared" si="8"/>
        <v>2.5720671103381942E-3</v>
      </c>
    </row>
    <row r="560" spans="2:4" x14ac:dyDescent="0.35">
      <c r="B560" s="314">
        <v>44804</v>
      </c>
      <c r="C560" s="315">
        <v>42351.15</v>
      </c>
      <c r="D560" s="317">
        <f t="shared" si="8"/>
        <v>3.6947286720661054E-3</v>
      </c>
    </row>
    <row r="561" spans="2:4" x14ac:dyDescent="0.35">
      <c r="B561" s="314">
        <v>44803</v>
      </c>
      <c r="C561" s="315">
        <v>42195.25</v>
      </c>
      <c r="D561" s="317">
        <f t="shared" si="8"/>
        <v>-7.2719632865725359E-3</v>
      </c>
    </row>
    <row r="562" spans="2:4" x14ac:dyDescent="0.35">
      <c r="B562" s="314">
        <v>44802</v>
      </c>
      <c r="C562" s="315">
        <v>42504.34</v>
      </c>
      <c r="D562" s="317">
        <f t="shared" si="8"/>
        <v>-2.0466520205554284E-3</v>
      </c>
    </row>
    <row r="563" spans="2:4" x14ac:dyDescent="0.35">
      <c r="B563" s="314">
        <v>44799</v>
      </c>
      <c r="C563" s="315">
        <v>42591.51</v>
      </c>
      <c r="D563" s="317">
        <f t="shared" si="8"/>
        <v>-1.0249445942921764E-2</v>
      </c>
    </row>
    <row r="564" spans="2:4" x14ac:dyDescent="0.35">
      <c r="B564" s="314">
        <v>44798</v>
      </c>
      <c r="C564" s="315">
        <v>43032.57</v>
      </c>
      <c r="D564" s="317">
        <f t="shared" si="8"/>
        <v>-7.0469382852957896E-3</v>
      </c>
    </row>
    <row r="565" spans="2:4" x14ac:dyDescent="0.35">
      <c r="B565" s="314">
        <v>44797</v>
      </c>
      <c r="C565" s="315">
        <v>43337.97</v>
      </c>
      <c r="D565" s="317">
        <f t="shared" si="8"/>
        <v>-6.6433339067362152E-4</v>
      </c>
    </row>
    <row r="566" spans="2:4" x14ac:dyDescent="0.35">
      <c r="B566" s="314">
        <v>44796</v>
      </c>
      <c r="C566" s="315">
        <v>43366.78</v>
      </c>
      <c r="D566" s="317">
        <f t="shared" si="8"/>
        <v>1.2611770331844685E-2</v>
      </c>
    </row>
    <row r="567" spans="2:4" x14ac:dyDescent="0.35">
      <c r="B567" s="314">
        <v>44795</v>
      </c>
      <c r="C567" s="315">
        <v>42826.66</v>
      </c>
      <c r="D567" s="317">
        <f t="shared" si="8"/>
        <v>-1.0260765669108274E-2</v>
      </c>
    </row>
    <row r="568" spans="2:4" x14ac:dyDescent="0.35">
      <c r="B568" s="314">
        <v>44792</v>
      </c>
      <c r="C568" s="315">
        <v>43270.65</v>
      </c>
      <c r="D568" s="317">
        <f t="shared" si="8"/>
        <v>-4.8491887354391583E-3</v>
      </c>
    </row>
    <row r="569" spans="2:4" x14ac:dyDescent="0.35">
      <c r="B569" s="314">
        <v>44791</v>
      </c>
      <c r="C569" s="315">
        <v>43481.5</v>
      </c>
      <c r="D569" s="317">
        <f t="shared" si="8"/>
        <v>-4.4660110594789693E-3</v>
      </c>
    </row>
    <row r="570" spans="2:4" x14ac:dyDescent="0.35">
      <c r="B570" s="314">
        <v>44790</v>
      </c>
      <c r="C570" s="315">
        <v>43676.56</v>
      </c>
      <c r="D570" s="317">
        <f t="shared" si="8"/>
        <v>5.5271513713817111E-3</v>
      </c>
    </row>
    <row r="571" spans="2:4" x14ac:dyDescent="0.35">
      <c r="B571" s="314">
        <v>44789</v>
      </c>
      <c r="C571" s="315">
        <v>43436.480000000003</v>
      </c>
      <c r="D571" s="317">
        <f t="shared" si="8"/>
        <v>-4.24879108666254E-3</v>
      </c>
    </row>
    <row r="572" spans="2:4" x14ac:dyDescent="0.35">
      <c r="B572" s="314">
        <v>44788</v>
      </c>
      <c r="C572" s="315">
        <v>43621.82</v>
      </c>
      <c r="D572" s="317">
        <f t="shared" si="8"/>
        <v>1.7832322271188028E-2</v>
      </c>
    </row>
    <row r="573" spans="2:4" x14ac:dyDescent="0.35">
      <c r="B573" s="314">
        <v>44785</v>
      </c>
      <c r="C573" s="315">
        <v>42857.57</v>
      </c>
      <c r="D573" s="317">
        <f t="shared" si="8"/>
        <v>1.4540520361439269E-2</v>
      </c>
    </row>
    <row r="574" spans="2:4" x14ac:dyDescent="0.35">
      <c r="B574" s="314">
        <v>44784</v>
      </c>
      <c r="C574" s="315">
        <v>42243.33</v>
      </c>
      <c r="D574" s="317">
        <f t="shared" si="8"/>
        <v>-5.9188348705783156E-3</v>
      </c>
    </row>
    <row r="575" spans="2:4" x14ac:dyDescent="0.35">
      <c r="B575" s="314">
        <v>44783</v>
      </c>
      <c r="C575" s="315">
        <v>42494.85</v>
      </c>
      <c r="D575" s="317">
        <f t="shared" si="8"/>
        <v>9.4690167102811085E-3</v>
      </c>
    </row>
    <row r="576" spans="2:4" x14ac:dyDescent="0.35">
      <c r="B576" s="314">
        <v>44778</v>
      </c>
      <c r="C576" s="315">
        <v>42096.24</v>
      </c>
      <c r="D576" s="317">
        <f t="shared" si="8"/>
        <v>1.6194665249821494E-2</v>
      </c>
    </row>
    <row r="577" spans="2:4" x14ac:dyDescent="0.35">
      <c r="B577" s="314">
        <v>44777</v>
      </c>
      <c r="C577" s="315">
        <v>41425.370000000003</v>
      </c>
      <c r="D577" s="317">
        <f t="shared" si="8"/>
        <v>8.6805407599479523E-3</v>
      </c>
    </row>
    <row r="578" spans="2:4" x14ac:dyDescent="0.35">
      <c r="B578" s="314">
        <v>44776</v>
      </c>
      <c r="C578" s="315">
        <v>41068.870000000003</v>
      </c>
      <c r="D578" s="317">
        <f t="shared" si="8"/>
        <v>2.1826943483975958E-2</v>
      </c>
    </row>
    <row r="579" spans="2:4" x14ac:dyDescent="0.35">
      <c r="B579" s="314">
        <v>44775</v>
      </c>
      <c r="C579" s="315">
        <v>40191.61</v>
      </c>
      <c r="D579" s="317">
        <f t="shared" si="8"/>
        <v>2.8857699229163369E-3</v>
      </c>
    </row>
    <row r="580" spans="2:4" x14ac:dyDescent="0.35">
      <c r="B580" s="314">
        <v>44774</v>
      </c>
      <c r="C580" s="315">
        <v>40075.96</v>
      </c>
      <c r="D580" s="317">
        <f t="shared" ref="D580:D643" si="9">(C580/C581)-1</f>
        <v>-1.853034443526802E-3</v>
      </c>
    </row>
    <row r="581" spans="2:4" x14ac:dyDescent="0.35">
      <c r="B581" s="314">
        <v>44771</v>
      </c>
      <c r="C581" s="315">
        <v>40150.36</v>
      </c>
      <c r="D581" s="317">
        <f t="shared" si="9"/>
        <v>-3.1353161534825036E-3</v>
      </c>
    </row>
    <row r="582" spans="2:4" x14ac:dyDescent="0.35">
      <c r="B582" s="314">
        <v>44770</v>
      </c>
      <c r="C582" s="315">
        <v>40276.639999999999</v>
      </c>
      <c r="D582" s="317">
        <f t="shared" si="9"/>
        <v>7.605201958139407E-3</v>
      </c>
    </row>
    <row r="583" spans="2:4" x14ac:dyDescent="0.35">
      <c r="B583" s="314">
        <v>44769</v>
      </c>
      <c r="C583" s="315">
        <v>39972.639999999999</v>
      </c>
      <c r="D583" s="317">
        <f t="shared" si="9"/>
        <v>1.9699679526143932E-3</v>
      </c>
    </row>
    <row r="584" spans="2:4" x14ac:dyDescent="0.35">
      <c r="B584" s="314">
        <v>44768</v>
      </c>
      <c r="C584" s="315">
        <v>39894.050000000003</v>
      </c>
      <c r="D584" s="317">
        <f t="shared" si="9"/>
        <v>1.2556463931101547E-3</v>
      </c>
    </row>
    <row r="585" spans="2:4" x14ac:dyDescent="0.35">
      <c r="B585" s="314">
        <v>44767</v>
      </c>
      <c r="C585" s="315">
        <v>39844.019999999997</v>
      </c>
      <c r="D585" s="317">
        <f t="shared" si="9"/>
        <v>-5.8207513979237069E-3</v>
      </c>
    </row>
    <row r="586" spans="2:4" x14ac:dyDescent="0.35">
      <c r="B586" s="314">
        <v>44764</v>
      </c>
      <c r="C586" s="315">
        <v>40077.300000000003</v>
      </c>
      <c r="D586" s="317">
        <f t="shared" si="9"/>
        <v>6.1646801860326672E-3</v>
      </c>
    </row>
    <row r="587" spans="2:4" x14ac:dyDescent="0.35">
      <c r="B587" s="314">
        <v>44763</v>
      </c>
      <c r="C587" s="315">
        <v>39831.75</v>
      </c>
      <c r="D587" s="317">
        <f t="shared" si="9"/>
        <v>-1.5520382009752809E-2</v>
      </c>
    </row>
    <row r="588" spans="2:4" x14ac:dyDescent="0.35">
      <c r="B588" s="314">
        <v>44762</v>
      </c>
      <c r="C588" s="315">
        <v>40459.699999999997</v>
      </c>
      <c r="D588" s="317">
        <f t="shared" si="9"/>
        <v>1.748740438935581E-3</v>
      </c>
    </row>
    <row r="589" spans="2:4" x14ac:dyDescent="0.35">
      <c r="B589" s="314">
        <v>44761</v>
      </c>
      <c r="C589" s="315">
        <v>40389.07</v>
      </c>
      <c r="D589" s="317">
        <f t="shared" si="9"/>
        <v>-2.3642937589790525E-2</v>
      </c>
    </row>
    <row r="590" spans="2:4" x14ac:dyDescent="0.35">
      <c r="B590" s="314">
        <v>44760</v>
      </c>
      <c r="C590" s="315">
        <v>41367.11</v>
      </c>
      <c r="D590" s="317">
        <f t="shared" si="9"/>
        <v>-1.6822377041329495E-2</v>
      </c>
    </row>
    <row r="591" spans="2:4" x14ac:dyDescent="0.35">
      <c r="B591" s="314">
        <v>44757</v>
      </c>
      <c r="C591" s="315">
        <v>42074.91</v>
      </c>
      <c r="D591" s="317">
        <f t="shared" si="9"/>
        <v>-6.4700602683752662E-3</v>
      </c>
    </row>
    <row r="592" spans="2:4" x14ac:dyDescent="0.35">
      <c r="B592" s="314">
        <v>44756</v>
      </c>
      <c r="C592" s="315">
        <v>42348.91</v>
      </c>
      <c r="D592" s="317">
        <f t="shared" si="9"/>
        <v>1.1612705036002424E-2</v>
      </c>
    </row>
    <row r="593" spans="2:4" x14ac:dyDescent="0.35">
      <c r="B593" s="314">
        <v>44755</v>
      </c>
      <c r="C593" s="315">
        <v>41862.769999999997</v>
      </c>
      <c r="D593" s="317">
        <f t="shared" si="9"/>
        <v>1.2547404085863745E-2</v>
      </c>
    </row>
    <row r="594" spans="2:4" x14ac:dyDescent="0.35">
      <c r="B594" s="314">
        <v>44749</v>
      </c>
      <c r="C594" s="315">
        <v>41344.01</v>
      </c>
      <c r="D594" s="317">
        <f t="shared" si="9"/>
        <v>4.4757274028852656E-3</v>
      </c>
    </row>
    <row r="595" spans="2:4" x14ac:dyDescent="0.35">
      <c r="B595" s="314">
        <v>44748</v>
      </c>
      <c r="C595" s="315">
        <v>41159.79</v>
      </c>
      <c r="D595" s="317">
        <f t="shared" si="9"/>
        <v>1.3921270616412684E-3</v>
      </c>
    </row>
    <row r="596" spans="2:4" x14ac:dyDescent="0.35">
      <c r="B596" s="314">
        <v>44747</v>
      </c>
      <c r="C596" s="315">
        <v>41102.57</v>
      </c>
      <c r="D596" s="317">
        <f t="shared" si="9"/>
        <v>-5.9402842059108618E-3</v>
      </c>
    </row>
    <row r="597" spans="2:4" x14ac:dyDescent="0.35">
      <c r="B597" s="314">
        <v>44746</v>
      </c>
      <c r="C597" s="315">
        <v>41348.19</v>
      </c>
      <c r="D597" s="317">
        <f t="shared" si="9"/>
        <v>-6.777747484707608E-3</v>
      </c>
    </row>
    <row r="598" spans="2:4" x14ac:dyDescent="0.35">
      <c r="B598" s="314">
        <v>44743</v>
      </c>
      <c r="C598" s="315">
        <v>41630.35</v>
      </c>
      <c r="D598" s="317">
        <f t="shared" si="9"/>
        <v>2.1549882368743223E-3</v>
      </c>
    </row>
    <row r="599" spans="2:4" x14ac:dyDescent="0.35">
      <c r="B599" s="314">
        <v>44742</v>
      </c>
      <c r="C599" s="315">
        <v>41540.83</v>
      </c>
      <c r="D599" s="317">
        <f t="shared" si="9"/>
        <v>5.8865220921342498E-3</v>
      </c>
    </row>
    <row r="600" spans="2:4" x14ac:dyDescent="0.35">
      <c r="B600" s="314">
        <v>44741</v>
      </c>
      <c r="C600" s="315">
        <v>41297.730000000003</v>
      </c>
      <c r="D600" s="317">
        <f t="shared" si="9"/>
        <v>-1.120275480167654E-2</v>
      </c>
    </row>
    <row r="601" spans="2:4" x14ac:dyDescent="0.35">
      <c r="B601" s="314">
        <v>44740</v>
      </c>
      <c r="C601" s="315">
        <v>41765.620000000003</v>
      </c>
      <c r="D601" s="317">
        <f t="shared" si="9"/>
        <v>-2.6970834964039625E-3</v>
      </c>
    </row>
    <row r="602" spans="2:4" x14ac:dyDescent="0.35">
      <c r="B602" s="314">
        <v>44739</v>
      </c>
      <c r="C602" s="315">
        <v>41878.57</v>
      </c>
      <c r="D602" s="317">
        <f t="shared" si="9"/>
        <v>2.0139925688989369E-2</v>
      </c>
    </row>
    <row r="603" spans="2:4" x14ac:dyDescent="0.35">
      <c r="B603" s="314">
        <v>44736</v>
      </c>
      <c r="C603" s="315">
        <v>41051.79</v>
      </c>
      <c r="D603" s="317">
        <f t="shared" si="9"/>
        <v>-3.8981697437809881E-2</v>
      </c>
    </row>
    <row r="604" spans="2:4" x14ac:dyDescent="0.35">
      <c r="B604" s="314">
        <v>44735</v>
      </c>
      <c r="C604" s="315">
        <v>42716.97</v>
      </c>
      <c r="D604" s="317">
        <f t="shared" si="9"/>
        <v>6.0961219686024304E-3</v>
      </c>
    </row>
    <row r="605" spans="2:4" x14ac:dyDescent="0.35">
      <c r="B605" s="314">
        <v>44734</v>
      </c>
      <c r="C605" s="315">
        <v>42458.14</v>
      </c>
      <c r="D605" s="317">
        <f t="shared" si="9"/>
        <v>-1.5945557947558697E-3</v>
      </c>
    </row>
    <row r="606" spans="2:4" x14ac:dyDescent="0.35">
      <c r="B606" s="314">
        <v>44733</v>
      </c>
      <c r="C606" s="315">
        <v>42525.95</v>
      </c>
      <c r="D606" s="317">
        <f t="shared" si="9"/>
        <v>1.7927815749247511E-2</v>
      </c>
    </row>
    <row r="607" spans="2:4" x14ac:dyDescent="0.35">
      <c r="B607" s="314">
        <v>44732</v>
      </c>
      <c r="C607" s="315">
        <v>41776.980000000003</v>
      </c>
      <c r="D607" s="317">
        <f t="shared" si="9"/>
        <v>-8.632497373089576E-3</v>
      </c>
    </row>
    <row r="608" spans="2:4" x14ac:dyDescent="0.35">
      <c r="B608" s="314">
        <v>44729</v>
      </c>
      <c r="C608" s="315">
        <v>42140.76</v>
      </c>
      <c r="D608" s="317">
        <f t="shared" si="9"/>
        <v>9.8394063190747616E-3</v>
      </c>
    </row>
    <row r="609" spans="2:4" x14ac:dyDescent="0.35">
      <c r="B609" s="314">
        <v>44728</v>
      </c>
      <c r="C609" s="315">
        <v>41730.160000000003</v>
      </c>
      <c r="D609" s="317">
        <f t="shared" si="9"/>
        <v>7.0313346504566887E-3</v>
      </c>
    </row>
    <row r="610" spans="2:4" x14ac:dyDescent="0.35">
      <c r="B610" s="314">
        <v>44727</v>
      </c>
      <c r="C610" s="315">
        <v>41438.79</v>
      </c>
      <c r="D610" s="317">
        <f t="shared" si="9"/>
        <v>9.3560587976815324E-3</v>
      </c>
    </row>
    <row r="611" spans="2:4" x14ac:dyDescent="0.35">
      <c r="B611" s="314">
        <v>44726</v>
      </c>
      <c r="C611" s="315">
        <v>41054.68</v>
      </c>
      <c r="D611" s="317">
        <f t="shared" si="9"/>
        <v>4.2747137776411037E-3</v>
      </c>
    </row>
    <row r="612" spans="2:4" x14ac:dyDescent="0.35">
      <c r="B612" s="314">
        <v>44725</v>
      </c>
      <c r="C612" s="315">
        <v>40879.93</v>
      </c>
      <c r="D612" s="317">
        <f t="shared" si="9"/>
        <v>-2.7009574975252804E-2</v>
      </c>
    </row>
    <row r="613" spans="2:4" x14ac:dyDescent="0.35">
      <c r="B613" s="314">
        <v>44722</v>
      </c>
      <c r="C613" s="315">
        <v>42014.73</v>
      </c>
      <c r="D613" s="317">
        <f t="shared" si="9"/>
        <v>6.6793719372935101E-3</v>
      </c>
    </row>
    <row r="614" spans="2:4" x14ac:dyDescent="0.35">
      <c r="B614" s="314">
        <v>44721</v>
      </c>
      <c r="C614" s="315">
        <v>41735.96</v>
      </c>
      <c r="D614" s="317">
        <f t="shared" si="9"/>
        <v>4.3991840813069061E-3</v>
      </c>
    </row>
    <row r="615" spans="2:4" x14ac:dyDescent="0.35">
      <c r="B615" s="314">
        <v>44720</v>
      </c>
      <c r="C615" s="315">
        <v>41553.160000000003</v>
      </c>
      <c r="D615" s="317">
        <f t="shared" si="9"/>
        <v>-3.6686512666705973E-4</v>
      </c>
    </row>
    <row r="616" spans="2:4" x14ac:dyDescent="0.35">
      <c r="B616" s="314">
        <v>44719</v>
      </c>
      <c r="C616" s="315">
        <v>41568.410000000003</v>
      </c>
      <c r="D616" s="317">
        <f t="shared" si="9"/>
        <v>-2.1165441355963655E-4</v>
      </c>
    </row>
    <row r="617" spans="2:4" x14ac:dyDescent="0.35">
      <c r="B617" s="314">
        <v>44718</v>
      </c>
      <c r="C617" s="315">
        <v>41577.21</v>
      </c>
      <c r="D617" s="317">
        <f t="shared" si="9"/>
        <v>6.349528305540364E-3</v>
      </c>
    </row>
    <row r="618" spans="2:4" x14ac:dyDescent="0.35">
      <c r="B618" s="314">
        <v>44715</v>
      </c>
      <c r="C618" s="315">
        <v>41314.879999999997</v>
      </c>
      <c r="D618" s="317">
        <f t="shared" si="9"/>
        <v>-2.1853117258879617E-2</v>
      </c>
    </row>
    <row r="619" spans="2:4" x14ac:dyDescent="0.35">
      <c r="B619" s="314">
        <v>44714</v>
      </c>
      <c r="C619" s="315">
        <v>42237.91</v>
      </c>
      <c r="D619" s="317">
        <f t="shared" si="9"/>
        <v>-1.2118287848921439E-2</v>
      </c>
    </row>
    <row r="620" spans="2:4" x14ac:dyDescent="0.35">
      <c r="B620" s="314">
        <v>44713</v>
      </c>
      <c r="C620" s="315">
        <v>42756.04</v>
      </c>
      <c r="D620" s="317">
        <f t="shared" si="9"/>
        <v>-7.4771102002082479E-3</v>
      </c>
    </row>
    <row r="621" spans="2:4" x14ac:dyDescent="0.35">
      <c r="B621" s="314">
        <v>44712</v>
      </c>
      <c r="C621" s="315">
        <v>43078.14</v>
      </c>
      <c r="D621" s="317">
        <f t="shared" si="9"/>
        <v>8.8289675637676091E-4</v>
      </c>
    </row>
    <row r="622" spans="2:4" x14ac:dyDescent="0.35">
      <c r="B622" s="314">
        <v>44711</v>
      </c>
      <c r="C622" s="315">
        <v>43040.14</v>
      </c>
      <c r="D622" s="317">
        <f t="shared" si="9"/>
        <v>4.1690143473913643E-3</v>
      </c>
    </row>
    <row r="623" spans="2:4" x14ac:dyDescent="0.35">
      <c r="B623" s="314">
        <v>44708</v>
      </c>
      <c r="C623" s="315">
        <v>42861.45</v>
      </c>
      <c r="D623" s="317">
        <f t="shared" si="9"/>
        <v>7.5159179073900351E-3</v>
      </c>
    </row>
    <row r="624" spans="2:4" x14ac:dyDescent="0.35">
      <c r="B624" s="314">
        <v>44707</v>
      </c>
      <c r="C624" s="315">
        <v>42541.71</v>
      </c>
      <c r="D624" s="317">
        <f t="shared" si="9"/>
        <v>1.259263279211531E-2</v>
      </c>
    </row>
    <row r="625" spans="2:4" x14ac:dyDescent="0.35">
      <c r="B625" s="314">
        <v>44706</v>
      </c>
      <c r="C625" s="315">
        <v>42012.66</v>
      </c>
      <c r="D625" s="317">
        <f t="shared" si="9"/>
        <v>1.4860434914443221E-3</v>
      </c>
    </row>
    <row r="626" spans="2:4" x14ac:dyDescent="0.35">
      <c r="B626" s="314">
        <v>44705</v>
      </c>
      <c r="C626" s="315">
        <v>41950.32</v>
      </c>
      <c r="D626" s="317">
        <f t="shared" si="9"/>
        <v>-1.1543994203615626E-2</v>
      </c>
    </row>
    <row r="627" spans="2:4" x14ac:dyDescent="0.35">
      <c r="B627" s="314">
        <v>44704</v>
      </c>
      <c r="C627" s="315">
        <v>42440.25</v>
      </c>
      <c r="D627" s="317">
        <f t="shared" si="9"/>
        <v>-1.5323417021069208E-2</v>
      </c>
    </row>
    <row r="628" spans="2:4" x14ac:dyDescent="0.35">
      <c r="B628" s="314">
        <v>44701</v>
      </c>
      <c r="C628" s="315">
        <v>43100.7</v>
      </c>
      <c r="D628" s="317">
        <f t="shared" si="9"/>
        <v>2.7277940695780156E-3</v>
      </c>
    </row>
    <row r="629" spans="2:4" x14ac:dyDescent="0.35">
      <c r="B629" s="314">
        <v>44700</v>
      </c>
      <c r="C629" s="315">
        <v>42983.45</v>
      </c>
      <c r="D629" s="317">
        <f t="shared" si="9"/>
        <v>-1.0093690269896705E-3</v>
      </c>
    </row>
    <row r="630" spans="2:4" x14ac:dyDescent="0.35">
      <c r="B630" s="314">
        <v>44699</v>
      </c>
      <c r="C630" s="315">
        <v>43026.879999999997</v>
      </c>
      <c r="D630" s="317">
        <f t="shared" si="9"/>
        <v>7.0406679202341671E-3</v>
      </c>
    </row>
    <row r="631" spans="2:4" x14ac:dyDescent="0.35">
      <c r="B631" s="314">
        <v>44698</v>
      </c>
      <c r="C631" s="315">
        <v>42726.06</v>
      </c>
      <c r="D631" s="317">
        <f t="shared" si="9"/>
        <v>1.3766976693168065E-3</v>
      </c>
    </row>
    <row r="632" spans="2:4" x14ac:dyDescent="0.35">
      <c r="B632" s="314">
        <v>44697</v>
      </c>
      <c r="C632" s="315">
        <v>42667.32</v>
      </c>
      <c r="D632" s="317">
        <f t="shared" si="9"/>
        <v>-1.8836667781189864E-2</v>
      </c>
    </row>
    <row r="633" spans="2:4" x14ac:dyDescent="0.35">
      <c r="B633" s="314">
        <v>44694</v>
      </c>
      <c r="C633" s="315">
        <v>43486.46</v>
      </c>
      <c r="D633" s="317">
        <f t="shared" si="9"/>
        <v>1.3707258352518181E-2</v>
      </c>
    </row>
    <row r="634" spans="2:4" x14ac:dyDescent="0.35">
      <c r="B634" s="314">
        <v>44693</v>
      </c>
      <c r="C634" s="315">
        <v>42898.44</v>
      </c>
      <c r="D634" s="317">
        <f t="shared" si="9"/>
        <v>8.2331793160328459E-4</v>
      </c>
    </row>
    <row r="635" spans="2:4" x14ac:dyDescent="0.35">
      <c r="B635" s="314">
        <v>44692</v>
      </c>
      <c r="C635" s="315">
        <v>42863.15</v>
      </c>
      <c r="D635" s="317">
        <f t="shared" si="9"/>
        <v>-1.4738982483594731E-2</v>
      </c>
    </row>
    <row r="636" spans="2:4" x14ac:dyDescent="0.35">
      <c r="B636" s="314">
        <v>44691</v>
      </c>
      <c r="C636" s="315">
        <v>43504.36</v>
      </c>
      <c r="D636" s="317">
        <f t="shared" si="9"/>
        <v>2.5630779427348038E-3</v>
      </c>
    </row>
    <row r="637" spans="2:4" x14ac:dyDescent="0.35">
      <c r="B637" s="314">
        <v>44690</v>
      </c>
      <c r="C637" s="315">
        <v>43393.14</v>
      </c>
      <c r="D637" s="317">
        <f t="shared" si="9"/>
        <v>-3.2284653198726754E-2</v>
      </c>
    </row>
    <row r="638" spans="2:4" x14ac:dyDescent="0.35">
      <c r="B638" s="314">
        <v>44687</v>
      </c>
      <c r="C638" s="315">
        <v>44840.81</v>
      </c>
      <c r="D638" s="317">
        <f t="shared" si="9"/>
        <v>-9.0299519927443672E-3</v>
      </c>
    </row>
    <row r="639" spans="2:4" x14ac:dyDescent="0.35">
      <c r="B639" s="314">
        <v>44679</v>
      </c>
      <c r="C639" s="315">
        <v>45249.41</v>
      </c>
      <c r="D639" s="317">
        <f t="shared" si="9"/>
        <v>-6.2347776242881459E-3</v>
      </c>
    </row>
    <row r="640" spans="2:4" x14ac:dyDescent="0.35">
      <c r="B640" s="314">
        <v>44678</v>
      </c>
      <c r="C640" s="315">
        <v>45533.3</v>
      </c>
      <c r="D640" s="317">
        <f t="shared" si="9"/>
        <v>-6.2065574264250634E-3</v>
      </c>
    </row>
    <row r="641" spans="2:4" x14ac:dyDescent="0.35">
      <c r="B641" s="314">
        <v>44677</v>
      </c>
      <c r="C641" s="315">
        <v>45817.67</v>
      </c>
      <c r="D641" s="317">
        <f t="shared" si="9"/>
        <v>-5.547253558192744E-3</v>
      </c>
    </row>
    <row r="642" spans="2:4" x14ac:dyDescent="0.35">
      <c r="B642" s="314">
        <v>44676</v>
      </c>
      <c r="C642" s="315">
        <v>46073.25</v>
      </c>
      <c r="D642" s="317">
        <f t="shared" si="9"/>
        <v>1.1420318565048104E-2</v>
      </c>
    </row>
    <row r="643" spans="2:4" x14ac:dyDescent="0.35">
      <c r="B643" s="314">
        <v>44673</v>
      </c>
      <c r="C643" s="315">
        <v>45553.02</v>
      </c>
      <c r="D643" s="317">
        <f t="shared" si="9"/>
        <v>-2.1816929674574048E-3</v>
      </c>
    </row>
    <row r="644" spans="2:4" x14ac:dyDescent="0.35">
      <c r="B644" s="314">
        <v>44672</v>
      </c>
      <c r="C644" s="315">
        <v>45652.62</v>
      </c>
      <c r="D644" s="317">
        <f t="shared" ref="D644:D707" si="10">(C644/C645)-1</f>
        <v>-6.3239010986618771E-3</v>
      </c>
    </row>
    <row r="645" spans="2:4" x14ac:dyDescent="0.35">
      <c r="B645" s="314">
        <v>44671</v>
      </c>
      <c r="C645" s="315">
        <v>45943.16</v>
      </c>
      <c r="D645" s="317">
        <f t="shared" si="10"/>
        <v>-8.4215778868615976E-3</v>
      </c>
    </row>
    <row r="646" spans="2:4" x14ac:dyDescent="0.35">
      <c r="B646" s="314">
        <v>44670</v>
      </c>
      <c r="C646" s="315">
        <v>46333.36</v>
      </c>
      <c r="D646" s="317">
        <f t="shared" si="10"/>
        <v>-4.4312809803437325E-3</v>
      </c>
    </row>
    <row r="647" spans="2:4" x14ac:dyDescent="0.35">
      <c r="B647" s="314">
        <v>44669</v>
      </c>
      <c r="C647" s="315">
        <v>46539.59</v>
      </c>
      <c r="D647" s="317">
        <f t="shared" si="10"/>
        <v>-1.329355210149763E-3</v>
      </c>
    </row>
    <row r="648" spans="2:4" x14ac:dyDescent="0.35">
      <c r="B648" s="314">
        <v>44666</v>
      </c>
      <c r="C648" s="315">
        <v>46601.54</v>
      </c>
      <c r="D648" s="317">
        <f t="shared" si="10"/>
        <v>2.5193381956065686E-3</v>
      </c>
    </row>
    <row r="649" spans="2:4" x14ac:dyDescent="0.35">
      <c r="B649" s="314">
        <v>44665</v>
      </c>
      <c r="C649" s="315">
        <v>46484.43</v>
      </c>
      <c r="D649" s="317">
        <f t="shared" si="10"/>
        <v>6.9084056275789951E-3</v>
      </c>
    </row>
    <row r="650" spans="2:4" x14ac:dyDescent="0.35">
      <c r="B650" s="314">
        <v>44664</v>
      </c>
      <c r="C650" s="315">
        <v>46165.5</v>
      </c>
      <c r="D650" s="317">
        <f t="shared" si="10"/>
        <v>-5.2095297158246678E-3</v>
      </c>
    </row>
    <row r="651" spans="2:4" x14ac:dyDescent="0.35">
      <c r="B651" s="314">
        <v>44663</v>
      </c>
      <c r="C651" s="315">
        <v>46407.26</v>
      </c>
      <c r="D651" s="317">
        <f t="shared" si="10"/>
        <v>5.6842610763994106E-3</v>
      </c>
    </row>
    <row r="652" spans="2:4" x14ac:dyDescent="0.35">
      <c r="B652" s="314">
        <v>44662</v>
      </c>
      <c r="C652" s="315">
        <v>46144.959999999999</v>
      </c>
      <c r="D652" s="317">
        <f t="shared" si="10"/>
        <v>3.8258433311778361E-2</v>
      </c>
    </row>
    <row r="653" spans="2:4" x14ac:dyDescent="0.35">
      <c r="B653" s="314">
        <v>44659</v>
      </c>
      <c r="C653" s="315">
        <v>44444.58</v>
      </c>
      <c r="D653" s="317">
        <f t="shared" si="10"/>
        <v>1.5021640068486386E-2</v>
      </c>
    </row>
    <row r="654" spans="2:4" x14ac:dyDescent="0.35">
      <c r="B654" s="314">
        <v>44658</v>
      </c>
      <c r="C654" s="315">
        <v>43786.83</v>
      </c>
      <c r="D654" s="317">
        <f t="shared" si="10"/>
        <v>-7.3512109197003683E-3</v>
      </c>
    </row>
    <row r="655" spans="2:4" x14ac:dyDescent="0.35">
      <c r="B655" s="314">
        <v>44657</v>
      </c>
      <c r="C655" s="315">
        <v>44111.1</v>
      </c>
      <c r="D655" s="317">
        <f t="shared" si="10"/>
        <v>4.1663555520750073E-3</v>
      </c>
    </row>
    <row r="656" spans="2:4" x14ac:dyDescent="0.35">
      <c r="B656" s="314">
        <v>44656</v>
      </c>
      <c r="C656" s="315">
        <v>43928.08</v>
      </c>
      <c r="D656" s="317">
        <f t="shared" si="10"/>
        <v>5.9313872430521997E-4</v>
      </c>
    </row>
    <row r="657" spans="2:4" x14ac:dyDescent="0.35">
      <c r="B657" s="314">
        <v>44655</v>
      </c>
      <c r="C657" s="315">
        <v>43902.04</v>
      </c>
      <c r="D657" s="317">
        <f t="shared" si="10"/>
        <v>-2.7685749348147826E-2</v>
      </c>
    </row>
    <row r="658" spans="2:4" x14ac:dyDescent="0.35">
      <c r="B658" s="314">
        <v>44652</v>
      </c>
      <c r="C658" s="315">
        <v>45152.11</v>
      </c>
      <c r="D658" s="317">
        <f t="shared" si="10"/>
        <v>4.9696375356313993E-3</v>
      </c>
    </row>
    <row r="659" spans="2:4" x14ac:dyDescent="0.35">
      <c r="B659" s="314">
        <v>44651</v>
      </c>
      <c r="C659" s="315">
        <v>44928.83</v>
      </c>
      <c r="D659" s="317">
        <f t="shared" si="10"/>
        <v>1.333564589481262E-2</v>
      </c>
    </row>
    <row r="660" spans="2:4" x14ac:dyDescent="0.35">
      <c r="B660" s="314">
        <v>44650</v>
      </c>
      <c r="C660" s="315">
        <v>44337.56</v>
      </c>
      <c r="D660" s="317">
        <f t="shared" si="10"/>
        <v>-2.2759441657833612E-3</v>
      </c>
    </row>
    <row r="661" spans="2:4" x14ac:dyDescent="0.35">
      <c r="B661" s="314">
        <v>44649</v>
      </c>
      <c r="C661" s="315">
        <v>44438.7</v>
      </c>
      <c r="D661" s="317">
        <f t="shared" si="10"/>
        <v>1.1497816247989068E-2</v>
      </c>
    </row>
    <row r="662" spans="2:4" x14ac:dyDescent="0.35">
      <c r="B662" s="314">
        <v>44648</v>
      </c>
      <c r="C662" s="315">
        <v>43933.56</v>
      </c>
      <c r="D662" s="317">
        <f t="shared" si="10"/>
        <v>8.7809412107238138E-3</v>
      </c>
    </row>
    <row r="663" spans="2:4" x14ac:dyDescent="0.35">
      <c r="B663" s="314">
        <v>44645</v>
      </c>
      <c r="C663" s="315">
        <v>43551.14</v>
      </c>
      <c r="D663" s="317">
        <f t="shared" si="10"/>
        <v>6.5690084795111403E-4</v>
      </c>
    </row>
    <row r="664" spans="2:4" x14ac:dyDescent="0.35">
      <c r="B664" s="314">
        <v>44644</v>
      </c>
      <c r="C664" s="315">
        <v>43522.55</v>
      </c>
      <c r="D664" s="317">
        <f t="shared" si="10"/>
        <v>7.3780564158838491E-3</v>
      </c>
    </row>
    <row r="665" spans="2:4" x14ac:dyDescent="0.35">
      <c r="B665" s="314">
        <v>44642</v>
      </c>
      <c r="C665" s="315">
        <v>43203.79</v>
      </c>
      <c r="D665" s="317">
        <f t="shared" si="10"/>
        <v>-6.1137787408904742E-4</v>
      </c>
    </row>
    <row r="666" spans="2:4" x14ac:dyDescent="0.35">
      <c r="B666" s="314">
        <v>44641</v>
      </c>
      <c r="C666" s="315">
        <v>43230.22</v>
      </c>
      <c r="D666" s="317">
        <f t="shared" si="10"/>
        <v>4.653733200371768E-3</v>
      </c>
    </row>
    <row r="667" spans="2:4" x14ac:dyDescent="0.35">
      <c r="B667" s="314">
        <v>44638</v>
      </c>
      <c r="C667" s="315">
        <v>43029.97</v>
      </c>
      <c r="D667" s="317">
        <f t="shared" si="10"/>
        <v>-1.7742733334200844E-2</v>
      </c>
    </row>
    <row r="668" spans="2:4" x14ac:dyDescent="0.35">
      <c r="B668" s="314">
        <v>44637</v>
      </c>
      <c r="C668" s="315">
        <v>43807.23</v>
      </c>
      <c r="D668" s="317">
        <f t="shared" si="10"/>
        <v>-3.8307528545884484E-3</v>
      </c>
    </row>
    <row r="669" spans="2:4" x14ac:dyDescent="0.35">
      <c r="B669" s="314">
        <v>44636</v>
      </c>
      <c r="C669" s="315">
        <v>43975.69</v>
      </c>
      <c r="D669" s="317">
        <f t="shared" si="10"/>
        <v>5.8524943606812485E-3</v>
      </c>
    </row>
    <row r="670" spans="2:4" x14ac:dyDescent="0.35">
      <c r="B670" s="314">
        <v>44635</v>
      </c>
      <c r="C670" s="315">
        <v>43719.82</v>
      </c>
      <c r="D670" s="317">
        <f t="shared" si="10"/>
        <v>8.138236336522997E-3</v>
      </c>
    </row>
    <row r="671" spans="2:4" x14ac:dyDescent="0.35">
      <c r="B671" s="314">
        <v>44634</v>
      </c>
      <c r="C671" s="315">
        <v>43366.89</v>
      </c>
      <c r="D671" s="317">
        <f t="shared" si="10"/>
        <v>-6.5616987295127327E-3</v>
      </c>
    </row>
    <row r="672" spans="2:4" x14ac:dyDescent="0.35">
      <c r="B672" s="314">
        <v>44631</v>
      </c>
      <c r="C672" s="315">
        <v>43653.33</v>
      </c>
      <c r="D672" s="317">
        <f t="shared" si="10"/>
        <v>-4.5672398310561135E-3</v>
      </c>
    </row>
    <row r="673" spans="2:4" x14ac:dyDescent="0.35">
      <c r="B673" s="314">
        <v>44630</v>
      </c>
      <c r="C673" s="315">
        <v>43853.62</v>
      </c>
      <c r="D673" s="317">
        <f t="shared" si="10"/>
        <v>1.8833741917377411E-2</v>
      </c>
    </row>
    <row r="674" spans="2:4" x14ac:dyDescent="0.35">
      <c r="B674" s="314">
        <v>44629</v>
      </c>
      <c r="C674" s="315">
        <v>43042.96</v>
      </c>
      <c r="D674" s="317">
        <f t="shared" si="10"/>
        <v>3.8390003346677748E-3</v>
      </c>
    </row>
    <row r="675" spans="2:4" x14ac:dyDescent="0.35">
      <c r="B675" s="314">
        <v>44628</v>
      </c>
      <c r="C675" s="315">
        <v>42878.35</v>
      </c>
      <c r="D675" s="317">
        <f t="shared" si="10"/>
        <v>-8.981909294780821E-3</v>
      </c>
    </row>
    <row r="676" spans="2:4" x14ac:dyDescent="0.35">
      <c r="B676" s="314">
        <v>44627</v>
      </c>
      <c r="C676" s="315">
        <v>43266.97</v>
      </c>
      <c r="D676" s="317">
        <f t="shared" si="10"/>
        <v>-2.8829204951140608E-2</v>
      </c>
    </row>
    <row r="677" spans="2:4" x14ac:dyDescent="0.35">
      <c r="B677" s="314">
        <v>44624</v>
      </c>
      <c r="C677" s="315">
        <v>44551.35</v>
      </c>
      <c r="D677" s="317">
        <f t="shared" si="10"/>
        <v>5.7562235939134787E-4</v>
      </c>
    </row>
    <row r="678" spans="2:4" x14ac:dyDescent="0.35">
      <c r="B678" s="314">
        <v>44623</v>
      </c>
      <c r="C678" s="315">
        <v>44525.72</v>
      </c>
      <c r="D678" s="317">
        <f t="shared" si="10"/>
        <v>2.6059147075119249E-4</v>
      </c>
    </row>
    <row r="679" spans="2:4" x14ac:dyDescent="0.35">
      <c r="B679" s="314">
        <v>44622</v>
      </c>
      <c r="C679" s="315">
        <v>44514.12</v>
      </c>
      <c r="D679" s="317">
        <f t="shared" si="10"/>
        <v>-6.4606444395738372E-3</v>
      </c>
    </row>
    <row r="680" spans="2:4" x14ac:dyDescent="0.35">
      <c r="B680" s="314">
        <v>44621</v>
      </c>
      <c r="C680" s="315">
        <v>44803.58</v>
      </c>
      <c r="D680" s="317">
        <f t="shared" si="10"/>
        <v>7.7049531713291319E-3</v>
      </c>
    </row>
    <row r="681" spans="2:4" x14ac:dyDescent="0.35">
      <c r="B681" s="314">
        <v>44620</v>
      </c>
      <c r="C681" s="315">
        <v>44461.01</v>
      </c>
      <c r="D681" s="317">
        <f t="shared" si="10"/>
        <v>1.0839564353050113E-2</v>
      </c>
    </row>
    <row r="682" spans="2:4" x14ac:dyDescent="0.35">
      <c r="B682" s="314">
        <v>44617</v>
      </c>
      <c r="C682" s="315">
        <v>43984.24</v>
      </c>
      <c r="D682" s="317">
        <f t="shared" si="10"/>
        <v>3.5073742012126097E-3</v>
      </c>
    </row>
    <row r="683" spans="2:4" x14ac:dyDescent="0.35">
      <c r="B683" s="314">
        <v>44616</v>
      </c>
      <c r="C683" s="315">
        <v>43830.51</v>
      </c>
      <c r="D683" s="317">
        <f t="shared" si="10"/>
        <v>-2.8857206668657764E-2</v>
      </c>
    </row>
    <row r="684" spans="2:4" x14ac:dyDescent="0.35">
      <c r="B684" s="314">
        <v>44615</v>
      </c>
      <c r="C684" s="315">
        <v>45132.92</v>
      </c>
      <c r="D684" s="317">
        <f t="shared" si="10"/>
        <v>2.6823850788830761E-3</v>
      </c>
    </row>
    <row r="685" spans="2:4" x14ac:dyDescent="0.35">
      <c r="B685" s="314">
        <v>44614</v>
      </c>
      <c r="C685" s="315">
        <v>45012.18</v>
      </c>
      <c r="D685" s="317">
        <f t="shared" si="10"/>
        <v>-7.7303344035922761E-3</v>
      </c>
    </row>
    <row r="686" spans="2:4" x14ac:dyDescent="0.35">
      <c r="B686" s="314">
        <v>44613</v>
      </c>
      <c r="C686" s="315">
        <v>45362.85</v>
      </c>
      <c r="D686" s="317">
        <f t="shared" si="10"/>
        <v>-6.8530714357494249E-3</v>
      </c>
    </row>
    <row r="687" spans="2:4" x14ac:dyDescent="0.35">
      <c r="B687" s="314">
        <v>44610</v>
      </c>
      <c r="C687" s="315">
        <v>45675.87</v>
      </c>
      <c r="D687" s="317">
        <f t="shared" si="10"/>
        <v>5.1664682413059548E-3</v>
      </c>
    </row>
    <row r="688" spans="2:4" x14ac:dyDescent="0.35">
      <c r="B688" s="314">
        <v>44609</v>
      </c>
      <c r="C688" s="315">
        <v>45441.1</v>
      </c>
      <c r="D688" s="317">
        <f t="shared" si="10"/>
        <v>-5.3343781739222385E-3</v>
      </c>
    </row>
    <row r="689" spans="2:4" x14ac:dyDescent="0.35">
      <c r="B689" s="314">
        <v>44608</v>
      </c>
      <c r="C689" s="315">
        <v>45684.800000000003</v>
      </c>
      <c r="D689" s="317">
        <f t="shared" si="10"/>
        <v>-1.0255468307540649E-3</v>
      </c>
    </row>
    <row r="690" spans="2:4" x14ac:dyDescent="0.35">
      <c r="B690" s="314">
        <v>44607</v>
      </c>
      <c r="C690" s="315">
        <v>45731.7</v>
      </c>
      <c r="D690" s="317">
        <f t="shared" si="10"/>
        <v>1.9194160733624344E-3</v>
      </c>
    </row>
    <row r="691" spans="2:4" x14ac:dyDescent="0.35">
      <c r="B691" s="314">
        <v>44606</v>
      </c>
      <c r="C691" s="315">
        <v>45644.09</v>
      </c>
      <c r="D691" s="317">
        <f t="shared" si="10"/>
        <v>-9.446309704321143E-3</v>
      </c>
    </row>
    <row r="692" spans="2:4" x14ac:dyDescent="0.35">
      <c r="B692" s="314">
        <v>44603</v>
      </c>
      <c r="C692" s="315">
        <v>46079.37</v>
      </c>
      <c r="D692" s="317">
        <f t="shared" si="10"/>
        <v>3.0328663187930704E-3</v>
      </c>
    </row>
    <row r="693" spans="2:4" x14ac:dyDescent="0.35">
      <c r="B693" s="314">
        <v>44602</v>
      </c>
      <c r="C693" s="315">
        <v>45940.04</v>
      </c>
      <c r="D693" s="317">
        <f t="shared" si="10"/>
        <v>-8.6258539103353238E-3</v>
      </c>
    </row>
    <row r="694" spans="2:4" x14ac:dyDescent="0.35">
      <c r="B694" s="314">
        <v>44601</v>
      </c>
      <c r="C694" s="315">
        <v>46339.76</v>
      </c>
      <c r="D694" s="317">
        <f t="shared" si="10"/>
        <v>8.5272574728578743E-3</v>
      </c>
    </row>
    <row r="695" spans="2:4" x14ac:dyDescent="0.35">
      <c r="B695" s="314">
        <v>44600</v>
      </c>
      <c r="C695" s="315">
        <v>45947.95</v>
      </c>
      <c r="D695" s="317">
        <f t="shared" si="10"/>
        <v>2.3275979603523123E-3</v>
      </c>
    </row>
    <row r="696" spans="2:4" x14ac:dyDescent="0.35">
      <c r="B696" s="314">
        <v>44599</v>
      </c>
      <c r="C696" s="315">
        <v>45841.25</v>
      </c>
      <c r="D696" s="317">
        <f t="shared" si="10"/>
        <v>-1.4898828459811719E-3</v>
      </c>
    </row>
    <row r="697" spans="2:4" x14ac:dyDescent="0.35">
      <c r="B697" s="314">
        <v>44596</v>
      </c>
      <c r="C697" s="315">
        <v>45909.65</v>
      </c>
      <c r="D697" s="317">
        <f t="shared" si="10"/>
        <v>1.0186876416313773E-3</v>
      </c>
    </row>
    <row r="698" spans="2:4" x14ac:dyDescent="0.35">
      <c r="B698" s="314">
        <v>44595</v>
      </c>
      <c r="C698" s="315">
        <v>45862.93</v>
      </c>
      <c r="D698" s="317">
        <f t="shared" si="10"/>
        <v>-5.5556097629726464E-3</v>
      </c>
    </row>
    <row r="699" spans="2:4" x14ac:dyDescent="0.35">
      <c r="B699" s="314">
        <v>44594</v>
      </c>
      <c r="C699" s="315">
        <v>46119.15</v>
      </c>
      <c r="D699" s="317">
        <f t="shared" si="10"/>
        <v>9.7351914087728808E-3</v>
      </c>
    </row>
    <row r="700" spans="2:4" x14ac:dyDescent="0.35">
      <c r="B700" s="314">
        <v>44593</v>
      </c>
      <c r="C700" s="315">
        <v>45674.5</v>
      </c>
      <c r="D700" s="317">
        <f t="shared" si="10"/>
        <v>6.6076499051894722E-3</v>
      </c>
    </row>
    <row r="701" spans="2:4" x14ac:dyDescent="0.35">
      <c r="B701" s="314">
        <v>44592</v>
      </c>
      <c r="C701" s="315">
        <v>45374.68</v>
      </c>
      <c r="D701" s="317">
        <f t="shared" si="10"/>
        <v>6.5834906720385611E-3</v>
      </c>
    </row>
    <row r="702" spans="2:4" x14ac:dyDescent="0.35">
      <c r="B702" s="314">
        <v>44589</v>
      </c>
      <c r="C702" s="315">
        <v>45077.91</v>
      </c>
      <c r="D702" s="317">
        <f t="shared" si="10"/>
        <v>-1.1379001948397249E-4</v>
      </c>
    </row>
    <row r="703" spans="2:4" x14ac:dyDescent="0.35">
      <c r="B703" s="314">
        <v>44588</v>
      </c>
      <c r="C703" s="315">
        <v>45083.040000000001</v>
      </c>
      <c r="D703" s="317">
        <f t="shared" si="10"/>
        <v>2.847066124940234E-3</v>
      </c>
    </row>
    <row r="704" spans="2:4" x14ac:dyDescent="0.35">
      <c r="B704" s="314">
        <v>44587</v>
      </c>
      <c r="C704" s="315">
        <v>44955.05</v>
      </c>
      <c r="D704" s="317">
        <f t="shared" si="10"/>
        <v>1.4988492411185383E-3</v>
      </c>
    </row>
    <row r="705" spans="2:4" x14ac:dyDescent="0.35">
      <c r="B705" s="314">
        <v>44586</v>
      </c>
      <c r="C705" s="315">
        <v>44887.77</v>
      </c>
      <c r="D705" s="317">
        <f t="shared" si="10"/>
        <v>-8.0447138283390451E-4</v>
      </c>
    </row>
    <row r="706" spans="2:4" x14ac:dyDescent="0.35">
      <c r="B706" s="314">
        <v>44585</v>
      </c>
      <c r="C706" s="315">
        <v>44923.91</v>
      </c>
      <c r="D706" s="317">
        <f t="shared" si="10"/>
        <v>-2.0962595638925885E-3</v>
      </c>
    </row>
    <row r="707" spans="2:4" x14ac:dyDescent="0.35">
      <c r="B707" s="314">
        <v>44582</v>
      </c>
      <c r="C707" s="315">
        <v>45018.28</v>
      </c>
      <c r="D707" s="317">
        <f t="shared" si="10"/>
        <v>4.2901469839915496E-3</v>
      </c>
    </row>
    <row r="708" spans="2:4" x14ac:dyDescent="0.35">
      <c r="B708" s="314">
        <v>44581</v>
      </c>
      <c r="C708" s="315">
        <v>44825.97</v>
      </c>
      <c r="D708" s="317">
        <f t="shared" ref="D708:D771" si="11">(C708/C709)-1</f>
        <v>-1.6639369327753339E-4</v>
      </c>
    </row>
    <row r="709" spans="2:4" x14ac:dyDescent="0.35">
      <c r="B709" s="314">
        <v>44580</v>
      </c>
      <c r="C709" s="315">
        <v>44833.43</v>
      </c>
      <c r="D709" s="317">
        <f t="shared" si="11"/>
        <v>-1.4810335283858223E-2</v>
      </c>
    </row>
    <row r="710" spans="2:4" x14ac:dyDescent="0.35">
      <c r="B710" s="314">
        <v>44579</v>
      </c>
      <c r="C710" s="315">
        <v>45507.41</v>
      </c>
      <c r="D710" s="317">
        <f t="shared" si="11"/>
        <v>-2.2974116574072667E-3</v>
      </c>
    </row>
    <row r="711" spans="2:4" x14ac:dyDescent="0.35">
      <c r="B711" s="314">
        <v>44578</v>
      </c>
      <c r="C711" s="315">
        <v>45612.2</v>
      </c>
      <c r="D711" s="317">
        <f t="shared" si="11"/>
        <v>-3.3050392835329845E-3</v>
      </c>
    </row>
    <row r="712" spans="2:4" x14ac:dyDescent="0.35">
      <c r="B712" s="314">
        <v>44575</v>
      </c>
      <c r="C712" s="315">
        <v>45763.45</v>
      </c>
      <c r="D712" s="317">
        <f t="shared" si="11"/>
        <v>5.4629046919441038E-6</v>
      </c>
    </row>
    <row r="713" spans="2:4" x14ac:dyDescent="0.35">
      <c r="B713" s="314">
        <v>44574</v>
      </c>
      <c r="C713" s="315">
        <v>45763.199999999997</v>
      </c>
      <c r="D713" s="317">
        <f t="shared" si="11"/>
        <v>-3.3332425884082806E-3</v>
      </c>
    </row>
    <row r="714" spans="2:4" x14ac:dyDescent="0.35">
      <c r="B714" s="314">
        <v>44573</v>
      </c>
      <c r="C714" s="315">
        <v>45916.25</v>
      </c>
      <c r="D714" s="317">
        <f t="shared" si="11"/>
        <v>7.6545629979030139E-4</v>
      </c>
    </row>
    <row r="715" spans="2:4" x14ac:dyDescent="0.35">
      <c r="B715" s="314">
        <v>44572</v>
      </c>
      <c r="C715" s="315">
        <v>45881.13</v>
      </c>
      <c r="D715" s="317">
        <f t="shared" si="11"/>
        <v>-1.4165037505753375E-4</v>
      </c>
    </row>
    <row r="716" spans="2:4" x14ac:dyDescent="0.35">
      <c r="B716" s="314">
        <v>44571</v>
      </c>
      <c r="C716" s="315">
        <v>45887.63</v>
      </c>
      <c r="D716" s="317">
        <f t="shared" si="11"/>
        <v>1.195219387085622E-2</v>
      </c>
    </row>
    <row r="717" spans="2:4" x14ac:dyDescent="0.35">
      <c r="B717" s="314">
        <v>44568</v>
      </c>
      <c r="C717" s="315">
        <v>45345.65</v>
      </c>
      <c r="D717" s="317">
        <f t="shared" si="11"/>
        <v>5.8415386970052108E-3</v>
      </c>
    </row>
    <row r="718" spans="2:4" x14ac:dyDescent="0.35">
      <c r="B718" s="314">
        <v>44567</v>
      </c>
      <c r="C718" s="315">
        <v>45082.3</v>
      </c>
      <c r="D718" s="317">
        <f t="shared" si="11"/>
        <v>-7.1703397801570201E-3</v>
      </c>
    </row>
    <row r="719" spans="2:4" x14ac:dyDescent="0.35">
      <c r="B719" s="314">
        <v>44566</v>
      </c>
      <c r="C719" s="315">
        <v>45407.89</v>
      </c>
      <c r="D719" s="317">
        <f t="shared" si="11"/>
        <v>3.7562644797950462E-4</v>
      </c>
    </row>
    <row r="720" spans="2:4" x14ac:dyDescent="0.35">
      <c r="B720" s="314">
        <v>44565</v>
      </c>
      <c r="C720" s="315">
        <v>45390.84</v>
      </c>
      <c r="D720" s="317">
        <f t="shared" si="11"/>
        <v>1.122710885071343E-2</v>
      </c>
    </row>
    <row r="721" spans="2:4" x14ac:dyDescent="0.35">
      <c r="B721" s="314">
        <v>44564</v>
      </c>
      <c r="C721" s="315">
        <v>44886.89</v>
      </c>
      <c r="D721" s="317">
        <f t="shared" si="11"/>
        <v>6.5212024288239245E-3</v>
      </c>
    </row>
    <row r="722" spans="2:4" x14ac:dyDescent="0.35">
      <c r="B722" s="314">
        <v>44561</v>
      </c>
      <c r="C722" s="315">
        <v>44596.07</v>
      </c>
      <c r="D722" s="317">
        <f t="shared" si="11"/>
        <v>4.0496485516545722E-3</v>
      </c>
    </row>
    <row r="723" spans="2:4" x14ac:dyDescent="0.35">
      <c r="B723" s="314">
        <v>44560</v>
      </c>
      <c r="C723" s="315">
        <v>44416.2</v>
      </c>
      <c r="D723" s="317">
        <f t="shared" si="11"/>
        <v>3.5266518768253263E-3</v>
      </c>
    </row>
    <row r="724" spans="2:4" x14ac:dyDescent="0.35">
      <c r="B724" s="314">
        <v>44559</v>
      </c>
      <c r="C724" s="315">
        <v>44260.11</v>
      </c>
      <c r="D724" s="317">
        <f t="shared" si="11"/>
        <v>4.9126164126842564E-3</v>
      </c>
    </row>
    <row r="725" spans="2:4" x14ac:dyDescent="0.35">
      <c r="B725" s="314">
        <v>44558</v>
      </c>
      <c r="C725" s="315">
        <v>44043.74</v>
      </c>
      <c r="D725" s="317">
        <f t="shared" si="11"/>
        <v>2.9672009298291613E-3</v>
      </c>
    </row>
    <row r="726" spans="2:4" x14ac:dyDescent="0.35">
      <c r="B726" s="314">
        <v>44557</v>
      </c>
      <c r="C726" s="315">
        <v>43913.440000000002</v>
      </c>
      <c r="D726" s="317">
        <f t="shared" si="11"/>
        <v>-4.6454551038692671E-3</v>
      </c>
    </row>
    <row r="727" spans="2:4" x14ac:dyDescent="0.35">
      <c r="B727" s="314">
        <v>44554</v>
      </c>
      <c r="C727" s="315">
        <v>44118.39</v>
      </c>
      <c r="D727" s="317">
        <f t="shared" si="11"/>
        <v>-3.3548768944742235E-3</v>
      </c>
    </row>
    <row r="728" spans="2:4" x14ac:dyDescent="0.35">
      <c r="B728" s="314">
        <v>44553</v>
      </c>
      <c r="C728" s="315">
        <v>44266.9</v>
      </c>
      <c r="D728" s="317">
        <f t="shared" si="11"/>
        <v>2.0810427262316633E-3</v>
      </c>
    </row>
    <row r="729" spans="2:4" x14ac:dyDescent="0.35">
      <c r="B729" s="314">
        <v>44552</v>
      </c>
      <c r="C729" s="315">
        <v>44174.97</v>
      </c>
      <c r="D729" s="317">
        <f t="shared" si="11"/>
        <v>-4.7535972847456698E-5</v>
      </c>
    </row>
    <row r="730" spans="2:4" x14ac:dyDescent="0.35">
      <c r="B730" s="314">
        <v>44551</v>
      </c>
      <c r="C730" s="315">
        <v>44177.07</v>
      </c>
      <c r="D730" s="317">
        <f t="shared" si="11"/>
        <v>-3.6734367088820941E-3</v>
      </c>
    </row>
    <row r="731" spans="2:4" x14ac:dyDescent="0.35">
      <c r="B731" s="314">
        <v>44550</v>
      </c>
      <c r="C731" s="315">
        <v>44339.95</v>
      </c>
      <c r="D731" s="317">
        <f t="shared" si="11"/>
        <v>1.0005995351324737E-2</v>
      </c>
    </row>
    <row r="732" spans="2:4" x14ac:dyDescent="0.35">
      <c r="B732" s="314">
        <v>44547</v>
      </c>
      <c r="C732" s="315">
        <v>43900.68</v>
      </c>
      <c r="D732" s="317">
        <f t="shared" si="11"/>
        <v>3.8754939265330801E-3</v>
      </c>
    </row>
    <row r="733" spans="2:4" x14ac:dyDescent="0.35">
      <c r="B733" s="314">
        <v>44546</v>
      </c>
      <c r="C733" s="315">
        <v>43731.199999999997</v>
      </c>
      <c r="D733" s="317">
        <f t="shared" si="11"/>
        <v>-1.4327360556956381E-2</v>
      </c>
    </row>
    <row r="734" spans="2:4" x14ac:dyDescent="0.35">
      <c r="B734" s="314">
        <v>44545</v>
      </c>
      <c r="C734" s="315">
        <v>44366.86</v>
      </c>
      <c r="D734" s="317">
        <f t="shared" si="11"/>
        <v>2.5901392267758672E-2</v>
      </c>
    </row>
    <row r="735" spans="2:4" x14ac:dyDescent="0.35">
      <c r="B735" s="314">
        <v>44544</v>
      </c>
      <c r="C735" s="315">
        <v>43246.71</v>
      </c>
      <c r="D735" s="317">
        <f t="shared" si="11"/>
        <v>8.6373916448616583E-3</v>
      </c>
    </row>
    <row r="736" spans="2:4" x14ac:dyDescent="0.35">
      <c r="B736" s="314">
        <v>44543</v>
      </c>
      <c r="C736" s="315">
        <v>42876.37</v>
      </c>
      <c r="D736" s="317">
        <f t="shared" si="11"/>
        <v>-1.1969136169461603E-2</v>
      </c>
    </row>
    <row r="737" spans="2:4" x14ac:dyDescent="0.35">
      <c r="B737" s="314">
        <v>44540</v>
      </c>
      <c r="C737" s="315">
        <v>43395.78</v>
      </c>
      <c r="D737" s="317">
        <f t="shared" si="11"/>
        <v>-2.827740812944457E-3</v>
      </c>
    </row>
    <row r="738" spans="2:4" x14ac:dyDescent="0.35">
      <c r="B738" s="314">
        <v>44539</v>
      </c>
      <c r="C738" s="315">
        <v>43518.84</v>
      </c>
      <c r="D738" s="317">
        <f t="shared" si="11"/>
        <v>-7.4812637709374963E-3</v>
      </c>
    </row>
    <row r="739" spans="2:4" x14ac:dyDescent="0.35">
      <c r="B739" s="314">
        <v>44538</v>
      </c>
      <c r="C739" s="315">
        <v>43846.87</v>
      </c>
      <c r="D739" s="317">
        <f t="shared" si="11"/>
        <v>-1.5095719861735191E-4</v>
      </c>
    </row>
    <row r="740" spans="2:4" x14ac:dyDescent="0.35">
      <c r="B740" s="314">
        <v>44537</v>
      </c>
      <c r="C740" s="315">
        <v>43853.49</v>
      </c>
      <c r="D740" s="317">
        <f t="shared" si="11"/>
        <v>1.3232666609212407E-2</v>
      </c>
    </row>
    <row r="741" spans="2:4" x14ac:dyDescent="0.35">
      <c r="B741" s="314">
        <v>44536</v>
      </c>
      <c r="C741" s="315">
        <v>43280.77</v>
      </c>
      <c r="D741" s="317">
        <f t="shared" si="11"/>
        <v>1.1088795251199546E-3</v>
      </c>
    </row>
    <row r="742" spans="2:4" x14ac:dyDescent="0.35">
      <c r="B742" s="314">
        <v>44533</v>
      </c>
      <c r="C742" s="315">
        <v>43232.83</v>
      </c>
      <c r="D742" s="317">
        <f t="shared" si="11"/>
        <v>-3.0531420185164748E-5</v>
      </c>
    </row>
    <row r="743" spans="2:4" x14ac:dyDescent="0.35">
      <c r="B743" s="314">
        <v>44532</v>
      </c>
      <c r="C743" s="315">
        <v>43234.15</v>
      </c>
      <c r="D743" s="317">
        <f t="shared" si="11"/>
        <v>-4.7058198590495648E-2</v>
      </c>
    </row>
    <row r="744" spans="2:4" x14ac:dyDescent="0.35">
      <c r="B744" s="314">
        <v>44531</v>
      </c>
      <c r="C744" s="315">
        <v>45369.14</v>
      </c>
      <c r="D744" s="317">
        <f t="shared" si="11"/>
        <v>6.5840765453255568E-3</v>
      </c>
    </row>
    <row r="745" spans="2:4" x14ac:dyDescent="0.35">
      <c r="B745" s="314">
        <v>44530</v>
      </c>
      <c r="C745" s="315">
        <v>45072.38</v>
      </c>
      <c r="D745" s="317">
        <f t="shared" si="11"/>
        <v>-5.6843087532443271E-3</v>
      </c>
    </row>
    <row r="746" spans="2:4" x14ac:dyDescent="0.35">
      <c r="B746" s="316">
        <v>44529</v>
      </c>
      <c r="C746" s="315">
        <v>45330.05</v>
      </c>
      <c r="D746" s="317">
        <f t="shared" si="11"/>
        <v>2.7562351861624368E-2</v>
      </c>
    </row>
    <row r="747" spans="2:4" x14ac:dyDescent="0.35">
      <c r="B747" s="314">
        <v>44526</v>
      </c>
      <c r="C747" s="315">
        <v>44114.16</v>
      </c>
      <c r="D747" s="317">
        <f t="shared" si="11"/>
        <v>4.0607022754819422E-3</v>
      </c>
    </row>
    <row r="748" spans="2:4" x14ac:dyDescent="0.35">
      <c r="B748" s="314">
        <v>44525</v>
      </c>
      <c r="C748" s="315">
        <v>43935.75</v>
      </c>
      <c r="D748" s="317">
        <f t="shared" si="11"/>
        <v>-9.6464000973768282E-3</v>
      </c>
    </row>
    <row r="749" spans="2:4" x14ac:dyDescent="0.35">
      <c r="B749" s="314">
        <v>44524</v>
      </c>
      <c r="C749" s="315">
        <v>44363.7</v>
      </c>
      <c r="D749" s="317">
        <f t="shared" si="11"/>
        <v>-1.3010884451812865E-2</v>
      </c>
    </row>
    <row r="750" spans="2:4" x14ac:dyDescent="0.35">
      <c r="B750" s="314">
        <v>44523</v>
      </c>
      <c r="C750" s="315">
        <v>44948.52</v>
      </c>
      <c r="D750" s="317">
        <f t="shared" si="11"/>
        <v>-1.741130178161554E-2</v>
      </c>
    </row>
    <row r="751" spans="2:4" x14ac:dyDescent="0.35">
      <c r="B751" s="314">
        <v>44522</v>
      </c>
      <c r="C751" s="315">
        <v>45745</v>
      </c>
      <c r="D751" s="317">
        <f t="shared" si="11"/>
        <v>-1.6012463913824715E-2</v>
      </c>
    </row>
    <row r="752" spans="2:4" x14ac:dyDescent="0.35">
      <c r="B752" s="314">
        <v>44519</v>
      </c>
      <c r="C752" s="315">
        <v>46489.41</v>
      </c>
      <c r="D752" s="317">
        <f t="shared" si="11"/>
        <v>8.2174342069594175E-3</v>
      </c>
    </row>
    <row r="753" spans="2:4" x14ac:dyDescent="0.35">
      <c r="B753" s="314">
        <v>44518</v>
      </c>
      <c r="C753" s="315">
        <v>46110.5</v>
      </c>
      <c r="D753" s="317">
        <f t="shared" si="11"/>
        <v>-1.8166696323927978E-3</v>
      </c>
    </row>
    <row r="754" spans="2:4" x14ac:dyDescent="0.35">
      <c r="B754" s="314">
        <v>44517</v>
      </c>
      <c r="C754" s="315">
        <v>46194.42</v>
      </c>
      <c r="D754" s="317">
        <f t="shared" si="11"/>
        <v>-7.4874991701208149E-3</v>
      </c>
    </row>
    <row r="755" spans="2:4" x14ac:dyDescent="0.35">
      <c r="B755" s="314">
        <v>44516</v>
      </c>
      <c r="C755" s="315">
        <v>46542.91</v>
      </c>
      <c r="D755" s="317">
        <f t="shared" si="11"/>
        <v>1.7636990868951763E-2</v>
      </c>
    </row>
    <row r="756" spans="2:4" x14ac:dyDescent="0.35">
      <c r="B756" s="314">
        <v>44515</v>
      </c>
      <c r="C756" s="315">
        <v>45736.26</v>
      </c>
      <c r="D756" s="317">
        <f t="shared" si="11"/>
        <v>-2.8175386865114671E-4</v>
      </c>
    </row>
    <row r="757" spans="2:4" x14ac:dyDescent="0.35">
      <c r="B757" s="314">
        <v>44512</v>
      </c>
      <c r="C757" s="315">
        <v>45749.15</v>
      </c>
      <c r="D757" s="317">
        <f t="shared" si="11"/>
        <v>-1.2924563596671934E-2</v>
      </c>
    </row>
    <row r="758" spans="2:4" x14ac:dyDescent="0.35">
      <c r="B758" s="314">
        <v>44511</v>
      </c>
      <c r="C758" s="315">
        <v>46348.18</v>
      </c>
      <c r="D758" s="317">
        <f t="shared" si="11"/>
        <v>-6.0411907557985645E-3</v>
      </c>
    </row>
    <row r="759" spans="2:4" x14ac:dyDescent="0.35">
      <c r="B759" s="314">
        <v>44510</v>
      </c>
      <c r="C759" s="315">
        <v>46629.88</v>
      </c>
      <c r="D759" s="317">
        <f t="shared" si="11"/>
        <v>4.9562596134344883E-3</v>
      </c>
    </row>
    <row r="760" spans="2:4" x14ac:dyDescent="0.35">
      <c r="B760" s="314">
        <v>44509</v>
      </c>
      <c r="C760" s="315">
        <v>46399.91</v>
      </c>
      <c r="D760" s="317">
        <f t="shared" si="11"/>
        <v>-1.5178380406766001E-2</v>
      </c>
    </row>
    <row r="761" spans="2:4" x14ac:dyDescent="0.35">
      <c r="B761" s="314">
        <v>44508</v>
      </c>
      <c r="C761" s="315">
        <v>47115.040000000001</v>
      </c>
      <c r="D761" s="317">
        <f t="shared" si="11"/>
        <v>-3.8219038476989819E-3</v>
      </c>
    </row>
    <row r="762" spans="2:4" x14ac:dyDescent="0.35">
      <c r="B762" s="314">
        <v>44505</v>
      </c>
      <c r="C762" s="315">
        <v>47295.8</v>
      </c>
      <c r="D762" s="317">
        <f t="shared" si="11"/>
        <v>1.6226457130343874E-3</v>
      </c>
    </row>
    <row r="763" spans="2:4" x14ac:dyDescent="0.35">
      <c r="B763" s="314">
        <v>44504</v>
      </c>
      <c r="C763" s="315">
        <v>47219.18</v>
      </c>
      <c r="D763" s="317">
        <f t="shared" si="11"/>
        <v>3.9704510333717913E-3</v>
      </c>
    </row>
    <row r="764" spans="2:4" x14ac:dyDescent="0.35">
      <c r="B764" s="314">
        <v>44503</v>
      </c>
      <c r="C764" s="315">
        <v>47032.44</v>
      </c>
      <c r="D764" s="317">
        <f t="shared" si="11"/>
        <v>-1.7082362969647047E-3</v>
      </c>
    </row>
    <row r="765" spans="2:4" x14ac:dyDescent="0.35">
      <c r="B765" s="314">
        <v>44502</v>
      </c>
      <c r="C765" s="315">
        <v>47112.92</v>
      </c>
      <c r="D765" s="317">
        <f t="shared" si="11"/>
        <v>3.5510853804812115E-3</v>
      </c>
    </row>
    <row r="766" spans="2:4" x14ac:dyDescent="0.35">
      <c r="B766" s="314">
        <v>44501</v>
      </c>
      <c r="C766" s="315">
        <v>46946.21</v>
      </c>
      <c r="D766" s="317">
        <f t="shared" si="11"/>
        <v>1.5735543856164602E-2</v>
      </c>
    </row>
    <row r="767" spans="2:4" x14ac:dyDescent="0.35">
      <c r="B767" s="314">
        <v>44498</v>
      </c>
      <c r="C767" s="315">
        <v>46218.93</v>
      </c>
      <c r="D767" s="317">
        <f t="shared" si="11"/>
        <v>4.9618694897861637E-3</v>
      </c>
    </row>
    <row r="768" spans="2:4" x14ac:dyDescent="0.35">
      <c r="B768" s="314">
        <v>44497</v>
      </c>
      <c r="C768" s="315">
        <v>45990.73</v>
      </c>
      <c r="D768" s="317">
        <f t="shared" si="11"/>
        <v>3.0466048316462047E-3</v>
      </c>
    </row>
    <row r="769" spans="2:4" x14ac:dyDescent="0.35">
      <c r="B769" s="314">
        <v>44496</v>
      </c>
      <c r="C769" s="315">
        <v>45851.040000000001</v>
      </c>
      <c r="D769" s="317">
        <f t="shared" si="11"/>
        <v>1.3148759567243928E-2</v>
      </c>
    </row>
    <row r="770" spans="2:4" x14ac:dyDescent="0.35">
      <c r="B770" s="314">
        <v>44495</v>
      </c>
      <c r="C770" s="315">
        <v>45255.98</v>
      </c>
      <c r="D770" s="317">
        <f t="shared" si="11"/>
        <v>-3.8134046765495588E-3</v>
      </c>
    </row>
    <row r="771" spans="2:4" x14ac:dyDescent="0.35">
      <c r="B771" s="314">
        <v>44494</v>
      </c>
      <c r="C771" s="315">
        <v>45429.22</v>
      </c>
      <c r="D771" s="317">
        <f t="shared" si="11"/>
        <v>-3.2721668791944047E-3</v>
      </c>
    </row>
    <row r="772" spans="2:4" x14ac:dyDescent="0.35">
      <c r="B772" s="314">
        <v>44491</v>
      </c>
      <c r="C772" s="315">
        <v>45578.36</v>
      </c>
      <c r="D772" s="317">
        <f t="shared" ref="D772:D835" si="12">(C772/C773)-1</f>
        <v>-5.3040718965374767E-3</v>
      </c>
    </row>
    <row r="773" spans="2:4" x14ac:dyDescent="0.35">
      <c r="B773" s="314">
        <v>44490</v>
      </c>
      <c r="C773" s="315">
        <v>45821.4</v>
      </c>
      <c r="D773" s="317">
        <f t="shared" si="12"/>
        <v>7.0756883708071872E-3</v>
      </c>
    </row>
    <row r="774" spans="2:4" x14ac:dyDescent="0.35">
      <c r="B774" s="314">
        <v>44489</v>
      </c>
      <c r="C774" s="315">
        <v>45499.46</v>
      </c>
      <c r="D774" s="317">
        <f t="shared" si="12"/>
        <v>1.9494078461643749E-2</v>
      </c>
    </row>
    <row r="775" spans="2:4" x14ac:dyDescent="0.35">
      <c r="B775" s="314">
        <v>44487</v>
      </c>
      <c r="C775" s="315">
        <v>44629.45</v>
      </c>
      <c r="D775" s="317">
        <f t="shared" si="12"/>
        <v>-4.285440501473281E-3</v>
      </c>
    </row>
    <row r="776" spans="2:4" x14ac:dyDescent="0.35">
      <c r="B776" s="314">
        <v>44484</v>
      </c>
      <c r="C776" s="315">
        <v>44821.53</v>
      </c>
      <c r="D776" s="317">
        <f t="shared" si="12"/>
        <v>1.1004049291644558E-2</v>
      </c>
    </row>
    <row r="777" spans="2:4" x14ac:dyDescent="0.35">
      <c r="B777" s="314">
        <v>44483</v>
      </c>
      <c r="C777" s="315">
        <v>44333.68</v>
      </c>
      <c r="D777" s="317">
        <f t="shared" si="12"/>
        <v>2.5725456008521608E-2</v>
      </c>
    </row>
    <row r="778" spans="2:4" x14ac:dyDescent="0.35">
      <c r="B778" s="314">
        <v>44482</v>
      </c>
      <c r="C778" s="315">
        <v>43221.78</v>
      </c>
      <c r="D778" s="317">
        <f t="shared" si="12"/>
        <v>-1.5069589463638455E-2</v>
      </c>
    </row>
    <row r="779" spans="2:4" x14ac:dyDescent="0.35">
      <c r="B779" s="314">
        <v>44481</v>
      </c>
      <c r="C779" s="315">
        <v>43883.08</v>
      </c>
      <c r="D779" s="317">
        <f t="shared" si="12"/>
        <v>1.2258908699307458E-3</v>
      </c>
    </row>
    <row r="780" spans="2:4" x14ac:dyDescent="0.35">
      <c r="B780" s="314">
        <v>44480</v>
      </c>
      <c r="C780" s="315">
        <v>43829.35</v>
      </c>
      <c r="D780" s="317">
        <f t="shared" si="12"/>
        <v>-1.4566554616823102E-2</v>
      </c>
    </row>
    <row r="781" spans="2:4" x14ac:dyDescent="0.35">
      <c r="B781" s="314">
        <v>44477</v>
      </c>
      <c r="C781" s="315">
        <v>44477.23</v>
      </c>
      <c r="D781" s="317">
        <f t="shared" si="12"/>
        <v>-2.4404499704391291E-3</v>
      </c>
    </row>
    <row r="782" spans="2:4" x14ac:dyDescent="0.35">
      <c r="B782" s="314">
        <v>44476</v>
      </c>
      <c r="C782" s="315">
        <v>44586.04</v>
      </c>
      <c r="D782" s="317">
        <f t="shared" si="12"/>
        <v>4.7959096058591832E-3</v>
      </c>
    </row>
    <row r="783" spans="2:4" x14ac:dyDescent="0.35">
      <c r="B783" s="314">
        <v>44475</v>
      </c>
      <c r="C783" s="315">
        <v>44373.23</v>
      </c>
      <c r="D783" s="317">
        <f t="shared" si="12"/>
        <v>-6.567327645708998E-3</v>
      </c>
    </row>
    <row r="784" spans="2:4" x14ac:dyDescent="0.35">
      <c r="B784" s="314">
        <v>44474</v>
      </c>
      <c r="C784" s="315">
        <v>44666.57</v>
      </c>
      <c r="D784" s="317">
        <f t="shared" si="12"/>
        <v>-8.3901475207850407E-3</v>
      </c>
    </row>
    <row r="785" spans="2:4" x14ac:dyDescent="0.35">
      <c r="B785" s="314">
        <v>44473</v>
      </c>
      <c r="C785" s="315">
        <v>45044.5</v>
      </c>
      <c r="D785" s="317">
        <f t="shared" si="12"/>
        <v>3.8509795706425098E-3</v>
      </c>
    </row>
    <row r="786" spans="2:4" x14ac:dyDescent="0.35">
      <c r="B786" s="314">
        <v>44470</v>
      </c>
      <c r="C786" s="315">
        <v>44871.7</v>
      </c>
      <c r="D786" s="317">
        <f t="shared" si="12"/>
        <v>-6.2138638206132857E-4</v>
      </c>
    </row>
    <row r="787" spans="2:4" x14ac:dyDescent="0.35">
      <c r="B787" s="314">
        <v>44469</v>
      </c>
      <c r="C787" s="315">
        <v>44899.6</v>
      </c>
      <c r="D787" s="317">
        <f t="shared" si="12"/>
        <v>1.201034829243719E-2</v>
      </c>
    </row>
    <row r="788" spans="2:4" x14ac:dyDescent="0.35">
      <c r="B788" s="314">
        <v>44468</v>
      </c>
      <c r="C788" s="315">
        <v>44366.74</v>
      </c>
      <c r="D788" s="317">
        <f t="shared" si="12"/>
        <v>-2.0059445702069634E-2</v>
      </c>
    </row>
    <row r="789" spans="2:4" x14ac:dyDescent="0.35">
      <c r="B789" s="314">
        <v>44467</v>
      </c>
      <c r="C789" s="315">
        <v>45274.93</v>
      </c>
      <c r="D789" s="317">
        <f t="shared" si="12"/>
        <v>1.0200643673400789E-2</v>
      </c>
    </row>
    <row r="790" spans="2:4" x14ac:dyDescent="0.35">
      <c r="B790" s="314">
        <v>44466</v>
      </c>
      <c r="C790" s="315">
        <v>44817.760000000002</v>
      </c>
      <c r="D790" s="317">
        <f t="shared" si="12"/>
        <v>-5.674285034760862E-3</v>
      </c>
    </row>
    <row r="791" spans="2:4" x14ac:dyDescent="0.35">
      <c r="B791" s="314">
        <v>44463</v>
      </c>
      <c r="C791" s="315">
        <v>45073.52</v>
      </c>
      <c r="D791" s="317">
        <f t="shared" si="12"/>
        <v>-4.9310239469031458E-3</v>
      </c>
    </row>
    <row r="792" spans="2:4" x14ac:dyDescent="0.35">
      <c r="B792" s="314">
        <v>44462</v>
      </c>
      <c r="C792" s="315">
        <v>45296.88</v>
      </c>
      <c r="D792" s="317">
        <f t="shared" si="12"/>
        <v>-6.5872408066803834E-3</v>
      </c>
    </row>
    <row r="793" spans="2:4" x14ac:dyDescent="0.35">
      <c r="B793" s="314">
        <v>44461</v>
      </c>
      <c r="C793" s="315">
        <v>45597.24</v>
      </c>
      <c r="D793" s="317">
        <f t="shared" si="12"/>
        <v>-8.9463222836476675E-3</v>
      </c>
    </row>
    <row r="794" spans="2:4" x14ac:dyDescent="0.35">
      <c r="B794" s="314">
        <v>44460</v>
      </c>
      <c r="C794" s="315">
        <v>46008.85</v>
      </c>
      <c r="D794" s="317">
        <f t="shared" si="12"/>
        <v>-1.1162260486702547E-2</v>
      </c>
    </row>
    <row r="795" spans="2:4" x14ac:dyDescent="0.35">
      <c r="B795" s="314">
        <v>44459</v>
      </c>
      <c r="C795" s="315">
        <v>46528.21</v>
      </c>
      <c r="D795" s="317">
        <f t="shared" si="12"/>
        <v>-2.3130160167835756E-3</v>
      </c>
    </row>
    <row r="796" spans="2:4" x14ac:dyDescent="0.35">
      <c r="B796" s="314">
        <v>44456</v>
      </c>
      <c r="C796" s="315">
        <v>46636.08</v>
      </c>
      <c r="D796" s="317">
        <f t="shared" si="12"/>
        <v>-6.060895396166166E-3</v>
      </c>
    </row>
    <row r="797" spans="2:4" x14ac:dyDescent="0.35">
      <c r="B797" s="314">
        <v>44455</v>
      </c>
      <c r="C797" s="315">
        <v>46920.46</v>
      </c>
      <c r="D797" s="317">
        <f t="shared" si="12"/>
        <v>4.3611794663664938E-3</v>
      </c>
    </row>
    <row r="798" spans="2:4" x14ac:dyDescent="0.35">
      <c r="B798" s="314">
        <v>44454</v>
      </c>
      <c r="C798" s="315">
        <v>46716.72</v>
      </c>
      <c r="D798" s="317">
        <f t="shared" si="12"/>
        <v>-3.7239285548247292E-3</v>
      </c>
    </row>
    <row r="799" spans="2:4" x14ac:dyDescent="0.35">
      <c r="B799" s="314">
        <v>44453</v>
      </c>
      <c r="C799" s="315">
        <v>46891.34</v>
      </c>
      <c r="D799" s="317">
        <f t="shared" si="12"/>
        <v>-8.0202308164549763E-3</v>
      </c>
    </row>
    <row r="800" spans="2:4" x14ac:dyDescent="0.35">
      <c r="B800" s="314">
        <v>44452</v>
      </c>
      <c r="C800" s="315">
        <v>47270.46</v>
      </c>
      <c r="D800" s="317">
        <f t="shared" si="12"/>
        <v>1.5290808205128403E-3</v>
      </c>
    </row>
    <row r="801" spans="2:4" x14ac:dyDescent="0.35">
      <c r="B801" s="314">
        <v>44449</v>
      </c>
      <c r="C801" s="315">
        <v>47198.29</v>
      </c>
      <c r="D801" s="317">
        <f t="shared" si="12"/>
        <v>1.2293158709296481E-2</v>
      </c>
    </row>
    <row r="802" spans="2:4" x14ac:dyDescent="0.35">
      <c r="B802" s="314">
        <v>44448</v>
      </c>
      <c r="C802" s="315">
        <v>46625.120000000003</v>
      </c>
      <c r="D802" s="317">
        <f t="shared" si="12"/>
        <v>4.9229783749753508E-3</v>
      </c>
    </row>
    <row r="803" spans="2:4" x14ac:dyDescent="0.35">
      <c r="B803" s="314">
        <v>44447</v>
      </c>
      <c r="C803" s="315">
        <v>46396.71</v>
      </c>
      <c r="D803" s="317">
        <f t="shared" si="12"/>
        <v>-7.1313992136949889E-3</v>
      </c>
    </row>
    <row r="804" spans="2:4" x14ac:dyDescent="0.35">
      <c r="B804" s="314">
        <v>44446</v>
      </c>
      <c r="C804" s="315">
        <v>46729.96</v>
      </c>
      <c r="D804" s="317">
        <f t="shared" si="12"/>
        <v>-4.0188820960251892E-3</v>
      </c>
    </row>
    <row r="805" spans="2:4" x14ac:dyDescent="0.35">
      <c r="B805" s="314">
        <v>44445</v>
      </c>
      <c r="C805" s="315">
        <v>46918.52</v>
      </c>
      <c r="D805" s="317">
        <f t="shared" si="12"/>
        <v>-8.2947398997446076E-4</v>
      </c>
    </row>
    <row r="806" spans="2:4" x14ac:dyDescent="0.35">
      <c r="B806" s="314">
        <v>44442</v>
      </c>
      <c r="C806" s="315">
        <v>46957.47</v>
      </c>
      <c r="D806" s="317">
        <f t="shared" si="12"/>
        <v>1.160052243926124E-3</v>
      </c>
    </row>
    <row r="807" spans="2:4" x14ac:dyDescent="0.35">
      <c r="B807" s="314">
        <v>44441</v>
      </c>
      <c r="C807" s="315">
        <v>46903.06</v>
      </c>
      <c r="D807" s="317">
        <f t="shared" si="12"/>
        <v>-1.0764875628144432E-2</v>
      </c>
    </row>
    <row r="808" spans="2:4" x14ac:dyDescent="0.35">
      <c r="B808" s="314">
        <v>44440</v>
      </c>
      <c r="C808" s="315">
        <v>47413.46</v>
      </c>
      <c r="D808" s="317">
        <f t="shared" si="12"/>
        <v>-1.324342984587723E-4</v>
      </c>
    </row>
    <row r="809" spans="2:4" x14ac:dyDescent="0.35">
      <c r="B809" s="314">
        <v>44439</v>
      </c>
      <c r="C809" s="315">
        <v>47419.74</v>
      </c>
      <c r="D809" s="317">
        <f t="shared" si="12"/>
        <v>1.1409099833845637E-3</v>
      </c>
    </row>
    <row r="810" spans="2:4" x14ac:dyDescent="0.35">
      <c r="B810" s="314">
        <v>44438</v>
      </c>
      <c r="C810" s="315">
        <v>47365.7</v>
      </c>
      <c r="D810" s="317">
        <f t="shared" si="12"/>
        <v>4.8618343352808679E-3</v>
      </c>
    </row>
    <row r="811" spans="2:4" x14ac:dyDescent="0.35">
      <c r="B811" s="314">
        <v>44435</v>
      </c>
      <c r="C811" s="315">
        <v>47136.53</v>
      </c>
      <c r="D811" s="317">
        <f t="shared" si="12"/>
        <v>-4.7872539206013087E-3</v>
      </c>
    </row>
    <row r="812" spans="2:4" x14ac:dyDescent="0.35">
      <c r="B812" s="314">
        <v>44434</v>
      </c>
      <c r="C812" s="315">
        <v>47363.27</v>
      </c>
      <c r="D812" s="317">
        <f t="shared" si="12"/>
        <v>-5.7232045579070912E-3</v>
      </c>
    </row>
    <row r="813" spans="2:4" x14ac:dyDescent="0.35">
      <c r="B813" s="314">
        <v>44433</v>
      </c>
      <c r="C813" s="315">
        <v>47635.9</v>
      </c>
      <c r="D813" s="317">
        <f t="shared" si="12"/>
        <v>-4.0312607218551122E-3</v>
      </c>
    </row>
    <row r="814" spans="2:4" x14ac:dyDescent="0.35">
      <c r="B814" s="314">
        <v>44432</v>
      </c>
      <c r="C814" s="315">
        <v>47828.71</v>
      </c>
      <c r="D814" s="317">
        <f t="shared" si="12"/>
        <v>-5.8924751118271113E-3</v>
      </c>
    </row>
    <row r="815" spans="2:4" x14ac:dyDescent="0.35">
      <c r="B815" s="314">
        <v>44431</v>
      </c>
      <c r="C815" s="315">
        <v>48112.21</v>
      </c>
      <c r="D815" s="317">
        <f t="shared" si="12"/>
        <v>1.0764536504549893E-2</v>
      </c>
    </row>
    <row r="816" spans="2:4" x14ac:dyDescent="0.35">
      <c r="B816" s="314">
        <v>44428</v>
      </c>
      <c r="C816" s="315">
        <v>47599.82</v>
      </c>
      <c r="D816" s="317">
        <f t="shared" si="12"/>
        <v>7.2234700884181713E-3</v>
      </c>
    </row>
    <row r="817" spans="2:4" x14ac:dyDescent="0.35">
      <c r="B817" s="314">
        <v>44425</v>
      </c>
      <c r="C817" s="315">
        <v>47258.45</v>
      </c>
      <c r="D817" s="317">
        <f t="shared" si="12"/>
        <v>7.3681399038512119E-3</v>
      </c>
    </row>
    <row r="818" spans="2:4" x14ac:dyDescent="0.35">
      <c r="B818" s="314">
        <v>44424</v>
      </c>
      <c r="C818" s="315">
        <v>46912.79</v>
      </c>
      <c r="D818" s="317">
        <f t="shared" si="12"/>
        <v>-5.4494566867302474E-3</v>
      </c>
    </row>
    <row r="819" spans="2:4" x14ac:dyDescent="0.35">
      <c r="B819" s="314">
        <v>44421</v>
      </c>
      <c r="C819" s="315">
        <v>47169.84</v>
      </c>
      <c r="D819" s="317">
        <f t="shared" si="12"/>
        <v>-2.1349349999874034E-3</v>
      </c>
    </row>
    <row r="820" spans="2:4" x14ac:dyDescent="0.35">
      <c r="B820" s="314">
        <v>44420</v>
      </c>
      <c r="C820" s="315">
        <v>47270.76</v>
      </c>
      <c r="D820" s="317">
        <f t="shared" si="12"/>
        <v>-2.2504410332524483E-3</v>
      </c>
    </row>
    <row r="821" spans="2:4" x14ac:dyDescent="0.35">
      <c r="B821" s="314">
        <v>44419</v>
      </c>
      <c r="C821" s="315">
        <v>47377.38</v>
      </c>
      <c r="D821" s="317">
        <f t="shared" si="12"/>
        <v>5.1320152038336619E-3</v>
      </c>
    </row>
    <row r="822" spans="2:4" x14ac:dyDescent="0.35">
      <c r="B822" s="314">
        <v>44418</v>
      </c>
      <c r="C822" s="315">
        <v>47135.48</v>
      </c>
      <c r="D822" s="317">
        <f t="shared" si="12"/>
        <v>2.5167845763962582E-4</v>
      </c>
    </row>
    <row r="823" spans="2:4" x14ac:dyDescent="0.35">
      <c r="B823" s="314">
        <v>44417</v>
      </c>
      <c r="C823" s="315">
        <v>47123.62</v>
      </c>
      <c r="D823" s="317">
        <f t="shared" si="12"/>
        <v>-7.7138426130158866E-3</v>
      </c>
    </row>
    <row r="824" spans="2:4" x14ac:dyDescent="0.35">
      <c r="B824" s="314">
        <v>44414</v>
      </c>
      <c r="C824" s="315">
        <v>47489.95</v>
      </c>
      <c r="D824" s="317">
        <f t="shared" si="12"/>
        <v>-3.1680774998278372E-3</v>
      </c>
    </row>
    <row r="825" spans="2:4" x14ac:dyDescent="0.35">
      <c r="B825" s="314">
        <v>44413</v>
      </c>
      <c r="C825" s="315">
        <v>47640.88</v>
      </c>
      <c r="D825" s="317">
        <f t="shared" si="12"/>
        <v>-3.1178149013975087E-3</v>
      </c>
    </row>
    <row r="826" spans="2:4" x14ac:dyDescent="0.35">
      <c r="B826" s="314">
        <v>44412</v>
      </c>
      <c r="C826" s="315">
        <v>47789.88</v>
      </c>
      <c r="D826" s="317">
        <f t="shared" si="12"/>
        <v>6.6082726528060576E-4</v>
      </c>
    </row>
    <row r="827" spans="2:4" x14ac:dyDescent="0.35">
      <c r="B827" s="314">
        <v>44411</v>
      </c>
      <c r="C827" s="315">
        <v>47758.32</v>
      </c>
      <c r="D827" s="317">
        <f t="shared" si="12"/>
        <v>6.4288536612349123E-3</v>
      </c>
    </row>
    <row r="828" spans="2:4" x14ac:dyDescent="0.35">
      <c r="B828" s="314">
        <v>44410</v>
      </c>
      <c r="C828" s="315">
        <v>47453.25</v>
      </c>
      <c r="D828" s="317">
        <f t="shared" si="12"/>
        <v>8.4572850363902052E-3</v>
      </c>
    </row>
    <row r="829" spans="2:4" x14ac:dyDescent="0.35">
      <c r="B829" s="314">
        <v>44407</v>
      </c>
      <c r="C829" s="315">
        <v>47055.29</v>
      </c>
      <c r="D829" s="317">
        <f t="shared" si="12"/>
        <v>-5.4328332593216455E-3</v>
      </c>
    </row>
    <row r="830" spans="2:4" x14ac:dyDescent="0.35">
      <c r="B830" s="314">
        <v>44406</v>
      </c>
      <c r="C830" s="315">
        <v>47312.33</v>
      </c>
      <c r="D830" s="317">
        <f t="shared" si="12"/>
        <v>-1.2046148159583492E-4</v>
      </c>
    </row>
    <row r="831" spans="2:4" x14ac:dyDescent="0.35">
      <c r="B831" s="314">
        <v>44405</v>
      </c>
      <c r="C831" s="315">
        <v>47318.03</v>
      </c>
      <c r="D831" s="317">
        <f t="shared" si="12"/>
        <v>-7.7371207534800979E-3</v>
      </c>
    </row>
    <row r="832" spans="2:4" x14ac:dyDescent="0.35">
      <c r="B832" s="314">
        <v>44404</v>
      </c>
      <c r="C832" s="315">
        <v>47686.99</v>
      </c>
      <c r="D832" s="317">
        <f t="shared" si="12"/>
        <v>3.0017192236719836E-4</v>
      </c>
    </row>
    <row r="833" spans="2:4" x14ac:dyDescent="0.35">
      <c r="B833" s="314">
        <v>44403</v>
      </c>
      <c r="C833" s="315">
        <v>47672.68</v>
      </c>
      <c r="D833" s="317">
        <f t="shared" si="12"/>
        <v>-2.5189844469083456E-3</v>
      </c>
    </row>
    <row r="834" spans="2:4" x14ac:dyDescent="0.35">
      <c r="B834" s="314">
        <v>44400</v>
      </c>
      <c r="C834" s="315">
        <v>47793.07</v>
      </c>
      <c r="D834" s="317">
        <f t="shared" si="12"/>
        <v>-1.6750478241924771E-3</v>
      </c>
    </row>
    <row r="835" spans="2:4" x14ac:dyDescent="0.35">
      <c r="B835" s="314">
        <v>44396</v>
      </c>
      <c r="C835" s="315">
        <v>47873.26</v>
      </c>
      <c r="D835" s="317">
        <f t="shared" si="12"/>
        <v>8.1385063823402604E-4</v>
      </c>
    </row>
    <row r="836" spans="2:4" x14ac:dyDescent="0.35">
      <c r="B836" s="314">
        <v>44393</v>
      </c>
      <c r="C836" s="315">
        <v>47834.33</v>
      </c>
      <c r="D836" s="317">
        <f t="shared" ref="D836:D899" si="13">(C836/C837)-1</f>
        <v>4.3266329695856864E-3</v>
      </c>
    </row>
    <row r="837" spans="2:4" x14ac:dyDescent="0.35">
      <c r="B837" s="314">
        <v>44392</v>
      </c>
      <c r="C837" s="315">
        <v>47628.26</v>
      </c>
      <c r="D837" s="317">
        <f t="shared" si="13"/>
        <v>2.8803067161324858E-3</v>
      </c>
    </row>
    <row r="838" spans="2:4" x14ac:dyDescent="0.35">
      <c r="B838" s="314">
        <v>44391</v>
      </c>
      <c r="C838" s="315">
        <v>47491.47</v>
      </c>
      <c r="D838" s="317">
        <f t="shared" si="13"/>
        <v>2.3125287881398116E-4</v>
      </c>
    </row>
    <row r="839" spans="2:4" x14ac:dyDescent="0.35">
      <c r="B839" s="314">
        <v>44390</v>
      </c>
      <c r="C839" s="315">
        <v>47480.49</v>
      </c>
      <c r="D839" s="317">
        <f t="shared" si="13"/>
        <v>7.041529215285891E-4</v>
      </c>
    </row>
    <row r="840" spans="2:4" x14ac:dyDescent="0.35">
      <c r="B840" s="314">
        <v>44389</v>
      </c>
      <c r="C840" s="315">
        <v>47447.08</v>
      </c>
      <c r="D840" s="317">
        <f t="shared" si="13"/>
        <v>-2.4466265588386493E-3</v>
      </c>
    </row>
    <row r="841" spans="2:4" x14ac:dyDescent="0.35">
      <c r="B841" s="314">
        <v>44386</v>
      </c>
      <c r="C841" s="315">
        <v>47563.45</v>
      </c>
      <c r="D841" s="317">
        <f t="shared" si="13"/>
        <v>-1.0191211110526122E-2</v>
      </c>
    </row>
    <row r="842" spans="2:4" x14ac:dyDescent="0.35">
      <c r="B842" s="314">
        <v>44385</v>
      </c>
      <c r="C842" s="315">
        <v>48053.17</v>
      </c>
      <c r="D842" s="317">
        <f t="shared" si="13"/>
        <v>1.704307829847318E-2</v>
      </c>
    </row>
    <row r="843" spans="2:4" x14ac:dyDescent="0.35">
      <c r="B843" s="314">
        <v>44384</v>
      </c>
      <c r="C843" s="315">
        <v>47247.92</v>
      </c>
      <c r="D843" s="317">
        <f t="shared" si="13"/>
        <v>-2.0749306807564816E-3</v>
      </c>
    </row>
    <row r="844" spans="2:4" x14ac:dyDescent="0.35">
      <c r="B844" s="314">
        <v>44383</v>
      </c>
      <c r="C844" s="315">
        <v>47346.16</v>
      </c>
      <c r="D844" s="317">
        <f t="shared" si="13"/>
        <v>-1.7491363955308703E-3</v>
      </c>
    </row>
    <row r="845" spans="2:4" x14ac:dyDescent="0.35">
      <c r="B845" s="314">
        <v>44382</v>
      </c>
      <c r="C845" s="315">
        <v>47429.120000000003</v>
      </c>
      <c r="D845" s="317">
        <f t="shared" si="13"/>
        <v>-5.3906603548449228E-3</v>
      </c>
    </row>
    <row r="846" spans="2:4" x14ac:dyDescent="0.35">
      <c r="B846" s="314">
        <v>44379</v>
      </c>
      <c r="C846" s="315">
        <v>47686.18</v>
      </c>
      <c r="D846" s="317">
        <f t="shared" si="13"/>
        <v>-2.3930676977282905E-3</v>
      </c>
    </row>
    <row r="847" spans="2:4" x14ac:dyDescent="0.35">
      <c r="B847" s="314">
        <v>44378</v>
      </c>
      <c r="C847" s="315">
        <v>47800.57</v>
      </c>
      <c r="D847" s="317">
        <f t="shared" si="13"/>
        <v>9.3874020663053948E-3</v>
      </c>
    </row>
    <row r="848" spans="2:4" x14ac:dyDescent="0.35">
      <c r="B848" s="314">
        <v>44377</v>
      </c>
      <c r="C848" s="315">
        <v>47356.02</v>
      </c>
      <c r="D848" s="317">
        <f t="shared" si="13"/>
        <v>4.630045078500844E-3</v>
      </c>
    </row>
    <row r="849" spans="2:4" x14ac:dyDescent="0.35">
      <c r="B849" s="314">
        <v>44376</v>
      </c>
      <c r="C849" s="315">
        <v>47137.77</v>
      </c>
      <c r="D849" s="317">
        <f t="shared" si="13"/>
        <v>2.8811325391175924E-3</v>
      </c>
    </row>
    <row r="850" spans="2:4" x14ac:dyDescent="0.35">
      <c r="B850" s="314">
        <v>44375</v>
      </c>
      <c r="C850" s="315">
        <v>47002.35</v>
      </c>
      <c r="D850" s="317">
        <f t="shared" si="13"/>
        <v>-1.4707170938081937E-2</v>
      </c>
    </row>
    <row r="851" spans="2:4" x14ac:dyDescent="0.35">
      <c r="B851" s="314">
        <v>44372</v>
      </c>
      <c r="C851" s="315">
        <v>47703.94</v>
      </c>
      <c r="D851" s="317">
        <f t="shared" si="13"/>
        <v>-5.3917077786121981E-3</v>
      </c>
    </row>
    <row r="852" spans="2:4" x14ac:dyDescent="0.35">
      <c r="B852" s="314">
        <v>44371</v>
      </c>
      <c r="C852" s="315">
        <v>47962.54</v>
      </c>
      <c r="D852" s="317">
        <f t="shared" si="13"/>
        <v>1.2910040980613768E-3</v>
      </c>
    </row>
    <row r="853" spans="2:4" x14ac:dyDescent="0.35">
      <c r="B853" s="314">
        <v>44370</v>
      </c>
      <c r="C853" s="315">
        <v>47900.7</v>
      </c>
      <c r="D853" s="317">
        <f t="shared" si="13"/>
        <v>-1.8013159358944986E-3</v>
      </c>
    </row>
    <row r="854" spans="2:4" x14ac:dyDescent="0.35">
      <c r="B854" s="314">
        <v>44369</v>
      </c>
      <c r="C854" s="315">
        <v>47987.14</v>
      </c>
      <c r="D854" s="317">
        <f t="shared" si="13"/>
        <v>-5.2861212033861182E-4</v>
      </c>
    </row>
    <row r="855" spans="2:4" x14ac:dyDescent="0.35">
      <c r="B855" s="314">
        <v>44368</v>
      </c>
      <c r="C855" s="315">
        <v>48012.52</v>
      </c>
      <c r="D855" s="317">
        <f t="shared" si="13"/>
        <v>-4.688147496603845E-3</v>
      </c>
    </row>
    <row r="856" spans="2:4" x14ac:dyDescent="0.35">
      <c r="B856" s="314">
        <v>44365</v>
      </c>
      <c r="C856" s="315">
        <v>48238.67</v>
      </c>
      <c r="D856" s="317">
        <f t="shared" si="13"/>
        <v>2.2318140501234041E-3</v>
      </c>
    </row>
    <row r="857" spans="2:4" x14ac:dyDescent="0.35">
      <c r="B857" s="314">
        <v>44364</v>
      </c>
      <c r="C857" s="315">
        <v>48131.25</v>
      </c>
      <c r="D857" s="317">
        <f t="shared" si="13"/>
        <v>-7.2121185869074012E-3</v>
      </c>
    </row>
    <row r="858" spans="2:4" x14ac:dyDescent="0.35">
      <c r="B858" s="314">
        <v>44363</v>
      </c>
      <c r="C858" s="315">
        <v>48480.9</v>
      </c>
      <c r="D858" s="317">
        <f t="shared" si="13"/>
        <v>-3.1184868738145521E-3</v>
      </c>
    </row>
    <row r="859" spans="2:4" x14ac:dyDescent="0.35">
      <c r="B859" s="314">
        <v>44362</v>
      </c>
      <c r="C859" s="315">
        <v>48632.56</v>
      </c>
      <c r="D859" s="317">
        <f t="shared" si="13"/>
        <v>-1.9193007112413563E-3</v>
      </c>
    </row>
    <row r="860" spans="2:4" x14ac:dyDescent="0.35">
      <c r="B860" s="314">
        <v>44361</v>
      </c>
      <c r="C860" s="315">
        <v>48726.080000000002</v>
      </c>
      <c r="D860" s="317">
        <f t="shared" si="13"/>
        <v>8.7229570940479118E-3</v>
      </c>
    </row>
    <row r="861" spans="2:4" x14ac:dyDescent="0.35">
      <c r="B861" s="314">
        <v>44358</v>
      </c>
      <c r="C861" s="315">
        <v>48304.72</v>
      </c>
      <c r="D861" s="317">
        <f t="shared" si="13"/>
        <v>1.1031783681707541E-3</v>
      </c>
    </row>
    <row r="862" spans="2:4" x14ac:dyDescent="0.35">
      <c r="B862" s="314">
        <v>44357</v>
      </c>
      <c r="C862" s="315">
        <v>48251.49</v>
      </c>
      <c r="D862" s="317">
        <f t="shared" si="13"/>
        <v>9.9182420555898876E-3</v>
      </c>
    </row>
    <row r="863" spans="2:4" x14ac:dyDescent="0.35">
      <c r="B863" s="314">
        <v>44356</v>
      </c>
      <c r="C863" s="315">
        <v>47777.62</v>
      </c>
      <c r="D863" s="317">
        <f t="shared" si="13"/>
        <v>-7.69211917093926E-3</v>
      </c>
    </row>
    <row r="864" spans="2:4" x14ac:dyDescent="0.35">
      <c r="B864" s="314">
        <v>44355</v>
      </c>
      <c r="C864" s="315">
        <v>48147.98</v>
      </c>
      <c r="D864" s="317">
        <f t="shared" si="13"/>
        <v>-3.2023081130521103E-3</v>
      </c>
    </row>
    <row r="865" spans="2:4" x14ac:dyDescent="0.35">
      <c r="B865" s="314">
        <v>44354</v>
      </c>
      <c r="C865" s="315">
        <v>48302.66</v>
      </c>
      <c r="D865" s="317">
        <f t="shared" si="13"/>
        <v>1.8866789596716504E-3</v>
      </c>
    </row>
    <row r="866" spans="2:4" x14ac:dyDescent="0.35">
      <c r="B866" s="314">
        <v>44351</v>
      </c>
      <c r="C866" s="315">
        <v>48211.7</v>
      </c>
      <c r="D866" s="317">
        <f t="shared" si="13"/>
        <v>2.4570872630891305E-3</v>
      </c>
    </row>
    <row r="867" spans="2:4" x14ac:dyDescent="0.35">
      <c r="B867" s="314">
        <v>44350</v>
      </c>
      <c r="C867" s="315">
        <v>48093.53</v>
      </c>
      <c r="D867" s="317">
        <f t="shared" si="13"/>
        <v>-6.9337522258872131E-4</v>
      </c>
    </row>
    <row r="868" spans="2:4" x14ac:dyDescent="0.35">
      <c r="B868" s="314">
        <v>44349</v>
      </c>
      <c r="C868" s="315">
        <v>48126.9</v>
      </c>
      <c r="D868" s="317">
        <f t="shared" si="13"/>
        <v>-1.3355118749748263E-3</v>
      </c>
    </row>
    <row r="869" spans="2:4" x14ac:dyDescent="0.35">
      <c r="B869" s="314">
        <v>44348</v>
      </c>
      <c r="C869" s="315">
        <v>48191.26</v>
      </c>
      <c r="D869" s="317">
        <f t="shared" si="13"/>
        <v>6.1574642237800514E-3</v>
      </c>
    </row>
    <row r="870" spans="2:4" x14ac:dyDescent="0.35">
      <c r="B870" s="314">
        <v>44347</v>
      </c>
      <c r="C870" s="315">
        <v>47896.34</v>
      </c>
      <c r="D870" s="317">
        <f t="shared" si="13"/>
        <v>1.6340136259400007E-2</v>
      </c>
    </row>
    <row r="871" spans="2:4" x14ac:dyDescent="0.35">
      <c r="B871" s="314">
        <v>44344</v>
      </c>
      <c r="C871" s="315">
        <v>47126.29</v>
      </c>
      <c r="D871" s="317">
        <f t="shared" si="13"/>
        <v>7.1710754796621146E-3</v>
      </c>
    </row>
    <row r="872" spans="2:4" x14ac:dyDescent="0.35">
      <c r="B872" s="314">
        <v>44343</v>
      </c>
      <c r="C872" s="315">
        <v>46790.75</v>
      </c>
      <c r="D872" s="317">
        <f t="shared" si="13"/>
        <v>-4.6056261696969525E-4</v>
      </c>
    </row>
    <row r="873" spans="2:4" x14ac:dyDescent="0.35">
      <c r="B873" s="314">
        <v>44342</v>
      </c>
      <c r="C873" s="315">
        <v>46812.31</v>
      </c>
      <c r="D873" s="317">
        <f t="shared" si="13"/>
        <v>1.105059841479572E-2</v>
      </c>
    </row>
    <row r="874" spans="2:4" x14ac:dyDescent="0.35">
      <c r="B874" s="314">
        <v>44341</v>
      </c>
      <c r="C874" s="315">
        <v>46300.66</v>
      </c>
      <c r="D874" s="317">
        <f t="shared" si="13"/>
        <v>4.4156781195177075E-3</v>
      </c>
    </row>
    <row r="875" spans="2:4" x14ac:dyDescent="0.35">
      <c r="B875" s="314">
        <v>44340</v>
      </c>
      <c r="C875" s="315">
        <v>46097.11</v>
      </c>
      <c r="D875" s="317">
        <f t="shared" si="13"/>
        <v>3.9666792841899223E-3</v>
      </c>
    </row>
    <row r="876" spans="2:4" x14ac:dyDescent="0.35">
      <c r="B876" s="314">
        <v>44337</v>
      </c>
      <c r="C876" s="315">
        <v>45914.98</v>
      </c>
      <c r="D876" s="317">
        <f t="shared" si="13"/>
        <v>7.4803501201452516E-3</v>
      </c>
    </row>
    <row r="877" spans="2:4" x14ac:dyDescent="0.35">
      <c r="B877" s="314">
        <v>44336</v>
      </c>
      <c r="C877" s="315">
        <v>45574.07</v>
      </c>
      <c r="D877" s="317">
        <f t="shared" si="13"/>
        <v>-2.3650396183538813E-3</v>
      </c>
    </row>
    <row r="878" spans="2:4" x14ac:dyDescent="0.35">
      <c r="B878" s="314">
        <v>44335</v>
      </c>
      <c r="C878" s="315">
        <v>45682.11</v>
      </c>
      <c r="D878" s="317">
        <f t="shared" si="13"/>
        <v>-6.5180108138390702E-3</v>
      </c>
    </row>
    <row r="879" spans="2:4" x14ac:dyDescent="0.35">
      <c r="B879" s="314">
        <v>44334</v>
      </c>
      <c r="C879" s="315">
        <v>45981.82</v>
      </c>
      <c r="D879" s="317">
        <f t="shared" si="13"/>
        <v>4.0507630418258334E-3</v>
      </c>
    </row>
    <row r="880" spans="2:4" x14ac:dyDescent="0.35">
      <c r="B880" s="314">
        <v>44333</v>
      </c>
      <c r="C880" s="315">
        <v>45796.31</v>
      </c>
      <c r="D880" s="317">
        <f t="shared" si="13"/>
        <v>1.3760808878072517E-2</v>
      </c>
    </row>
    <row r="881" spans="2:4" x14ac:dyDescent="0.35">
      <c r="B881" s="314">
        <v>44322</v>
      </c>
      <c r="C881" s="315">
        <v>45174.67</v>
      </c>
      <c r="D881" s="317">
        <f t="shared" si="13"/>
        <v>5.1411090475375065E-3</v>
      </c>
    </row>
    <row r="882" spans="2:4" x14ac:dyDescent="0.35">
      <c r="B882" s="314">
        <v>44321</v>
      </c>
      <c r="C882" s="315">
        <v>44943.61</v>
      </c>
      <c r="D882" s="317">
        <f t="shared" si="13"/>
        <v>8.5275894513885397E-3</v>
      </c>
    </row>
    <row r="883" spans="2:4" x14ac:dyDescent="0.35">
      <c r="B883" s="314">
        <v>44320</v>
      </c>
      <c r="C883" s="315">
        <v>44563.59</v>
      </c>
      <c r="D883" s="317">
        <f t="shared" si="13"/>
        <v>1.1057895190601741E-2</v>
      </c>
    </row>
    <row r="884" spans="2:4" x14ac:dyDescent="0.35">
      <c r="B884" s="314">
        <v>44319</v>
      </c>
      <c r="C884" s="315">
        <v>44076.2</v>
      </c>
      <c r="D884" s="317">
        <f t="shared" si="13"/>
        <v>-4.2056058930445284E-3</v>
      </c>
    </row>
    <row r="885" spans="2:4" x14ac:dyDescent="0.35">
      <c r="B885" s="314">
        <v>44316</v>
      </c>
      <c r="C885" s="315">
        <v>44262.35</v>
      </c>
      <c r="D885" s="317">
        <f t="shared" si="13"/>
        <v>-1.3390957514982871E-2</v>
      </c>
    </row>
    <row r="886" spans="2:4" x14ac:dyDescent="0.35">
      <c r="B886" s="314">
        <v>44315</v>
      </c>
      <c r="C886" s="315">
        <v>44863.11</v>
      </c>
      <c r="D886" s="317">
        <f t="shared" si="13"/>
        <v>-4.3500627619892374E-3</v>
      </c>
    </row>
    <row r="887" spans="2:4" x14ac:dyDescent="0.35">
      <c r="B887" s="314">
        <v>44314</v>
      </c>
      <c r="C887" s="315">
        <v>45059.12</v>
      </c>
      <c r="D887" s="317">
        <f t="shared" si="13"/>
        <v>-5.1608564438508919E-3</v>
      </c>
    </row>
    <row r="888" spans="2:4" x14ac:dyDescent="0.35">
      <c r="B888" s="314">
        <v>44313</v>
      </c>
      <c r="C888" s="315">
        <v>45292.87</v>
      </c>
      <c r="D888" s="317">
        <f t="shared" si="13"/>
        <v>-8.5349465454918061E-3</v>
      </c>
    </row>
    <row r="889" spans="2:4" x14ac:dyDescent="0.35">
      <c r="B889" s="314">
        <v>44312</v>
      </c>
      <c r="C889" s="315">
        <v>45682.77</v>
      </c>
      <c r="D889" s="317">
        <f t="shared" si="13"/>
        <v>2.1831374047235785E-2</v>
      </c>
    </row>
    <row r="890" spans="2:4" x14ac:dyDescent="0.35">
      <c r="B890" s="314">
        <v>44309</v>
      </c>
      <c r="C890" s="315">
        <v>44706.76</v>
      </c>
      <c r="D890" s="317">
        <f t="shared" si="13"/>
        <v>-4.9599807343085889E-3</v>
      </c>
    </row>
    <row r="891" spans="2:4" x14ac:dyDescent="0.35">
      <c r="B891" s="314">
        <v>44308</v>
      </c>
      <c r="C891" s="315">
        <v>44929.61</v>
      </c>
      <c r="D891" s="317">
        <f t="shared" si="13"/>
        <v>-8.319549451359598E-3</v>
      </c>
    </row>
    <row r="892" spans="2:4" x14ac:dyDescent="0.35">
      <c r="B892" s="314">
        <v>44307</v>
      </c>
      <c r="C892" s="315">
        <v>45306.54</v>
      </c>
      <c r="D892" s="317">
        <f t="shared" si="13"/>
        <v>-2.0537544455060397E-3</v>
      </c>
    </row>
    <row r="893" spans="2:4" x14ac:dyDescent="0.35">
      <c r="B893" s="314">
        <v>44306</v>
      </c>
      <c r="C893" s="315">
        <v>45399.78</v>
      </c>
      <c r="D893" s="317">
        <f t="shared" si="13"/>
        <v>1.0825458764466944E-2</v>
      </c>
    </row>
    <row r="894" spans="2:4" x14ac:dyDescent="0.35">
      <c r="B894" s="314">
        <v>44305</v>
      </c>
      <c r="C894" s="315">
        <v>44913.57</v>
      </c>
      <c r="D894" s="317">
        <f t="shared" si="13"/>
        <v>-8.6536706365191174E-3</v>
      </c>
    </row>
    <row r="895" spans="2:4" x14ac:dyDescent="0.35">
      <c r="B895" s="314">
        <v>44302</v>
      </c>
      <c r="C895" s="315">
        <v>45305.63</v>
      </c>
      <c r="D895" s="317">
        <f t="shared" si="13"/>
        <v>1.6681339760309388E-3</v>
      </c>
    </row>
    <row r="896" spans="2:4" x14ac:dyDescent="0.35">
      <c r="B896" s="314">
        <v>44301</v>
      </c>
      <c r="C896" s="315">
        <v>45230.18</v>
      </c>
      <c r="D896" s="317">
        <f t="shared" si="13"/>
        <v>-1.7885194881090971E-3</v>
      </c>
    </row>
    <row r="897" spans="2:4" x14ac:dyDescent="0.35">
      <c r="B897" s="314">
        <v>44300</v>
      </c>
      <c r="C897" s="315">
        <v>45311.22</v>
      </c>
      <c r="D897" s="317">
        <f t="shared" si="13"/>
        <v>5.8303737499325603E-3</v>
      </c>
    </row>
    <row r="898" spans="2:4" x14ac:dyDescent="0.35">
      <c r="B898" s="314">
        <v>44299</v>
      </c>
      <c r="C898" s="315">
        <v>45048.57</v>
      </c>
      <c r="D898" s="317">
        <f t="shared" si="13"/>
        <v>1.5678758861266129E-3</v>
      </c>
    </row>
    <row r="899" spans="2:4" x14ac:dyDescent="0.35">
      <c r="B899" s="314">
        <v>44298</v>
      </c>
      <c r="C899" s="315">
        <v>44978.05</v>
      </c>
      <c r="D899" s="317">
        <f t="shared" si="13"/>
        <v>-4.6126629027090083E-3</v>
      </c>
    </row>
    <row r="900" spans="2:4" x14ac:dyDescent="0.35">
      <c r="B900" s="314">
        <v>44295</v>
      </c>
      <c r="C900" s="315">
        <v>45186.48</v>
      </c>
      <c r="D900" s="317">
        <f t="shared" ref="D900:D963" si="14">(C900/C901)-1</f>
        <v>9.9487364711310367E-3</v>
      </c>
    </row>
    <row r="901" spans="2:4" x14ac:dyDescent="0.35">
      <c r="B901" s="314">
        <v>44294</v>
      </c>
      <c r="C901" s="315">
        <v>44741.36</v>
      </c>
      <c r="D901" s="317">
        <f t="shared" si="14"/>
        <v>1.7922999673746665E-2</v>
      </c>
    </row>
    <row r="902" spans="2:4" x14ac:dyDescent="0.35">
      <c r="B902" s="314">
        <v>44293</v>
      </c>
      <c r="C902" s="315">
        <v>43953.58</v>
      </c>
      <c r="D902" s="317">
        <f t="shared" si="14"/>
        <v>-1.0159284940557956E-2</v>
      </c>
    </row>
    <row r="903" spans="2:4" x14ac:dyDescent="0.35">
      <c r="B903" s="314">
        <v>44292</v>
      </c>
      <c r="C903" s="315">
        <v>44404.7</v>
      </c>
      <c r="D903" s="317">
        <f t="shared" si="14"/>
        <v>1.9667628129835801E-2</v>
      </c>
    </row>
    <row r="904" spans="2:4" x14ac:dyDescent="0.35">
      <c r="B904" s="314">
        <v>44291</v>
      </c>
      <c r="C904" s="315">
        <v>43548.21</v>
      </c>
      <c r="D904" s="317">
        <f t="shared" si="14"/>
        <v>-1.6991509211427669E-2</v>
      </c>
    </row>
    <row r="905" spans="2:4" x14ac:dyDescent="0.35">
      <c r="B905" s="314">
        <v>44288</v>
      </c>
      <c r="C905" s="315">
        <v>44300.95</v>
      </c>
      <c r="D905" s="317">
        <f t="shared" si="14"/>
        <v>-2.8619274738285183E-3</v>
      </c>
    </row>
    <row r="906" spans="2:4" x14ac:dyDescent="0.35">
      <c r="B906" s="314">
        <v>44287</v>
      </c>
      <c r="C906" s="315">
        <v>44428.1</v>
      </c>
      <c r="D906" s="317">
        <f t="shared" si="14"/>
        <v>-3.5828146008385353E-3</v>
      </c>
    </row>
    <row r="907" spans="2:4" x14ac:dyDescent="0.35">
      <c r="B907" s="314">
        <v>44286</v>
      </c>
      <c r="C907" s="315">
        <v>44587.85</v>
      </c>
      <c r="D907" s="317">
        <f t="shared" si="14"/>
        <v>2.1761689940646978E-3</v>
      </c>
    </row>
    <row r="908" spans="2:4" x14ac:dyDescent="0.35">
      <c r="B908" s="314">
        <v>44285</v>
      </c>
      <c r="C908" s="315">
        <v>44491.03</v>
      </c>
      <c r="D908" s="317">
        <f t="shared" si="14"/>
        <v>1.3330542539351509E-3</v>
      </c>
    </row>
    <row r="909" spans="2:4" x14ac:dyDescent="0.35">
      <c r="B909" s="314">
        <v>44284</v>
      </c>
      <c r="C909" s="315">
        <v>44431.8</v>
      </c>
      <c r="D909" s="317">
        <f t="shared" si="14"/>
        <v>-2.3940926544150476E-2</v>
      </c>
    </row>
    <row r="910" spans="2:4" x14ac:dyDescent="0.35">
      <c r="B910" s="314">
        <v>44281</v>
      </c>
      <c r="C910" s="315">
        <v>45521.63</v>
      </c>
      <c r="D910" s="317">
        <f t="shared" si="14"/>
        <v>-4.4729319059375605E-3</v>
      </c>
    </row>
    <row r="911" spans="2:4" x14ac:dyDescent="0.35">
      <c r="B911" s="314">
        <v>44280</v>
      </c>
      <c r="C911" s="315">
        <v>45726.16</v>
      </c>
      <c r="D911" s="317">
        <f t="shared" si="14"/>
        <v>3.9954602332372691E-3</v>
      </c>
    </row>
    <row r="912" spans="2:4" x14ac:dyDescent="0.35">
      <c r="B912" s="314">
        <v>44279</v>
      </c>
      <c r="C912" s="315">
        <v>45544.19</v>
      </c>
      <c r="D912" s="317">
        <f t="shared" si="14"/>
        <v>3.0140508151437206E-3</v>
      </c>
    </row>
    <row r="913" spans="2:4" x14ac:dyDescent="0.35">
      <c r="B913" s="314">
        <v>44277</v>
      </c>
      <c r="C913" s="315">
        <v>45407.33</v>
      </c>
      <c r="D913" s="317">
        <f t="shared" si="14"/>
        <v>1.1269604383480125E-2</v>
      </c>
    </row>
    <row r="914" spans="2:4" x14ac:dyDescent="0.35">
      <c r="B914" s="314">
        <v>44274</v>
      </c>
      <c r="C914" s="315">
        <v>44901.31</v>
      </c>
      <c r="D914" s="317">
        <f t="shared" si="14"/>
        <v>3.9625177393212141E-3</v>
      </c>
    </row>
    <row r="915" spans="2:4" x14ac:dyDescent="0.35">
      <c r="B915" s="314">
        <v>44273</v>
      </c>
      <c r="C915" s="315">
        <v>44724.09</v>
      </c>
      <c r="D915" s="317">
        <f t="shared" si="14"/>
        <v>-1.5978328860683289E-2</v>
      </c>
    </row>
    <row r="916" spans="2:4" x14ac:dyDescent="0.35">
      <c r="B916" s="314">
        <v>44272</v>
      </c>
      <c r="C916" s="315">
        <v>45450.31</v>
      </c>
      <c r="D916" s="317">
        <f t="shared" si="14"/>
        <v>1.3225342900314851E-2</v>
      </c>
    </row>
    <row r="917" spans="2:4" x14ac:dyDescent="0.35">
      <c r="B917" s="314">
        <v>44271</v>
      </c>
      <c r="C917" s="315">
        <v>44857.06</v>
      </c>
      <c r="D917" s="317">
        <f t="shared" si="14"/>
        <v>2.0209267670376896E-3</v>
      </c>
    </row>
    <row r="918" spans="2:4" x14ac:dyDescent="0.35">
      <c r="B918" s="314">
        <v>44270</v>
      </c>
      <c r="C918" s="315">
        <v>44766.59</v>
      </c>
      <c r="D918" s="317">
        <f t="shared" si="14"/>
        <v>2.2346492470096679E-2</v>
      </c>
    </row>
    <row r="919" spans="2:4" x14ac:dyDescent="0.35">
      <c r="B919" s="314">
        <v>44267</v>
      </c>
      <c r="C919" s="315">
        <v>43788.08</v>
      </c>
      <c r="D919" s="317">
        <f t="shared" si="14"/>
        <v>2.3570024703270853E-2</v>
      </c>
    </row>
    <row r="920" spans="2:4" x14ac:dyDescent="0.35">
      <c r="B920" s="314">
        <v>44266</v>
      </c>
      <c r="C920" s="315">
        <v>42779.76</v>
      </c>
      <c r="D920" s="317">
        <f t="shared" si="14"/>
        <v>-2.0871708297781177E-2</v>
      </c>
    </row>
    <row r="921" spans="2:4" x14ac:dyDescent="0.35">
      <c r="B921" s="314">
        <v>44265</v>
      </c>
      <c r="C921" s="315">
        <v>43691.68</v>
      </c>
      <c r="D921" s="317">
        <f t="shared" si="14"/>
        <v>-1.201255186508543E-2</v>
      </c>
    </row>
    <row r="922" spans="2:4" x14ac:dyDescent="0.35">
      <c r="B922" s="314">
        <v>44264</v>
      </c>
      <c r="C922" s="315">
        <v>44222.91</v>
      </c>
      <c r="D922" s="317">
        <f t="shared" si="14"/>
        <v>-1.8382257461257878E-2</v>
      </c>
    </row>
    <row r="923" spans="2:4" x14ac:dyDescent="0.35">
      <c r="B923" s="314">
        <v>44263</v>
      </c>
      <c r="C923" s="315">
        <v>45051.05</v>
      </c>
      <c r="D923" s="317">
        <f t="shared" si="14"/>
        <v>-1.7154133037795449E-2</v>
      </c>
    </row>
    <row r="924" spans="2:4" x14ac:dyDescent="0.35">
      <c r="B924" s="314">
        <v>44260</v>
      </c>
      <c r="C924" s="315">
        <v>45837.35</v>
      </c>
      <c r="D924" s="317">
        <f t="shared" si="14"/>
        <v>1.2341831768831746E-2</v>
      </c>
    </row>
    <row r="925" spans="2:4" x14ac:dyDescent="0.35">
      <c r="B925" s="314">
        <v>44259</v>
      </c>
      <c r="C925" s="315">
        <v>45278.53</v>
      </c>
      <c r="D925" s="317">
        <f t="shared" si="14"/>
        <v>-1.9112545325273955E-2</v>
      </c>
    </row>
    <row r="926" spans="2:4" x14ac:dyDescent="0.35">
      <c r="B926" s="314">
        <v>44258</v>
      </c>
      <c r="C926" s="315">
        <v>46160.78</v>
      </c>
      <c r="D926" s="317">
        <f t="shared" si="14"/>
        <v>4.2752772969092412E-3</v>
      </c>
    </row>
    <row r="927" spans="2:4" x14ac:dyDescent="0.35">
      <c r="B927" s="314">
        <v>44257</v>
      </c>
      <c r="C927" s="315">
        <v>45964.27</v>
      </c>
      <c r="D927" s="317">
        <f t="shared" si="14"/>
        <v>8.1336280249149073E-3</v>
      </c>
    </row>
    <row r="928" spans="2:4" x14ac:dyDescent="0.35">
      <c r="B928" s="314">
        <v>44256</v>
      </c>
      <c r="C928" s="315">
        <v>45593.43</v>
      </c>
      <c r="D928" s="317">
        <f t="shared" si="14"/>
        <v>-5.921506193608872E-3</v>
      </c>
    </row>
    <row r="929" spans="2:4" x14ac:dyDescent="0.35">
      <c r="B929" s="314">
        <v>44253</v>
      </c>
      <c r="C929" s="315">
        <v>45865.02</v>
      </c>
      <c r="D929" s="317">
        <f t="shared" si="14"/>
        <v>-2.1885922565605398E-3</v>
      </c>
    </row>
    <row r="930" spans="2:4" x14ac:dyDescent="0.35">
      <c r="B930" s="314">
        <v>44252</v>
      </c>
      <c r="C930" s="315">
        <v>45965.62</v>
      </c>
      <c r="D930" s="317">
        <f t="shared" si="14"/>
        <v>1.3293776500366672E-2</v>
      </c>
    </row>
    <row r="931" spans="2:4" x14ac:dyDescent="0.35">
      <c r="B931" s="314">
        <v>44251</v>
      </c>
      <c r="C931" s="315">
        <v>45362.58</v>
      </c>
      <c r="D931" s="317">
        <f t="shared" si="14"/>
        <v>-8.0074351474728189E-3</v>
      </c>
    </row>
    <row r="932" spans="2:4" x14ac:dyDescent="0.35">
      <c r="B932" s="314">
        <v>44250</v>
      </c>
      <c r="C932" s="315">
        <v>45728.75</v>
      </c>
      <c r="D932" s="317">
        <f t="shared" si="14"/>
        <v>-3.5147060233550187E-3</v>
      </c>
    </row>
    <row r="933" spans="2:4" x14ac:dyDescent="0.35">
      <c r="B933" s="314">
        <v>44249</v>
      </c>
      <c r="C933" s="315">
        <v>45890.04</v>
      </c>
      <c r="D933" s="317">
        <f t="shared" si="14"/>
        <v>-7.3032049000977262E-3</v>
      </c>
    </row>
    <row r="934" spans="2:4" x14ac:dyDescent="0.35">
      <c r="B934" s="314">
        <v>44246</v>
      </c>
      <c r="C934" s="315">
        <v>46227.65</v>
      </c>
      <c r="D934" s="317">
        <f t="shared" si="14"/>
        <v>1.8401594703738589E-3</v>
      </c>
    </row>
    <row r="935" spans="2:4" x14ac:dyDescent="0.35">
      <c r="B935" s="314">
        <v>44245</v>
      </c>
      <c r="C935" s="315">
        <v>46142.74</v>
      </c>
      <c r="D935" s="317">
        <f t="shared" si="14"/>
        <v>-1.3372351348589051E-2</v>
      </c>
    </row>
    <row r="936" spans="2:4" x14ac:dyDescent="0.35">
      <c r="B936" s="314">
        <v>44244</v>
      </c>
      <c r="C936" s="315">
        <v>46768.14</v>
      </c>
      <c r="D936" s="317">
        <f t="shared" si="14"/>
        <v>-2.1296002918838042E-3</v>
      </c>
    </row>
    <row r="937" spans="2:4" x14ac:dyDescent="0.35">
      <c r="B937" s="314">
        <v>44243</v>
      </c>
      <c r="C937" s="315">
        <v>46867.95</v>
      </c>
      <c r="D937" s="317">
        <f t="shared" si="14"/>
        <v>1.0616792152940757E-2</v>
      </c>
    </row>
    <row r="938" spans="2:4" x14ac:dyDescent="0.35">
      <c r="B938" s="314">
        <v>44242</v>
      </c>
      <c r="C938" s="315">
        <v>46375.59</v>
      </c>
      <c r="D938" s="317">
        <f t="shared" si="14"/>
        <v>1.2382674254219017E-2</v>
      </c>
    </row>
    <row r="939" spans="2:4" x14ac:dyDescent="0.35">
      <c r="B939" s="314">
        <v>44239</v>
      </c>
      <c r="C939" s="315">
        <v>45808.36</v>
      </c>
      <c r="D939" s="317">
        <f t="shared" si="14"/>
        <v>-5.3665662661065427E-3</v>
      </c>
    </row>
    <row r="940" spans="2:4" x14ac:dyDescent="0.35">
      <c r="B940" s="314">
        <v>44238</v>
      </c>
      <c r="C940" s="315">
        <v>46055.519999999997</v>
      </c>
      <c r="D940" s="317">
        <f t="shared" si="14"/>
        <v>-1.2622552513930518E-2</v>
      </c>
    </row>
    <row r="941" spans="2:4" x14ac:dyDescent="0.35">
      <c r="B941" s="314">
        <v>44237</v>
      </c>
      <c r="C941" s="315">
        <v>46644.29</v>
      </c>
      <c r="D941" s="317">
        <f t="shared" si="14"/>
        <v>-6.5302946324097277E-4</v>
      </c>
    </row>
    <row r="942" spans="2:4" x14ac:dyDescent="0.35">
      <c r="B942" s="314">
        <v>44236</v>
      </c>
      <c r="C942" s="315">
        <v>46674.77</v>
      </c>
      <c r="D942" s="317">
        <f t="shared" si="14"/>
        <v>-1.0080932120226649E-3</v>
      </c>
    </row>
    <row r="943" spans="2:4" x14ac:dyDescent="0.35">
      <c r="B943" s="314">
        <v>44235</v>
      </c>
      <c r="C943" s="315">
        <v>46721.87</v>
      </c>
      <c r="D943" s="317">
        <f t="shared" si="14"/>
        <v>-3.9210511111741342E-3</v>
      </c>
    </row>
    <row r="944" spans="2:4" x14ac:dyDescent="0.35">
      <c r="B944" s="314">
        <v>44231</v>
      </c>
      <c r="C944" s="315">
        <v>46905.79</v>
      </c>
      <c r="D944" s="317">
        <f t="shared" si="14"/>
        <v>-5.9317806868963707E-4</v>
      </c>
    </row>
    <row r="945" spans="2:4" x14ac:dyDescent="0.35">
      <c r="B945" s="314">
        <v>44230</v>
      </c>
      <c r="C945" s="315">
        <v>46933.63</v>
      </c>
      <c r="D945" s="317">
        <f t="shared" si="14"/>
        <v>7.5845302975461326E-3</v>
      </c>
    </row>
    <row r="946" spans="2:4" x14ac:dyDescent="0.35">
      <c r="B946" s="314">
        <v>44229</v>
      </c>
      <c r="C946" s="315">
        <v>46580.34</v>
      </c>
      <c r="D946" s="317">
        <f t="shared" si="14"/>
        <v>7.1762405010329378E-3</v>
      </c>
    </row>
    <row r="947" spans="2:4" x14ac:dyDescent="0.35">
      <c r="B947" s="314">
        <v>44228</v>
      </c>
      <c r="C947" s="315">
        <v>46248.45</v>
      </c>
      <c r="D947" s="317">
        <f t="shared" si="14"/>
        <v>-2.9554468914235743E-3</v>
      </c>
    </row>
    <row r="948" spans="2:4" x14ac:dyDescent="0.35">
      <c r="B948" s="314">
        <v>44225</v>
      </c>
      <c r="C948" s="315">
        <v>46385.54</v>
      </c>
      <c r="D948" s="317">
        <f t="shared" si="14"/>
        <v>4.7543595347663281E-3</v>
      </c>
    </row>
    <row r="949" spans="2:4" x14ac:dyDescent="0.35">
      <c r="B949" s="314">
        <v>44224</v>
      </c>
      <c r="C949" s="315">
        <v>46166.05</v>
      </c>
      <c r="D949" s="317">
        <f t="shared" si="14"/>
        <v>-6.2869512828001017E-3</v>
      </c>
    </row>
    <row r="950" spans="2:4" x14ac:dyDescent="0.35">
      <c r="B950" s="314">
        <v>44223</v>
      </c>
      <c r="C950" s="315">
        <v>46458.13</v>
      </c>
      <c r="D950" s="317">
        <f t="shared" si="14"/>
        <v>3.688910454642258E-3</v>
      </c>
    </row>
    <row r="951" spans="2:4" x14ac:dyDescent="0.35">
      <c r="B951" s="314">
        <v>44222</v>
      </c>
      <c r="C951" s="315">
        <v>46287.38</v>
      </c>
      <c r="D951" s="317">
        <f t="shared" si="14"/>
        <v>4.3339168592706478E-3</v>
      </c>
    </row>
    <row r="952" spans="2:4" x14ac:dyDescent="0.35">
      <c r="B952" s="314">
        <v>44221</v>
      </c>
      <c r="C952" s="315">
        <v>46087.64</v>
      </c>
      <c r="D952" s="317">
        <f t="shared" si="14"/>
        <v>4.787647346605528E-3</v>
      </c>
    </row>
    <row r="953" spans="2:4" x14ac:dyDescent="0.35">
      <c r="B953" s="314">
        <v>44218</v>
      </c>
      <c r="C953" s="315">
        <v>45868.04</v>
      </c>
      <c r="D953" s="317">
        <f t="shared" si="14"/>
        <v>-2.5317248479159726E-3</v>
      </c>
    </row>
    <row r="954" spans="2:4" x14ac:dyDescent="0.35">
      <c r="B954" s="314">
        <v>44217</v>
      </c>
      <c r="C954" s="315">
        <v>45984.46</v>
      </c>
      <c r="D954" s="317">
        <f t="shared" si="14"/>
        <v>6.7325000317446371E-3</v>
      </c>
    </row>
    <row r="955" spans="2:4" x14ac:dyDescent="0.35">
      <c r="B955" s="314">
        <v>44216</v>
      </c>
      <c r="C955" s="315">
        <v>45676.94</v>
      </c>
      <c r="D955" s="317">
        <f t="shared" si="14"/>
        <v>-4.9297184533637628E-3</v>
      </c>
    </row>
    <row r="956" spans="2:4" x14ac:dyDescent="0.35">
      <c r="B956" s="314">
        <v>44215</v>
      </c>
      <c r="C956" s="315">
        <v>45903.23</v>
      </c>
      <c r="D956" s="317">
        <f t="shared" si="14"/>
        <v>3.8609844405936844E-3</v>
      </c>
    </row>
    <row r="957" spans="2:4" x14ac:dyDescent="0.35">
      <c r="B957" s="314">
        <v>44214</v>
      </c>
      <c r="C957" s="315">
        <v>45726.68</v>
      </c>
      <c r="D957" s="317">
        <f t="shared" si="14"/>
        <v>-4.4484117480568797E-3</v>
      </c>
    </row>
    <row r="958" spans="2:4" x14ac:dyDescent="0.35">
      <c r="B958" s="314">
        <v>44211</v>
      </c>
      <c r="C958" s="315">
        <v>45931</v>
      </c>
      <c r="D958" s="317">
        <f t="shared" si="14"/>
        <v>-1.268772009171637E-3</v>
      </c>
    </row>
    <row r="959" spans="2:4" x14ac:dyDescent="0.35">
      <c r="B959" s="314">
        <v>44210</v>
      </c>
      <c r="C959" s="315">
        <v>45989.35</v>
      </c>
      <c r="D959" s="317">
        <f t="shared" si="14"/>
        <v>-2.2262017063279238E-3</v>
      </c>
    </row>
    <row r="960" spans="2:4" x14ac:dyDescent="0.35">
      <c r="B960" s="314">
        <v>44209</v>
      </c>
      <c r="C960" s="315">
        <v>46091.96</v>
      </c>
      <c r="D960" s="317">
        <f t="shared" si="14"/>
        <v>3.7001840510568762E-3</v>
      </c>
    </row>
    <row r="961" spans="2:4" x14ac:dyDescent="0.35">
      <c r="B961" s="314">
        <v>44208</v>
      </c>
      <c r="C961" s="315">
        <v>45922.04</v>
      </c>
      <c r="D961" s="317">
        <f t="shared" si="14"/>
        <v>6.9425958581239566E-3</v>
      </c>
    </row>
    <row r="962" spans="2:4" x14ac:dyDescent="0.35">
      <c r="B962" s="314">
        <v>44207</v>
      </c>
      <c r="C962" s="315">
        <v>45605.42</v>
      </c>
      <c r="D962" s="317">
        <f t="shared" si="14"/>
        <v>-1.0715301108283892E-3</v>
      </c>
    </row>
    <row r="963" spans="2:4" x14ac:dyDescent="0.35">
      <c r="B963" s="314">
        <v>44204</v>
      </c>
      <c r="C963" s="315">
        <v>45654.34</v>
      </c>
      <c r="D963" s="317">
        <f t="shared" si="14"/>
        <v>6.8321345855530957E-3</v>
      </c>
    </row>
    <row r="964" spans="2:4" x14ac:dyDescent="0.35">
      <c r="B964" s="314">
        <v>44203</v>
      </c>
      <c r="C964" s="315">
        <v>45344.54</v>
      </c>
      <c r="D964" s="317">
        <f t="shared" ref="D964:D1027" si="15">(C964/C965)-1</f>
        <v>4.2326804924190942E-3</v>
      </c>
    </row>
    <row r="965" spans="2:4" x14ac:dyDescent="0.35">
      <c r="B965" s="314">
        <v>44202</v>
      </c>
      <c r="C965" s="315">
        <v>45153.42</v>
      </c>
      <c r="D965" s="317">
        <f t="shared" si="15"/>
        <v>1.1265065084479442E-2</v>
      </c>
    </row>
    <row r="966" spans="2:4" x14ac:dyDescent="0.35">
      <c r="B966" s="314">
        <v>44201</v>
      </c>
      <c r="C966" s="315">
        <v>44650.43</v>
      </c>
      <c r="D966" s="317">
        <f t="shared" si="15"/>
        <v>-8.0628449870490115E-4</v>
      </c>
    </row>
    <row r="967" spans="2:4" x14ac:dyDescent="0.35">
      <c r="B967" s="314">
        <v>44200</v>
      </c>
      <c r="C967" s="315">
        <v>44686.46</v>
      </c>
      <c r="D967" s="317">
        <f t="shared" si="15"/>
        <v>5.6635789966421601E-3</v>
      </c>
    </row>
    <row r="968" spans="2:4" x14ac:dyDescent="0.35">
      <c r="B968" s="314">
        <v>44197</v>
      </c>
      <c r="C968" s="315">
        <v>44434.8</v>
      </c>
      <c r="D968" s="317">
        <f t="shared" si="15"/>
        <v>1.5527690537712191E-2</v>
      </c>
    </row>
    <row r="969" spans="2:4" x14ac:dyDescent="0.35">
      <c r="B969" s="314">
        <v>44196</v>
      </c>
      <c r="C969" s="315">
        <v>43755.38</v>
      </c>
      <c r="D969" s="317">
        <f t="shared" si="15"/>
        <v>1.3873517099074473E-3</v>
      </c>
    </row>
    <row r="970" spans="2:4" x14ac:dyDescent="0.35">
      <c r="B970" s="314">
        <v>44195</v>
      </c>
      <c r="C970" s="315">
        <v>43694.76</v>
      </c>
      <c r="D970" s="317">
        <f t="shared" si="15"/>
        <v>1.0153841530162078E-2</v>
      </c>
    </row>
    <row r="971" spans="2:4" x14ac:dyDescent="0.35">
      <c r="B971" s="314">
        <v>44194</v>
      </c>
      <c r="C971" s="315">
        <v>43255.55</v>
      </c>
      <c r="D971" s="317">
        <f t="shared" si="15"/>
        <v>-9.5875650382787336E-3</v>
      </c>
    </row>
    <row r="972" spans="2:4" x14ac:dyDescent="0.35">
      <c r="B972" s="314">
        <v>44193</v>
      </c>
      <c r="C972" s="315">
        <v>43674.28</v>
      </c>
      <c r="D972" s="317">
        <f t="shared" si="15"/>
        <v>5.9311183213306418E-3</v>
      </c>
    </row>
    <row r="973" spans="2:4" x14ac:dyDescent="0.35">
      <c r="B973" s="314">
        <v>44189</v>
      </c>
      <c r="C973" s="315">
        <v>43416.77</v>
      </c>
      <c r="D973" s="317">
        <f t="shared" si="15"/>
        <v>7.6372143326286501E-3</v>
      </c>
    </row>
    <row r="974" spans="2:4" x14ac:dyDescent="0.35">
      <c r="B974" s="314">
        <v>44188</v>
      </c>
      <c r="C974" s="315">
        <v>43087.7</v>
      </c>
      <c r="D974" s="317">
        <f t="shared" si="15"/>
        <v>4.2128382960890942E-3</v>
      </c>
    </row>
    <row r="975" spans="2:4" x14ac:dyDescent="0.35">
      <c r="B975" s="314">
        <v>44187</v>
      </c>
      <c r="C975" s="315">
        <v>42906.94</v>
      </c>
      <c r="D975" s="317">
        <f t="shared" si="15"/>
        <v>-9.8495953270614223E-3</v>
      </c>
    </row>
    <row r="976" spans="2:4" x14ac:dyDescent="0.35">
      <c r="B976" s="314">
        <v>44186</v>
      </c>
      <c r="C976" s="315">
        <v>43333.760000000002</v>
      </c>
      <c r="D976" s="317">
        <f t="shared" si="15"/>
        <v>-9.3000659571038646E-3</v>
      </c>
    </row>
    <row r="977" spans="2:4" x14ac:dyDescent="0.35">
      <c r="B977" s="314">
        <v>44183</v>
      </c>
      <c r="C977" s="315">
        <v>43740.55</v>
      </c>
      <c r="D977" s="317">
        <f t="shared" si="15"/>
        <v>-5.9725786894093691E-4</v>
      </c>
    </row>
    <row r="978" spans="2:4" x14ac:dyDescent="0.35">
      <c r="B978" s="314">
        <v>44182</v>
      </c>
      <c r="C978" s="315">
        <v>43766.69</v>
      </c>
      <c r="D978" s="317">
        <f t="shared" si="15"/>
        <v>9.3749589196909788E-3</v>
      </c>
    </row>
    <row r="979" spans="2:4" x14ac:dyDescent="0.35">
      <c r="B979" s="314">
        <v>44181</v>
      </c>
      <c r="C979" s="315">
        <v>43360.19</v>
      </c>
      <c r="D979" s="317">
        <f t="shared" si="15"/>
        <v>2.5282745953605357E-3</v>
      </c>
    </row>
    <row r="980" spans="2:4" x14ac:dyDescent="0.35">
      <c r="B980" s="314">
        <v>44180</v>
      </c>
      <c r="C980" s="315">
        <v>43250.84</v>
      </c>
      <c r="D980" s="317">
        <f t="shared" si="15"/>
        <v>-3.5547362353360867E-4</v>
      </c>
    </row>
    <row r="981" spans="2:4" x14ac:dyDescent="0.35">
      <c r="B981" s="314">
        <v>44179</v>
      </c>
      <c r="C981" s="315">
        <v>43266.22</v>
      </c>
      <c r="D981" s="317">
        <f t="shared" si="15"/>
        <v>1.8738466964866696E-2</v>
      </c>
    </row>
    <row r="982" spans="2:4" x14ac:dyDescent="0.35">
      <c r="B982" s="314">
        <v>44176</v>
      </c>
      <c r="C982" s="315">
        <v>42470.39</v>
      </c>
      <c r="D982" s="317">
        <f t="shared" si="15"/>
        <v>3.8895339272309037E-3</v>
      </c>
    </row>
    <row r="983" spans="2:4" x14ac:dyDescent="0.35">
      <c r="B983" s="314">
        <v>44175</v>
      </c>
      <c r="C983" s="315">
        <v>42305.84</v>
      </c>
      <c r="D983" s="317">
        <f t="shared" si="15"/>
        <v>2.4123288700155232E-3</v>
      </c>
    </row>
    <row r="984" spans="2:4" x14ac:dyDescent="0.35">
      <c r="B984" s="314">
        <v>44174</v>
      </c>
      <c r="C984" s="315">
        <v>42204.03</v>
      </c>
      <c r="D984" s="317">
        <f t="shared" si="15"/>
        <v>2.4286384091123381E-3</v>
      </c>
    </row>
    <row r="985" spans="2:4" x14ac:dyDescent="0.35">
      <c r="B985" s="314">
        <v>44173</v>
      </c>
      <c r="C985" s="315">
        <v>42101.78</v>
      </c>
      <c r="D985" s="317">
        <f t="shared" si="15"/>
        <v>-3.2126084314698655E-4</v>
      </c>
    </row>
    <row r="986" spans="2:4" x14ac:dyDescent="0.35">
      <c r="B986" s="314">
        <v>44172</v>
      </c>
      <c r="C986" s="315">
        <v>42115.31</v>
      </c>
      <c r="D986" s="317">
        <f t="shared" si="15"/>
        <v>-2.1723884663682469E-3</v>
      </c>
    </row>
    <row r="987" spans="2:4" x14ac:dyDescent="0.35">
      <c r="B987" s="314">
        <v>44169</v>
      </c>
      <c r="C987" s="315">
        <v>42207</v>
      </c>
      <c r="D987" s="317">
        <f t="shared" si="15"/>
        <v>3.7880769753984023E-3</v>
      </c>
    </row>
    <row r="988" spans="2:4" x14ac:dyDescent="0.35">
      <c r="B988" s="314">
        <v>44168</v>
      </c>
      <c r="C988" s="315">
        <v>42047.72</v>
      </c>
      <c r="D988" s="317">
        <f t="shared" si="15"/>
        <v>4.839702118000222E-4</v>
      </c>
    </row>
    <row r="989" spans="2:4" x14ac:dyDescent="0.35">
      <c r="B989" s="314">
        <v>44167</v>
      </c>
      <c r="C989" s="315">
        <v>42027.38</v>
      </c>
      <c r="D989" s="317">
        <f t="shared" si="15"/>
        <v>8.6909313200178584E-3</v>
      </c>
    </row>
    <row r="990" spans="2:4" x14ac:dyDescent="0.35">
      <c r="B990" s="314">
        <v>44166</v>
      </c>
      <c r="C990" s="315">
        <v>41665.269999999997</v>
      </c>
      <c r="D990" s="317">
        <f t="shared" si="15"/>
        <v>1.4523183281136332E-2</v>
      </c>
    </row>
    <row r="991" spans="2:4" x14ac:dyDescent="0.35">
      <c r="B991" s="314">
        <v>44165</v>
      </c>
      <c r="C991" s="315">
        <v>41068.82</v>
      </c>
      <c r="D991" s="317">
        <f t="shared" si="15"/>
        <v>6.4138364191126396E-3</v>
      </c>
    </row>
    <row r="992" spans="2:4" x14ac:dyDescent="0.35">
      <c r="B992" s="314">
        <v>44162</v>
      </c>
      <c r="C992" s="315">
        <v>40807.089999999997</v>
      </c>
      <c r="D992" s="317">
        <f t="shared" si="15"/>
        <v>-5.4578205811552927E-3</v>
      </c>
    </row>
    <row r="993" spans="2:4" x14ac:dyDescent="0.35">
      <c r="B993" s="314">
        <v>44161</v>
      </c>
      <c r="C993" s="315">
        <v>41031.03</v>
      </c>
      <c r="D993" s="317">
        <f t="shared" si="15"/>
        <v>1.6184744336763535E-2</v>
      </c>
    </row>
    <row r="994" spans="2:4" x14ac:dyDescent="0.35">
      <c r="B994" s="314">
        <v>44160</v>
      </c>
      <c r="C994" s="315">
        <v>40377.53</v>
      </c>
      <c r="D994" s="317">
        <f t="shared" si="15"/>
        <v>1.2898310629108956E-2</v>
      </c>
    </row>
    <row r="995" spans="2:4" x14ac:dyDescent="0.35">
      <c r="B995" s="314">
        <v>44159</v>
      </c>
      <c r="C995" s="315">
        <v>39863.360000000001</v>
      </c>
      <c r="D995" s="317">
        <f t="shared" si="15"/>
        <v>5.8245097712688043E-3</v>
      </c>
    </row>
    <row r="996" spans="2:4" x14ac:dyDescent="0.35">
      <c r="B996" s="314">
        <v>44158</v>
      </c>
      <c r="C996" s="315">
        <v>39632.519999999997</v>
      </c>
      <c r="D996" s="317">
        <f t="shared" si="15"/>
        <v>-1.3801913943700561E-2</v>
      </c>
    </row>
    <row r="997" spans="2:4" x14ac:dyDescent="0.35">
      <c r="B997" s="314">
        <v>44155</v>
      </c>
      <c r="C997" s="315">
        <v>40187.18</v>
      </c>
      <c r="D997" s="317">
        <f t="shared" si="15"/>
        <v>-8.7201257008387989E-3</v>
      </c>
    </row>
    <row r="998" spans="2:4" x14ac:dyDescent="0.35">
      <c r="B998" s="314">
        <v>44154</v>
      </c>
      <c r="C998" s="315">
        <v>40540.699999999997</v>
      </c>
      <c r="D998" s="317">
        <f t="shared" si="15"/>
        <v>6.4248332764393901E-4</v>
      </c>
    </row>
    <row r="999" spans="2:4" x14ac:dyDescent="0.35">
      <c r="B999" s="314">
        <v>44153</v>
      </c>
      <c r="C999" s="315">
        <v>40514.67</v>
      </c>
      <c r="D999" s="317">
        <f t="shared" si="15"/>
        <v>-3.3946109812713621E-3</v>
      </c>
    </row>
    <row r="1000" spans="2:4" x14ac:dyDescent="0.35">
      <c r="B1000" s="314">
        <v>44152</v>
      </c>
      <c r="C1000" s="315">
        <v>40652.67</v>
      </c>
      <c r="D1000" s="317">
        <f t="shared" si="15"/>
        <v>3.6519173677160843E-3</v>
      </c>
    </row>
    <row r="1001" spans="2:4" x14ac:dyDescent="0.35">
      <c r="B1001" s="314">
        <v>44151</v>
      </c>
      <c r="C1001" s="315">
        <v>40504.75</v>
      </c>
      <c r="D1001" s="317">
        <f t="shared" si="15"/>
        <v>-1.5923351002665731E-3</v>
      </c>
    </row>
    <row r="1002" spans="2:4" x14ac:dyDescent="0.35">
      <c r="B1002" s="314">
        <v>44148</v>
      </c>
      <c r="C1002" s="315">
        <v>40569.35</v>
      </c>
      <c r="D1002" s="317">
        <f t="shared" si="15"/>
        <v>1.1832992107629892E-4</v>
      </c>
    </row>
    <row r="1003" spans="2:4" x14ac:dyDescent="0.35">
      <c r="B1003" s="314">
        <v>44147</v>
      </c>
      <c r="C1003" s="315">
        <v>40564.550000000003</v>
      </c>
      <c r="D1003" s="317">
        <f t="shared" si="15"/>
        <v>-1.5359494258364248E-2</v>
      </c>
    </row>
    <row r="1004" spans="2:4" x14ac:dyDescent="0.35">
      <c r="B1004" s="314">
        <v>44146</v>
      </c>
      <c r="C1004" s="315">
        <v>41197.32</v>
      </c>
      <c r="D1004" s="317">
        <f t="shared" si="15"/>
        <v>1.0757404372214729E-3</v>
      </c>
    </row>
    <row r="1005" spans="2:4" x14ac:dyDescent="0.35">
      <c r="B1005" s="314">
        <v>44145</v>
      </c>
      <c r="C1005" s="315">
        <v>41153.050000000003</v>
      </c>
      <c r="D1005" s="317">
        <f t="shared" si="15"/>
        <v>9.0479020714966385E-3</v>
      </c>
    </row>
    <row r="1006" spans="2:4" x14ac:dyDescent="0.35">
      <c r="B1006" s="314">
        <v>44144</v>
      </c>
      <c r="C1006" s="315">
        <v>40784.04</v>
      </c>
      <c r="D1006" s="317">
        <f t="shared" si="15"/>
        <v>1.2872066682363403E-3</v>
      </c>
    </row>
    <row r="1007" spans="2:4" x14ac:dyDescent="0.35">
      <c r="B1007" s="314">
        <v>44141</v>
      </c>
      <c r="C1007" s="315">
        <v>40731.61</v>
      </c>
      <c r="D1007" s="317">
        <f t="shared" si="15"/>
        <v>-8.270738934487154E-3</v>
      </c>
    </row>
    <row r="1008" spans="2:4" x14ac:dyDescent="0.35">
      <c r="B1008" s="314">
        <v>44140</v>
      </c>
      <c r="C1008" s="315">
        <v>41071.300000000003</v>
      </c>
      <c r="D1008" s="317">
        <f t="shared" si="15"/>
        <v>1.959537222121277E-2</v>
      </c>
    </row>
    <row r="1009" spans="2:4" x14ac:dyDescent="0.35">
      <c r="B1009" s="314">
        <v>44139</v>
      </c>
      <c r="C1009" s="315">
        <v>40281.96</v>
      </c>
      <c r="D1009" s="317">
        <f t="shared" si="15"/>
        <v>-4.9139247961011989E-3</v>
      </c>
    </row>
    <row r="1010" spans="2:4" x14ac:dyDescent="0.35">
      <c r="B1010" s="314">
        <v>44138</v>
      </c>
      <c r="C1010" s="315">
        <v>40480.879999999997</v>
      </c>
      <c r="D1010" s="317">
        <f t="shared" si="15"/>
        <v>3.4994214078581054E-2</v>
      </c>
    </row>
    <row r="1011" spans="2:4" x14ac:dyDescent="0.35">
      <c r="B1011" s="314">
        <v>44137</v>
      </c>
      <c r="C1011" s="315">
        <v>39112.18</v>
      </c>
      <c r="D1011" s="317">
        <f t="shared" si="15"/>
        <v>-1.9449959887685497E-2</v>
      </c>
    </row>
    <row r="1012" spans="2:4" x14ac:dyDescent="0.35">
      <c r="B1012" s="314">
        <v>44133</v>
      </c>
      <c r="C1012" s="315">
        <v>39888</v>
      </c>
      <c r="D1012" s="317">
        <f t="shared" si="15"/>
        <v>-3.1535785927842008E-2</v>
      </c>
    </row>
    <row r="1013" spans="2:4" x14ac:dyDescent="0.35">
      <c r="B1013" s="314">
        <v>44132</v>
      </c>
      <c r="C1013" s="315">
        <v>41186.86</v>
      </c>
      <c r="D1013" s="317">
        <f t="shared" si="15"/>
        <v>-4.711488109636508E-3</v>
      </c>
    </row>
    <row r="1014" spans="2:4" x14ac:dyDescent="0.35">
      <c r="B1014" s="314">
        <v>44131</v>
      </c>
      <c r="C1014" s="315">
        <v>41381.83</v>
      </c>
      <c r="D1014" s="317">
        <f t="shared" si="15"/>
        <v>-1.1197962651315452E-2</v>
      </c>
    </row>
    <row r="1015" spans="2:4" x14ac:dyDescent="0.35">
      <c r="B1015" s="314">
        <v>44130</v>
      </c>
      <c r="C1015" s="315">
        <v>41850.47</v>
      </c>
      <c r="D1015" s="317">
        <f t="shared" si="15"/>
        <v>1.4163475985072393E-2</v>
      </c>
    </row>
    <row r="1016" spans="2:4" x14ac:dyDescent="0.35">
      <c r="B1016" s="314">
        <v>44127</v>
      </c>
      <c r="C1016" s="315">
        <v>41266</v>
      </c>
      <c r="D1016" s="317">
        <f t="shared" si="15"/>
        <v>1.625766826492514E-3</v>
      </c>
    </row>
    <row r="1017" spans="2:4" x14ac:dyDescent="0.35">
      <c r="B1017" s="314">
        <v>44126</v>
      </c>
      <c r="C1017" s="315">
        <v>41199.019999999997</v>
      </c>
      <c r="D1017" s="317">
        <f t="shared" si="15"/>
        <v>-8.1110518317639713E-3</v>
      </c>
    </row>
    <row r="1018" spans="2:4" x14ac:dyDescent="0.35">
      <c r="B1018" s="314">
        <v>44125</v>
      </c>
      <c r="C1018" s="315">
        <v>41535.919999999998</v>
      </c>
      <c r="D1018" s="317">
        <f t="shared" si="15"/>
        <v>1.414522403970242E-2</v>
      </c>
    </row>
    <row r="1019" spans="2:4" x14ac:dyDescent="0.35">
      <c r="B1019" s="314">
        <v>44124</v>
      </c>
      <c r="C1019" s="315">
        <v>40956.58</v>
      </c>
      <c r="D1019" s="317">
        <f t="shared" si="15"/>
        <v>1.5280302487570063E-2</v>
      </c>
    </row>
    <row r="1020" spans="2:4" x14ac:dyDescent="0.35">
      <c r="B1020" s="314">
        <v>44123</v>
      </c>
      <c r="C1020" s="315">
        <v>40340.17</v>
      </c>
      <c r="D1020" s="317">
        <f t="shared" si="15"/>
        <v>4.3857661658370795E-3</v>
      </c>
    </row>
    <row r="1021" spans="2:4" x14ac:dyDescent="0.35">
      <c r="B1021" s="314">
        <v>44120</v>
      </c>
      <c r="C1021" s="315">
        <v>40164.019999999997</v>
      </c>
      <c r="D1021" s="317">
        <f t="shared" si="15"/>
        <v>2.3841677088405344E-3</v>
      </c>
    </row>
    <row r="1022" spans="2:4" x14ac:dyDescent="0.35">
      <c r="B1022" s="314">
        <v>44119</v>
      </c>
      <c r="C1022" s="315">
        <v>40068.49</v>
      </c>
      <c r="D1022" s="317">
        <f t="shared" si="15"/>
        <v>-1.8881888308400763E-3</v>
      </c>
    </row>
    <row r="1023" spans="2:4" x14ac:dyDescent="0.35">
      <c r="B1023" s="314">
        <v>44118</v>
      </c>
      <c r="C1023" s="315">
        <v>40144.29</v>
      </c>
      <c r="D1023" s="317">
        <f t="shared" si="15"/>
        <v>3.4399263922741952E-3</v>
      </c>
    </row>
    <row r="1024" spans="2:4" x14ac:dyDescent="0.35">
      <c r="B1024" s="314">
        <v>44117</v>
      </c>
      <c r="C1024" s="315">
        <v>40006.67</v>
      </c>
      <c r="D1024" s="317">
        <f t="shared" si="15"/>
        <v>-5.0522484308559434E-3</v>
      </c>
    </row>
    <row r="1025" spans="2:4" x14ac:dyDescent="0.35">
      <c r="B1025" s="314">
        <v>44116</v>
      </c>
      <c r="C1025" s="315">
        <v>40209.82</v>
      </c>
      <c r="D1025" s="317">
        <f t="shared" si="15"/>
        <v>-1.4427270853314744E-2</v>
      </c>
    </row>
    <row r="1026" spans="2:4" x14ac:dyDescent="0.35">
      <c r="B1026" s="314">
        <v>44113</v>
      </c>
      <c r="C1026" s="315">
        <v>40798.43</v>
      </c>
      <c r="D1026" s="317">
        <f t="shared" si="15"/>
        <v>1.1022802910866325E-2</v>
      </c>
    </row>
    <row r="1027" spans="2:4" x14ac:dyDescent="0.35">
      <c r="B1027" s="314">
        <v>44112</v>
      </c>
      <c r="C1027" s="315">
        <v>40353.620000000003</v>
      </c>
      <c r="D1027" s="317">
        <f t="shared" si="15"/>
        <v>1.2638908545955951E-2</v>
      </c>
    </row>
    <row r="1028" spans="2:4" x14ac:dyDescent="0.35">
      <c r="B1028" s="314">
        <v>44111</v>
      </c>
      <c r="C1028" s="315">
        <v>39849.96</v>
      </c>
      <c r="D1028" s="317">
        <f t="shared" ref="D1028:D1091" si="16">(C1028/C1029)-1</f>
        <v>1.8464772073233382E-2</v>
      </c>
    </row>
    <row r="1029" spans="2:4" x14ac:dyDescent="0.35">
      <c r="B1029" s="314">
        <v>44110</v>
      </c>
      <c r="C1029" s="315">
        <v>39127.480000000003</v>
      </c>
      <c r="D1029" s="317">
        <f t="shared" si="16"/>
        <v>1.4078966597197429E-3</v>
      </c>
    </row>
    <row r="1030" spans="2:4" x14ac:dyDescent="0.35">
      <c r="B1030" s="314">
        <v>44109</v>
      </c>
      <c r="C1030" s="315">
        <v>39072.47</v>
      </c>
      <c r="D1030" s="317">
        <f t="shared" si="16"/>
        <v>-2.4914881972746827E-2</v>
      </c>
    </row>
    <row r="1031" spans="2:4" x14ac:dyDescent="0.35">
      <c r="B1031" s="314">
        <v>44106</v>
      </c>
      <c r="C1031" s="315">
        <v>40070.83</v>
      </c>
      <c r="D1031" s="317">
        <f t="shared" si="16"/>
        <v>-1.4900095680793868E-2</v>
      </c>
    </row>
    <row r="1032" spans="2:4" x14ac:dyDescent="0.35">
      <c r="B1032" s="314">
        <v>44105</v>
      </c>
      <c r="C1032" s="315">
        <v>40676.92</v>
      </c>
      <c r="D1032" s="317">
        <f t="shared" si="16"/>
        <v>2.5988699450942843E-3</v>
      </c>
    </row>
    <row r="1033" spans="2:4" x14ac:dyDescent="0.35">
      <c r="B1033" s="314">
        <v>44104</v>
      </c>
      <c r="C1033" s="315">
        <v>40571.480000000003</v>
      </c>
      <c r="D1033" s="317">
        <f t="shared" si="16"/>
        <v>-1.5359539621535134E-2</v>
      </c>
    </row>
    <row r="1034" spans="2:4" x14ac:dyDescent="0.35">
      <c r="B1034" s="314">
        <v>44103</v>
      </c>
      <c r="C1034" s="315">
        <v>41204.36</v>
      </c>
      <c r="D1034" s="317">
        <f t="shared" si="16"/>
        <v>1.1374550667080818E-2</v>
      </c>
    </row>
    <row r="1035" spans="2:4" x14ac:dyDescent="0.35">
      <c r="B1035" s="314">
        <v>44102</v>
      </c>
      <c r="C1035" s="315">
        <v>40740.949999999997</v>
      </c>
      <c r="D1035" s="317">
        <f t="shared" si="16"/>
        <v>-2.3027618130208816E-2</v>
      </c>
    </row>
    <row r="1036" spans="2:4" x14ac:dyDescent="0.35">
      <c r="B1036" s="314">
        <v>44099</v>
      </c>
      <c r="C1036" s="315">
        <v>41701.230000000003</v>
      </c>
      <c r="D1036" s="317">
        <f t="shared" si="16"/>
        <v>-2.5149277490487121E-3</v>
      </c>
    </row>
    <row r="1037" spans="2:4" x14ac:dyDescent="0.35">
      <c r="B1037" s="314">
        <v>44098</v>
      </c>
      <c r="C1037" s="315">
        <v>41806.370000000003</v>
      </c>
      <c r="D1037" s="317">
        <f t="shared" si="16"/>
        <v>-1.6689647069724201E-3</v>
      </c>
    </row>
    <row r="1038" spans="2:4" x14ac:dyDescent="0.35">
      <c r="B1038" s="314">
        <v>44097</v>
      </c>
      <c r="C1038" s="315">
        <v>41876.26</v>
      </c>
      <c r="D1038" s="317">
        <f t="shared" si="16"/>
        <v>1.1319922034784824E-3</v>
      </c>
    </row>
    <row r="1039" spans="2:4" x14ac:dyDescent="0.35">
      <c r="B1039" s="314">
        <v>44096</v>
      </c>
      <c r="C1039" s="315">
        <v>41828.910000000003</v>
      </c>
      <c r="D1039" s="317">
        <f t="shared" si="16"/>
        <v>-8.1855867566205109E-3</v>
      </c>
    </row>
    <row r="1040" spans="2:4" x14ac:dyDescent="0.35">
      <c r="B1040" s="314">
        <v>44095</v>
      </c>
      <c r="C1040" s="315">
        <v>42174.13</v>
      </c>
      <c r="D1040" s="317">
        <f t="shared" si="16"/>
        <v>-7.7786582020461514E-3</v>
      </c>
    </row>
    <row r="1041" spans="2:4" x14ac:dyDescent="0.35">
      <c r="B1041" s="314">
        <v>44092</v>
      </c>
      <c r="C1041" s="315">
        <v>42504.76</v>
      </c>
      <c r="D1041" s="317">
        <f t="shared" si="16"/>
        <v>4.0156127021861998E-3</v>
      </c>
    </row>
    <row r="1042" spans="2:4" x14ac:dyDescent="0.35">
      <c r="B1042" s="314">
        <v>44091</v>
      </c>
      <c r="C1042" s="315">
        <v>42334.76</v>
      </c>
      <c r="D1042" s="317">
        <f t="shared" si="16"/>
        <v>1.2411818851774115E-3</v>
      </c>
    </row>
    <row r="1043" spans="2:4" x14ac:dyDescent="0.35">
      <c r="B1043" s="314">
        <v>44090</v>
      </c>
      <c r="C1043" s="315">
        <v>42282.28</v>
      </c>
      <c r="D1043" s="317">
        <f t="shared" si="16"/>
        <v>-1.5146498806746234E-3</v>
      </c>
    </row>
    <row r="1044" spans="2:4" x14ac:dyDescent="0.35">
      <c r="B1044" s="314">
        <v>44089</v>
      </c>
      <c r="C1044" s="315">
        <v>42346.42</v>
      </c>
      <c r="D1044" s="317">
        <f t="shared" si="16"/>
        <v>-4.3471503699274994E-3</v>
      </c>
    </row>
    <row r="1045" spans="2:4" x14ac:dyDescent="0.35">
      <c r="B1045" s="314">
        <v>44088</v>
      </c>
      <c r="C1045" s="315">
        <v>42531.31</v>
      </c>
      <c r="D1045" s="317">
        <f t="shared" si="16"/>
        <v>1.5047964210257447E-5</v>
      </c>
    </row>
    <row r="1046" spans="2:4" x14ac:dyDescent="0.35">
      <c r="B1046" s="314">
        <v>44085</v>
      </c>
      <c r="C1046" s="315">
        <v>42530.67</v>
      </c>
      <c r="D1046" s="317">
        <f t="shared" si="16"/>
        <v>-2.7359261478145935E-3</v>
      </c>
    </row>
    <row r="1047" spans="2:4" x14ac:dyDescent="0.35">
      <c r="B1047" s="314">
        <v>44084</v>
      </c>
      <c r="C1047" s="315">
        <v>42647.35</v>
      </c>
      <c r="D1047" s="317">
        <f t="shared" si="16"/>
        <v>1.4875452885078744E-2</v>
      </c>
    </row>
    <row r="1048" spans="2:4" x14ac:dyDescent="0.35">
      <c r="B1048" s="314">
        <v>44083</v>
      </c>
      <c r="C1048" s="315">
        <v>42022.25</v>
      </c>
      <c r="D1048" s="317">
        <f t="shared" si="16"/>
        <v>8.8269220646597368E-4</v>
      </c>
    </row>
    <row r="1049" spans="2:4" x14ac:dyDescent="0.35">
      <c r="B1049" s="314">
        <v>44082</v>
      </c>
      <c r="C1049" s="315">
        <v>41985.19</v>
      </c>
      <c r="D1049" s="317">
        <f t="shared" si="16"/>
        <v>-7.3425817014711736E-3</v>
      </c>
    </row>
    <row r="1050" spans="2:4" x14ac:dyDescent="0.35">
      <c r="B1050" s="314">
        <v>44081</v>
      </c>
      <c r="C1050" s="315">
        <v>42295.75</v>
      </c>
      <c r="D1050" s="317">
        <f t="shared" si="16"/>
        <v>6.490493301287481E-3</v>
      </c>
    </row>
    <row r="1051" spans="2:4" x14ac:dyDescent="0.35">
      <c r="B1051" s="314">
        <v>44078</v>
      </c>
      <c r="C1051" s="315">
        <v>42023</v>
      </c>
      <c r="D1051" s="317">
        <f t="shared" si="16"/>
        <v>-3.9136619298660857E-3</v>
      </c>
    </row>
    <row r="1052" spans="2:4" x14ac:dyDescent="0.35">
      <c r="B1052" s="314">
        <v>44077</v>
      </c>
      <c r="C1052" s="315">
        <v>42188.11</v>
      </c>
      <c r="D1052" s="317">
        <f t="shared" si="16"/>
        <v>8.4441560086865319E-3</v>
      </c>
    </row>
    <row r="1053" spans="2:4" x14ac:dyDescent="0.35">
      <c r="B1053" s="314">
        <v>44076</v>
      </c>
      <c r="C1053" s="315">
        <v>41834.85</v>
      </c>
      <c r="D1053" s="317">
        <f t="shared" si="16"/>
        <v>1.105897297211067E-2</v>
      </c>
    </row>
    <row r="1054" spans="2:4" x14ac:dyDescent="0.35">
      <c r="B1054" s="314">
        <v>44075</v>
      </c>
      <c r="C1054" s="315">
        <v>41377.26</v>
      </c>
      <c r="D1054" s="317">
        <f t="shared" si="16"/>
        <v>6.4783258369489616E-3</v>
      </c>
    </row>
    <row r="1055" spans="2:4" x14ac:dyDescent="0.35">
      <c r="B1055" s="314">
        <v>44074</v>
      </c>
      <c r="C1055" s="315">
        <v>41110.93</v>
      </c>
      <c r="D1055" s="317">
        <f t="shared" si="16"/>
        <v>1.332563007505394E-3</v>
      </c>
    </row>
    <row r="1056" spans="2:4" x14ac:dyDescent="0.35">
      <c r="B1056" s="314">
        <v>44071</v>
      </c>
      <c r="C1056" s="315">
        <v>41056.22</v>
      </c>
      <c r="D1056" s="317">
        <f t="shared" si="16"/>
        <v>-6.2606585764934941E-4</v>
      </c>
    </row>
    <row r="1057" spans="2:4" x14ac:dyDescent="0.35">
      <c r="B1057" s="314">
        <v>44070</v>
      </c>
      <c r="C1057" s="315">
        <v>41081.94</v>
      </c>
      <c r="D1057" s="317">
        <f t="shared" si="16"/>
        <v>5.3679906241872466E-3</v>
      </c>
    </row>
    <row r="1058" spans="2:4" x14ac:dyDescent="0.35">
      <c r="B1058" s="314">
        <v>44069</v>
      </c>
      <c r="C1058" s="315">
        <v>40862.589999999997</v>
      </c>
      <c r="D1058" s="317">
        <f t="shared" si="16"/>
        <v>1.4140732765787867E-2</v>
      </c>
    </row>
    <row r="1059" spans="2:4" x14ac:dyDescent="0.35">
      <c r="B1059" s="314">
        <v>44068</v>
      </c>
      <c r="C1059" s="315">
        <v>40292.82</v>
      </c>
      <c r="D1059" s="317">
        <f t="shared" si="16"/>
        <v>1.2316280845974914E-2</v>
      </c>
    </row>
    <row r="1060" spans="2:4" x14ac:dyDescent="0.35">
      <c r="B1060" s="314">
        <v>44067</v>
      </c>
      <c r="C1060" s="315">
        <v>39802.6</v>
      </c>
      <c r="D1060" s="317">
        <f t="shared" si="16"/>
        <v>4.568468857509389E-3</v>
      </c>
    </row>
    <row r="1061" spans="2:4" x14ac:dyDescent="0.35">
      <c r="B1061" s="314">
        <v>44064</v>
      </c>
      <c r="C1061" s="315">
        <v>39621.589999999997</v>
      </c>
      <c r="D1061" s="317">
        <f t="shared" si="16"/>
        <v>-6.1943562030725152E-3</v>
      </c>
    </row>
    <row r="1062" spans="2:4" x14ac:dyDescent="0.35">
      <c r="B1062" s="314">
        <v>44063</v>
      </c>
      <c r="C1062" s="315">
        <v>39868.550000000003</v>
      </c>
      <c r="D1062" s="317">
        <f t="shared" si="16"/>
        <v>-7.1116007800944292E-3</v>
      </c>
    </row>
    <row r="1063" spans="2:4" x14ac:dyDescent="0.35">
      <c r="B1063" s="314">
        <v>44062</v>
      </c>
      <c r="C1063" s="315">
        <v>40154.11</v>
      </c>
      <c r="D1063" s="317">
        <f t="shared" si="16"/>
        <v>-7.4407705950707559E-4</v>
      </c>
    </row>
    <row r="1064" spans="2:4" x14ac:dyDescent="0.35">
      <c r="B1064" s="314">
        <v>44061</v>
      </c>
      <c r="C1064" s="315">
        <v>40184.01</v>
      </c>
      <c r="D1064" s="317">
        <f t="shared" si="16"/>
        <v>1.533055019004248E-3</v>
      </c>
    </row>
    <row r="1065" spans="2:4" x14ac:dyDescent="0.35">
      <c r="B1065" s="314">
        <v>44060</v>
      </c>
      <c r="C1065" s="315">
        <v>40122.5</v>
      </c>
      <c r="D1065" s="317">
        <f t="shared" si="16"/>
        <v>-4.1756492931129818E-3</v>
      </c>
    </row>
    <row r="1066" spans="2:4" x14ac:dyDescent="0.35">
      <c r="B1066" s="314">
        <v>44056</v>
      </c>
      <c r="C1066" s="315">
        <v>40290.74</v>
      </c>
      <c r="D1066" s="317">
        <f t="shared" si="16"/>
        <v>-4.5076764415349357E-3</v>
      </c>
    </row>
    <row r="1067" spans="2:4" x14ac:dyDescent="0.35">
      <c r="B1067" s="314">
        <v>44055</v>
      </c>
      <c r="C1067" s="315">
        <v>40473.18</v>
      </c>
      <c r="D1067" s="317">
        <f t="shared" si="16"/>
        <v>-2.1196203569354699E-3</v>
      </c>
    </row>
    <row r="1068" spans="2:4" x14ac:dyDescent="0.35">
      <c r="B1068" s="314">
        <v>44054</v>
      </c>
      <c r="C1068" s="315">
        <v>40559.15</v>
      </c>
      <c r="D1068" s="317">
        <f t="shared" si="16"/>
        <v>1.6144153190448929E-2</v>
      </c>
    </row>
    <row r="1069" spans="2:4" x14ac:dyDescent="0.35">
      <c r="B1069" s="314">
        <v>44053</v>
      </c>
      <c r="C1069" s="315">
        <v>39914.76</v>
      </c>
      <c r="D1069" s="317">
        <f t="shared" si="16"/>
        <v>-2.8711189119875469E-3</v>
      </c>
    </row>
    <row r="1070" spans="2:4" x14ac:dyDescent="0.35">
      <c r="B1070" s="314">
        <v>44050</v>
      </c>
      <c r="C1070" s="315">
        <v>40029.69</v>
      </c>
      <c r="D1070" s="317">
        <f t="shared" si="16"/>
        <v>-3.3966437385537507E-3</v>
      </c>
    </row>
    <row r="1071" spans="2:4" x14ac:dyDescent="0.35">
      <c r="B1071" s="314">
        <v>44049</v>
      </c>
      <c r="C1071" s="315">
        <v>40166.120000000003</v>
      </c>
      <c r="D1071" s="317">
        <f t="shared" si="16"/>
        <v>7.1043192074375927E-3</v>
      </c>
    </row>
    <row r="1072" spans="2:4" x14ac:dyDescent="0.35">
      <c r="B1072" s="314">
        <v>44048</v>
      </c>
      <c r="C1072" s="315">
        <v>39882.78</v>
      </c>
      <c r="D1072" s="317">
        <f t="shared" si="16"/>
        <v>7.7104181605665012E-3</v>
      </c>
    </row>
    <row r="1073" spans="2:4" x14ac:dyDescent="0.35">
      <c r="B1073" s="314">
        <v>44047</v>
      </c>
      <c r="C1073" s="315">
        <v>39577.620000000003</v>
      </c>
      <c r="D1073" s="317">
        <f t="shared" si="16"/>
        <v>-7.3734168246528675E-3</v>
      </c>
    </row>
    <row r="1074" spans="2:4" x14ac:dyDescent="0.35">
      <c r="B1074" s="314">
        <v>44046</v>
      </c>
      <c r="C1074" s="315">
        <v>39871.61</v>
      </c>
      <c r="D1074" s="317">
        <f t="shared" si="16"/>
        <v>1.5618807064162521E-2</v>
      </c>
    </row>
    <row r="1075" spans="2:4" x14ac:dyDescent="0.35">
      <c r="B1075" s="314">
        <v>44042</v>
      </c>
      <c r="C1075" s="315">
        <v>39258.44</v>
      </c>
      <c r="D1075" s="317">
        <f t="shared" si="16"/>
        <v>1.0870508419063007E-2</v>
      </c>
    </row>
    <row r="1076" spans="2:4" x14ac:dyDescent="0.35">
      <c r="B1076" s="314">
        <v>44041</v>
      </c>
      <c r="C1076" s="315">
        <v>38836.269999999997</v>
      </c>
      <c r="D1076" s="317">
        <f t="shared" si="16"/>
        <v>5.4106852490480861E-3</v>
      </c>
    </row>
    <row r="1077" spans="2:4" x14ac:dyDescent="0.35">
      <c r="B1077" s="314">
        <v>44040</v>
      </c>
      <c r="C1077" s="315">
        <v>38627.269999999997</v>
      </c>
      <c r="D1077" s="317">
        <f t="shared" si="16"/>
        <v>1.0625266213793338E-2</v>
      </c>
    </row>
    <row r="1078" spans="2:4" x14ac:dyDescent="0.35">
      <c r="B1078" s="314">
        <v>44039</v>
      </c>
      <c r="C1078" s="315">
        <v>38221.160000000003</v>
      </c>
      <c r="D1078" s="317">
        <f t="shared" si="16"/>
        <v>1.6314246953144096E-2</v>
      </c>
    </row>
    <row r="1079" spans="2:4" x14ac:dyDescent="0.35">
      <c r="B1079" s="314">
        <v>44036</v>
      </c>
      <c r="C1079" s="315">
        <v>37607.620000000003</v>
      </c>
      <c r="D1079" s="317">
        <f t="shared" si="16"/>
        <v>7.8263440435311082E-4</v>
      </c>
    </row>
    <row r="1080" spans="2:4" x14ac:dyDescent="0.35">
      <c r="B1080" s="314">
        <v>44035</v>
      </c>
      <c r="C1080" s="315">
        <v>37578.21</v>
      </c>
      <c r="D1080" s="317">
        <f t="shared" si="16"/>
        <v>-5.988687623017408E-3</v>
      </c>
    </row>
    <row r="1081" spans="2:4" x14ac:dyDescent="0.35">
      <c r="B1081" s="314">
        <v>44034</v>
      </c>
      <c r="C1081" s="315">
        <v>37804.61</v>
      </c>
      <c r="D1081" s="317">
        <f t="shared" si="16"/>
        <v>2.7665555004721121E-3</v>
      </c>
    </row>
    <row r="1082" spans="2:4" x14ac:dyDescent="0.35">
      <c r="B1082" s="314">
        <v>44033</v>
      </c>
      <c r="C1082" s="315">
        <v>37700.31</v>
      </c>
      <c r="D1082" s="317">
        <f t="shared" si="16"/>
        <v>1.3210955371989463E-3</v>
      </c>
    </row>
    <row r="1083" spans="2:4" x14ac:dyDescent="0.35">
      <c r="B1083" s="314">
        <v>44032</v>
      </c>
      <c r="C1083" s="315">
        <v>37650.57</v>
      </c>
      <c r="D1083" s="317">
        <f t="shared" si="16"/>
        <v>8.5644982635006972E-3</v>
      </c>
    </row>
    <row r="1084" spans="2:4" x14ac:dyDescent="0.35">
      <c r="B1084" s="314">
        <v>44029</v>
      </c>
      <c r="C1084" s="315">
        <v>37330.85</v>
      </c>
      <c r="D1084" s="317">
        <f t="shared" si="16"/>
        <v>8.902626492374166E-3</v>
      </c>
    </row>
    <row r="1085" spans="2:4" x14ac:dyDescent="0.35">
      <c r="B1085" s="314">
        <v>44028</v>
      </c>
      <c r="C1085" s="315">
        <v>37001.440000000002</v>
      </c>
      <c r="D1085" s="317">
        <f t="shared" si="16"/>
        <v>8.7900361596258136E-3</v>
      </c>
    </row>
    <row r="1086" spans="2:4" x14ac:dyDescent="0.35">
      <c r="B1086" s="314">
        <v>44027</v>
      </c>
      <c r="C1086" s="315">
        <v>36679.03</v>
      </c>
      <c r="D1086" s="317">
        <f t="shared" si="16"/>
        <v>-1.8013227298681045E-3</v>
      </c>
    </row>
    <row r="1087" spans="2:4" x14ac:dyDescent="0.35">
      <c r="B1087" s="314">
        <v>44026</v>
      </c>
      <c r="C1087" s="315">
        <v>36745.22</v>
      </c>
      <c r="D1087" s="317">
        <f t="shared" si="16"/>
        <v>3.4586276853521003E-3</v>
      </c>
    </row>
    <row r="1088" spans="2:4" x14ac:dyDescent="0.35">
      <c r="B1088" s="314">
        <v>44025</v>
      </c>
      <c r="C1088" s="315">
        <v>36618.57</v>
      </c>
      <c r="D1088" s="317">
        <f t="shared" si="16"/>
        <v>1.1831038065343247E-2</v>
      </c>
    </row>
    <row r="1089" spans="2:4" x14ac:dyDescent="0.35">
      <c r="B1089" s="314">
        <v>44022</v>
      </c>
      <c r="C1089" s="315">
        <v>36190.400000000001</v>
      </c>
      <c r="D1089" s="317">
        <f t="shared" si="16"/>
        <v>1.3344522478866416E-3</v>
      </c>
    </row>
    <row r="1090" spans="2:4" x14ac:dyDescent="0.35">
      <c r="B1090" s="314">
        <v>44021</v>
      </c>
      <c r="C1090" s="315">
        <v>36142.17</v>
      </c>
      <c r="D1090" s="317">
        <f t="shared" si="16"/>
        <v>1.253064514276403E-2</v>
      </c>
    </row>
    <row r="1091" spans="2:4" x14ac:dyDescent="0.35">
      <c r="B1091" s="314">
        <v>44020</v>
      </c>
      <c r="C1091" s="315">
        <v>35694.89</v>
      </c>
      <c r="D1091" s="317">
        <f t="shared" si="16"/>
        <v>9.0898939455834604E-3</v>
      </c>
    </row>
    <row r="1092" spans="2:4" x14ac:dyDescent="0.35">
      <c r="B1092" s="314">
        <v>44019</v>
      </c>
      <c r="C1092" s="315">
        <v>35373.35</v>
      </c>
      <c r="D1092" s="317">
        <f t="shared" ref="D1092:D1155" si="17">(C1092/C1093)-1</f>
        <v>4.8456414083324351E-3</v>
      </c>
    </row>
    <row r="1093" spans="2:4" x14ac:dyDescent="0.35">
      <c r="B1093" s="314">
        <v>44018</v>
      </c>
      <c r="C1093" s="315">
        <v>35202.769999999997</v>
      </c>
      <c r="D1093" s="317">
        <f t="shared" si="17"/>
        <v>4.3190881500243528E-3</v>
      </c>
    </row>
    <row r="1094" spans="2:4" x14ac:dyDescent="0.35">
      <c r="B1094" s="314">
        <v>44015</v>
      </c>
      <c r="C1094" s="315">
        <v>35051.379999999997</v>
      </c>
      <c r="D1094" s="317">
        <f t="shared" si="17"/>
        <v>2.0927332411233568E-3</v>
      </c>
    </row>
    <row r="1095" spans="2:4" x14ac:dyDescent="0.35">
      <c r="B1095" s="314">
        <v>44014</v>
      </c>
      <c r="C1095" s="315">
        <v>34978.18</v>
      </c>
      <c r="D1095" s="317">
        <f t="shared" si="17"/>
        <v>2.5443250545078566E-3</v>
      </c>
    </row>
    <row r="1096" spans="2:4" x14ac:dyDescent="0.35">
      <c r="B1096" s="314">
        <v>44013</v>
      </c>
      <c r="C1096" s="315">
        <v>34889.410000000003</v>
      </c>
      <c r="D1096" s="317">
        <f t="shared" si="17"/>
        <v>1.3581171532558445E-2</v>
      </c>
    </row>
    <row r="1097" spans="2:4" x14ac:dyDescent="0.35">
      <c r="B1097" s="314">
        <v>44012</v>
      </c>
      <c r="C1097" s="315">
        <v>34421.919999999998</v>
      </c>
      <c r="D1097" s="317">
        <f t="shared" si="17"/>
        <v>7.0247909706333544E-3</v>
      </c>
    </row>
    <row r="1098" spans="2:4" x14ac:dyDescent="0.35">
      <c r="B1098" s="314">
        <v>44011</v>
      </c>
      <c r="C1098" s="315">
        <v>34181.800000000003</v>
      </c>
      <c r="D1098" s="317">
        <f t="shared" si="17"/>
        <v>7.1394708641763227E-3</v>
      </c>
    </row>
    <row r="1099" spans="2:4" x14ac:dyDescent="0.35">
      <c r="B1099" s="314">
        <v>44008</v>
      </c>
      <c r="C1099" s="315">
        <v>33939.49</v>
      </c>
      <c r="D1099" s="317">
        <f t="shared" si="17"/>
        <v>6.8188229891577024E-3</v>
      </c>
    </row>
    <row r="1100" spans="2:4" x14ac:dyDescent="0.35">
      <c r="B1100" s="314">
        <v>44007</v>
      </c>
      <c r="C1100" s="315">
        <v>33709.629999999997</v>
      </c>
      <c r="D1100" s="317">
        <f t="shared" si="17"/>
        <v>-9.5496795177856253E-3</v>
      </c>
    </row>
    <row r="1101" spans="2:4" x14ac:dyDescent="0.35">
      <c r="B1101" s="314">
        <v>44006</v>
      </c>
      <c r="C1101" s="315">
        <v>34034.65</v>
      </c>
      <c r="D1101" s="317">
        <f t="shared" si="17"/>
        <v>-5.2741919048204799E-4</v>
      </c>
    </row>
    <row r="1102" spans="2:4" x14ac:dyDescent="0.35">
      <c r="B1102" s="314">
        <v>44005</v>
      </c>
      <c r="C1102" s="315">
        <v>34052.61</v>
      </c>
      <c r="D1102" s="317">
        <f t="shared" si="17"/>
        <v>9.3274866974608628E-3</v>
      </c>
    </row>
    <row r="1103" spans="2:4" x14ac:dyDescent="0.35">
      <c r="B1103" s="314">
        <v>44004</v>
      </c>
      <c r="C1103" s="315">
        <v>33737.919999999998</v>
      </c>
      <c r="D1103" s="317">
        <f t="shared" si="17"/>
        <v>8.9410728928607242E-3</v>
      </c>
    </row>
    <row r="1104" spans="2:4" x14ac:dyDescent="0.35">
      <c r="B1104" s="314">
        <v>44001</v>
      </c>
      <c r="C1104" s="315">
        <v>33438.94</v>
      </c>
      <c r="D1104" s="317">
        <f t="shared" si="17"/>
        <v>-3.0086598479120985E-3</v>
      </c>
    </row>
    <row r="1105" spans="2:4" x14ac:dyDescent="0.35">
      <c r="B1105" s="314">
        <v>44000</v>
      </c>
      <c r="C1105" s="315">
        <v>33539.85</v>
      </c>
      <c r="D1105" s="317">
        <f t="shared" si="17"/>
        <v>-9.1238417569016184E-3</v>
      </c>
    </row>
    <row r="1106" spans="2:4" x14ac:dyDescent="0.35">
      <c r="B1106" s="314">
        <v>43999</v>
      </c>
      <c r="C1106" s="315">
        <v>33848.68</v>
      </c>
      <c r="D1106" s="317">
        <f t="shared" si="17"/>
        <v>-5.0101237186618297E-3</v>
      </c>
    </row>
    <row r="1107" spans="2:4" x14ac:dyDescent="0.35">
      <c r="B1107" s="314">
        <v>43998</v>
      </c>
      <c r="C1107" s="315">
        <v>34019.120000000003</v>
      </c>
      <c r="D1107" s="317">
        <f t="shared" si="17"/>
        <v>5.7535201544678394E-3</v>
      </c>
    </row>
    <row r="1108" spans="2:4" x14ac:dyDescent="0.35">
      <c r="B1108" s="314">
        <v>43997</v>
      </c>
      <c r="C1108" s="315">
        <v>33824.51</v>
      </c>
      <c r="D1108" s="317">
        <f t="shared" si="17"/>
        <v>-2.2669766815596515E-2</v>
      </c>
    </row>
    <row r="1109" spans="2:4" x14ac:dyDescent="0.35">
      <c r="B1109" s="314">
        <v>43994</v>
      </c>
      <c r="C1109" s="315">
        <v>34609.089999999997</v>
      </c>
      <c r="D1109" s="317">
        <f t="shared" si="17"/>
        <v>-1.4788243646626342E-2</v>
      </c>
    </row>
    <row r="1110" spans="2:4" x14ac:dyDescent="0.35">
      <c r="B1110" s="314">
        <v>43993</v>
      </c>
      <c r="C1110" s="315">
        <v>35128.58</v>
      </c>
      <c r="D1110" s="317">
        <f t="shared" si="17"/>
        <v>1.8109184407963941E-3</v>
      </c>
    </row>
    <row r="1111" spans="2:4" x14ac:dyDescent="0.35">
      <c r="B1111" s="314">
        <v>43992</v>
      </c>
      <c r="C1111" s="315">
        <v>35065.08</v>
      </c>
      <c r="D1111" s="317">
        <f t="shared" si="17"/>
        <v>7.5130158949074932E-3</v>
      </c>
    </row>
    <row r="1112" spans="2:4" x14ac:dyDescent="0.35">
      <c r="B1112" s="314">
        <v>43991</v>
      </c>
      <c r="C1112" s="315">
        <v>34803.599999999999</v>
      </c>
      <c r="D1112" s="317">
        <f t="shared" si="17"/>
        <v>1.554839383623996E-3</v>
      </c>
    </row>
    <row r="1113" spans="2:4" x14ac:dyDescent="0.35">
      <c r="B1113" s="314">
        <v>43990</v>
      </c>
      <c r="C1113" s="315">
        <v>34749.57</v>
      </c>
      <c r="D1113" s="317">
        <f t="shared" si="17"/>
        <v>1.1619945258311226E-2</v>
      </c>
    </row>
    <row r="1114" spans="2:4" x14ac:dyDescent="0.35">
      <c r="B1114" s="314">
        <v>43987</v>
      </c>
      <c r="C1114" s="315">
        <v>34350.42</v>
      </c>
      <c r="D1114" s="317">
        <f t="shared" si="17"/>
        <v>6.7712230494154646E-3</v>
      </c>
    </row>
    <row r="1115" spans="2:4" x14ac:dyDescent="0.35">
      <c r="B1115" s="314">
        <v>43986</v>
      </c>
      <c r="C1115" s="315">
        <v>34119.39</v>
      </c>
      <c r="D1115" s="317">
        <f t="shared" si="17"/>
        <v>-8.1982080972238247E-3</v>
      </c>
    </row>
    <row r="1116" spans="2:4" x14ac:dyDescent="0.35">
      <c r="B1116" s="314">
        <v>43985</v>
      </c>
      <c r="C1116" s="315">
        <v>34401.42</v>
      </c>
      <c r="D1116" s="317">
        <f t="shared" si="17"/>
        <v>-1.9268746703182682E-4</v>
      </c>
    </row>
    <row r="1117" spans="2:4" x14ac:dyDescent="0.35">
      <c r="B1117" s="314">
        <v>43984</v>
      </c>
      <c r="C1117" s="315">
        <v>34408.050000000003</v>
      </c>
      <c r="D1117" s="317">
        <f t="shared" si="17"/>
        <v>1.1347961332045298E-2</v>
      </c>
    </row>
    <row r="1118" spans="2:4" x14ac:dyDescent="0.35">
      <c r="B1118" s="314">
        <v>43983</v>
      </c>
      <c r="C1118" s="315">
        <v>34021.97</v>
      </c>
      <c r="D1118" s="317">
        <f t="shared" si="17"/>
        <v>2.6742325580297877E-3</v>
      </c>
    </row>
    <row r="1119" spans="2:4" x14ac:dyDescent="0.35">
      <c r="B1119" s="314">
        <v>43980</v>
      </c>
      <c r="C1119" s="315">
        <v>33931.230000000003</v>
      </c>
      <c r="D1119" s="317">
        <f t="shared" si="17"/>
        <v>6.9982804784747277E-3</v>
      </c>
    </row>
    <row r="1120" spans="2:4" x14ac:dyDescent="0.35">
      <c r="B1120" s="314">
        <v>43979</v>
      </c>
      <c r="C1120" s="315">
        <v>33695.42</v>
      </c>
      <c r="D1120" s="317">
        <f t="shared" si="17"/>
        <v>-4.1726993336508311E-3</v>
      </c>
    </row>
    <row r="1121" spans="2:4" x14ac:dyDescent="0.35">
      <c r="B1121" s="314">
        <v>43972</v>
      </c>
      <c r="C1121" s="315">
        <v>33836.61</v>
      </c>
      <c r="D1121" s="317">
        <f t="shared" si="17"/>
        <v>-2.8350142531666789E-3</v>
      </c>
    </row>
    <row r="1122" spans="2:4" x14ac:dyDescent="0.35">
      <c r="B1122" s="314">
        <v>43971</v>
      </c>
      <c r="C1122" s="315">
        <v>33932.81</v>
      </c>
      <c r="D1122" s="317">
        <f t="shared" si="17"/>
        <v>-6.6085943343615616E-3</v>
      </c>
    </row>
    <row r="1123" spans="2:4" x14ac:dyDescent="0.35">
      <c r="B1123" s="314">
        <v>43970</v>
      </c>
      <c r="C1123" s="315">
        <v>34158.550000000003</v>
      </c>
      <c r="D1123" s="317">
        <f t="shared" si="17"/>
        <v>1.0459408779241786E-2</v>
      </c>
    </row>
    <row r="1124" spans="2:4" x14ac:dyDescent="0.35">
      <c r="B1124" s="314">
        <v>43969</v>
      </c>
      <c r="C1124" s="315">
        <v>33804.97</v>
      </c>
      <c r="D1124" s="317">
        <f t="shared" si="17"/>
        <v>-5.9797114412851737E-3</v>
      </c>
    </row>
    <row r="1125" spans="2:4" x14ac:dyDescent="0.35">
      <c r="B1125" s="314">
        <v>43966</v>
      </c>
      <c r="C1125" s="315">
        <v>34008.33</v>
      </c>
      <c r="D1125" s="317">
        <f t="shared" si="17"/>
        <v>6.0177666551299858E-3</v>
      </c>
    </row>
    <row r="1126" spans="2:4" x14ac:dyDescent="0.35">
      <c r="B1126" s="314">
        <v>43965</v>
      </c>
      <c r="C1126" s="315">
        <v>33804.9</v>
      </c>
      <c r="D1126" s="317">
        <f t="shared" si="17"/>
        <v>3.3199735019457943E-3</v>
      </c>
    </row>
    <row r="1127" spans="2:4" x14ac:dyDescent="0.35">
      <c r="B1127" s="314">
        <v>43964</v>
      </c>
      <c r="C1127" s="315">
        <v>33693.040000000001</v>
      </c>
      <c r="D1127" s="317">
        <f t="shared" si="17"/>
        <v>2.6789258822570439E-3</v>
      </c>
    </row>
    <row r="1128" spans="2:4" x14ac:dyDescent="0.35">
      <c r="B1128" s="314">
        <v>43963</v>
      </c>
      <c r="C1128" s="315">
        <v>33603.019999999997</v>
      </c>
      <c r="D1128" s="317">
        <f t="shared" si="17"/>
        <v>9.5911553341729849E-3</v>
      </c>
    </row>
    <row r="1129" spans="2:4" x14ac:dyDescent="0.35">
      <c r="B1129" s="314">
        <v>43962</v>
      </c>
      <c r="C1129" s="315">
        <v>33283.79</v>
      </c>
      <c r="D1129" s="317">
        <f t="shared" si="17"/>
        <v>4.8395304873882772E-4</v>
      </c>
    </row>
    <row r="1130" spans="2:4" x14ac:dyDescent="0.35">
      <c r="B1130" s="314">
        <v>43959</v>
      </c>
      <c r="C1130" s="315">
        <v>33267.69</v>
      </c>
      <c r="D1130" s="317">
        <f t="shared" si="17"/>
        <v>-1.0950583951074844E-3</v>
      </c>
    </row>
    <row r="1131" spans="2:4" x14ac:dyDescent="0.35">
      <c r="B1131" s="314">
        <v>43958</v>
      </c>
      <c r="C1131" s="315">
        <v>33304.160000000003</v>
      </c>
      <c r="D1131" s="317">
        <f t="shared" si="17"/>
        <v>-1.2571683381670695E-2</v>
      </c>
    </row>
    <row r="1132" spans="2:4" x14ac:dyDescent="0.35">
      <c r="B1132" s="314">
        <v>43957</v>
      </c>
      <c r="C1132" s="315">
        <v>33728.18</v>
      </c>
      <c r="D1132" s="317">
        <f t="shared" si="17"/>
        <v>-7.7831302262982849E-3</v>
      </c>
    </row>
    <row r="1133" spans="2:4" x14ac:dyDescent="0.35">
      <c r="B1133" s="314">
        <v>43956</v>
      </c>
      <c r="C1133" s="315">
        <v>33992.75</v>
      </c>
      <c r="D1133" s="317">
        <f t="shared" si="17"/>
        <v>2.2440312483784641E-3</v>
      </c>
    </row>
    <row r="1134" spans="2:4" x14ac:dyDescent="0.35">
      <c r="B1134" s="314">
        <v>43955</v>
      </c>
      <c r="C1134" s="315">
        <v>33916.639999999999</v>
      </c>
      <c r="D1134" s="317">
        <f t="shared" si="17"/>
        <v>-5.7165237438012717E-3</v>
      </c>
    </row>
    <row r="1135" spans="2:4" x14ac:dyDescent="0.35">
      <c r="B1135" s="314">
        <v>43951</v>
      </c>
      <c r="C1135" s="315">
        <v>34111.64</v>
      </c>
      <c r="D1135" s="317">
        <f t="shared" si="17"/>
        <v>2.8734418936247508E-2</v>
      </c>
    </row>
    <row r="1136" spans="2:4" x14ac:dyDescent="0.35">
      <c r="B1136" s="314">
        <v>43950</v>
      </c>
      <c r="C1136" s="315">
        <v>33158.839999999997</v>
      </c>
      <c r="D1136" s="317">
        <f t="shared" si="17"/>
        <v>1.8598677434208843E-2</v>
      </c>
    </row>
    <row r="1137" spans="2:4" x14ac:dyDescent="0.35">
      <c r="B1137" s="314">
        <v>43949</v>
      </c>
      <c r="C1137" s="315">
        <v>32553.39</v>
      </c>
      <c r="D1137" s="317">
        <f t="shared" si="17"/>
        <v>7.3904743278341289E-3</v>
      </c>
    </row>
    <row r="1138" spans="2:4" x14ac:dyDescent="0.35">
      <c r="B1138" s="314">
        <v>43948</v>
      </c>
      <c r="C1138" s="315">
        <v>32314.57</v>
      </c>
      <c r="D1138" s="317">
        <f t="shared" si="17"/>
        <v>-1.4991291328089185E-2</v>
      </c>
    </row>
    <row r="1139" spans="2:4" x14ac:dyDescent="0.35">
      <c r="B1139" s="314">
        <v>43945</v>
      </c>
      <c r="C1139" s="315">
        <v>32806.379999999997</v>
      </c>
      <c r="D1139" s="317">
        <f t="shared" si="17"/>
        <v>-1.353086055968844E-3</v>
      </c>
    </row>
    <row r="1140" spans="2:4" x14ac:dyDescent="0.35">
      <c r="B1140" s="314">
        <v>43944</v>
      </c>
      <c r="C1140" s="315">
        <v>32850.83</v>
      </c>
      <c r="D1140" s="317">
        <f t="shared" si="17"/>
        <v>1.1908491284099432E-2</v>
      </c>
    </row>
    <row r="1141" spans="2:4" x14ac:dyDescent="0.35">
      <c r="B1141" s="314">
        <v>43943</v>
      </c>
      <c r="C1141" s="315">
        <v>32464.23</v>
      </c>
      <c r="D1141" s="317">
        <f t="shared" si="17"/>
        <v>1.2768780516689837E-3</v>
      </c>
    </row>
    <row r="1142" spans="2:4" x14ac:dyDescent="0.35">
      <c r="B1142" s="314">
        <v>43942</v>
      </c>
      <c r="C1142" s="315">
        <v>32422.83</v>
      </c>
      <c r="D1142" s="317">
        <f t="shared" si="17"/>
        <v>-3.2144216432111961E-2</v>
      </c>
    </row>
    <row r="1143" spans="2:4" x14ac:dyDescent="0.35">
      <c r="B1143" s="314">
        <v>43941</v>
      </c>
      <c r="C1143" s="315">
        <v>33499.65</v>
      </c>
      <c r="D1143" s="317">
        <f t="shared" si="17"/>
        <v>2.0340626763722947E-2</v>
      </c>
    </row>
    <row r="1144" spans="2:4" x14ac:dyDescent="0.35">
      <c r="B1144" s="314">
        <v>43938</v>
      </c>
      <c r="C1144" s="315">
        <v>32831.83</v>
      </c>
      <c r="D1144" s="317">
        <f t="shared" si="17"/>
        <v>4.7953906642502098E-2</v>
      </c>
    </row>
    <row r="1145" spans="2:4" x14ac:dyDescent="0.35">
      <c r="B1145" s="314">
        <v>43937</v>
      </c>
      <c r="C1145" s="315">
        <v>31329.46</v>
      </c>
      <c r="D1145" s="317">
        <f t="shared" si="17"/>
        <v>2.7933381110607503E-3</v>
      </c>
    </row>
    <row r="1146" spans="2:4" x14ac:dyDescent="0.35">
      <c r="B1146" s="314">
        <v>43936</v>
      </c>
      <c r="C1146" s="315">
        <v>31242.19</v>
      </c>
      <c r="D1146" s="317">
        <f t="shared" si="17"/>
        <v>6.2294340599189368E-4</v>
      </c>
    </row>
    <row r="1147" spans="2:4" x14ac:dyDescent="0.35">
      <c r="B1147" s="314">
        <v>43935</v>
      </c>
      <c r="C1147" s="315">
        <v>31222.74</v>
      </c>
      <c r="D1147" s="317">
        <f t="shared" si="17"/>
        <v>6.1144607722298794E-3</v>
      </c>
    </row>
    <row r="1148" spans="2:4" x14ac:dyDescent="0.35">
      <c r="B1148" s="314">
        <v>43934</v>
      </c>
      <c r="C1148" s="315">
        <v>31032.99</v>
      </c>
      <c r="D1148" s="317">
        <f t="shared" si="17"/>
        <v>-3.1224167426295191E-2</v>
      </c>
    </row>
    <row r="1149" spans="2:4" x14ac:dyDescent="0.35">
      <c r="B1149" s="314">
        <v>43931</v>
      </c>
      <c r="C1149" s="315">
        <v>32033.200000000001</v>
      </c>
      <c r="D1149" s="317">
        <f t="shared" si="17"/>
        <v>6.1531599727364661E-3</v>
      </c>
    </row>
    <row r="1150" spans="2:4" x14ac:dyDescent="0.35">
      <c r="B1150" s="314">
        <v>43930</v>
      </c>
      <c r="C1150" s="315">
        <v>31837.3</v>
      </c>
      <c r="D1150" s="317">
        <f t="shared" si="17"/>
        <v>2.796236641248484E-2</v>
      </c>
    </row>
    <row r="1151" spans="2:4" x14ac:dyDescent="0.35">
      <c r="B1151" s="314">
        <v>43929</v>
      </c>
      <c r="C1151" s="315">
        <v>30971.27</v>
      </c>
      <c r="D1151" s="317">
        <f t="shared" si="17"/>
        <v>-8.3338803229425773E-3</v>
      </c>
    </row>
    <row r="1152" spans="2:4" x14ac:dyDescent="0.35">
      <c r="B1152" s="314">
        <v>43928</v>
      </c>
      <c r="C1152" s="315">
        <v>31231.55</v>
      </c>
      <c r="D1152" s="317">
        <f t="shared" si="17"/>
        <v>2.1334798383866094E-2</v>
      </c>
    </row>
    <row r="1153" spans="2:4" x14ac:dyDescent="0.35">
      <c r="B1153" s="314">
        <v>43927</v>
      </c>
      <c r="C1153" s="315">
        <v>30579.15</v>
      </c>
      <c r="D1153" s="317">
        <f t="shared" si="17"/>
        <v>-3.297220049845373E-2</v>
      </c>
    </row>
    <row r="1154" spans="2:4" x14ac:dyDescent="0.35">
      <c r="B1154" s="314">
        <v>43924</v>
      </c>
      <c r="C1154" s="315">
        <v>31621.79</v>
      </c>
      <c r="D1154" s="317">
        <f t="shared" si="17"/>
        <v>2.7259827448310237E-2</v>
      </c>
    </row>
    <row r="1155" spans="2:4" x14ac:dyDescent="0.35">
      <c r="B1155" s="314">
        <v>43923</v>
      </c>
      <c r="C1155" s="315">
        <v>30782.66</v>
      </c>
      <c r="D1155" s="317">
        <f t="shared" si="17"/>
        <v>4.3283014020742527E-2</v>
      </c>
    </row>
    <row r="1156" spans="2:4" x14ac:dyDescent="0.35">
      <c r="B1156" s="314">
        <v>43922</v>
      </c>
      <c r="C1156" s="315">
        <v>29505.57</v>
      </c>
      <c r="D1156" s="317">
        <f t="shared" ref="D1156:D1219" si="18">(C1156/C1157)-1</f>
        <v>9.3713556171859391E-3</v>
      </c>
    </row>
    <row r="1157" spans="2:4" x14ac:dyDescent="0.35">
      <c r="B1157" s="314">
        <v>43921</v>
      </c>
      <c r="C1157" s="315">
        <v>29231.63</v>
      </c>
      <c r="D1157" s="317">
        <f t="shared" si="18"/>
        <v>4.3115411804210746E-2</v>
      </c>
    </row>
    <row r="1158" spans="2:4" x14ac:dyDescent="0.35">
      <c r="B1158" s="314">
        <v>43920</v>
      </c>
      <c r="C1158" s="315">
        <v>28023.39</v>
      </c>
      <c r="D1158" s="317">
        <f t="shared" si="18"/>
        <v>-3.0658597765814699E-3</v>
      </c>
    </row>
    <row r="1159" spans="2:4" x14ac:dyDescent="0.35">
      <c r="B1159" s="314">
        <v>43917</v>
      </c>
      <c r="C1159" s="315">
        <v>28109.57</v>
      </c>
      <c r="D1159" s="317">
        <f t="shared" si="18"/>
        <v>3.0893161013965553E-2</v>
      </c>
    </row>
    <row r="1160" spans="2:4" x14ac:dyDescent="0.35">
      <c r="B1160" s="314">
        <v>43916</v>
      </c>
      <c r="C1160" s="315">
        <v>27267.200000000001</v>
      </c>
      <c r="D1160" s="317">
        <f t="shared" si="18"/>
        <v>1.4102714772594727E-3</v>
      </c>
    </row>
    <row r="1161" spans="2:4" x14ac:dyDescent="0.35">
      <c r="B1161" s="314">
        <v>43915</v>
      </c>
      <c r="C1161" s="315">
        <v>27228.799999999999</v>
      </c>
      <c r="D1161" s="317">
        <f t="shared" si="18"/>
        <v>-4.6771851959210076E-2</v>
      </c>
    </row>
    <row r="1162" spans="2:4" x14ac:dyDescent="0.35">
      <c r="B1162" s="314">
        <v>43914</v>
      </c>
      <c r="C1162" s="315">
        <v>28564.83</v>
      </c>
      <c r="D1162" s="317">
        <f t="shared" si="18"/>
        <v>-6.8560729451883851E-2</v>
      </c>
    </row>
    <row r="1163" spans="2:4" x14ac:dyDescent="0.35">
      <c r="B1163" s="314">
        <v>43910</v>
      </c>
      <c r="C1163" s="315">
        <v>30667.41</v>
      </c>
      <c r="D1163" s="317">
        <f t="shared" si="18"/>
        <v>1.7842118591442357E-2</v>
      </c>
    </row>
    <row r="1164" spans="2:4" x14ac:dyDescent="0.35">
      <c r="B1164" s="314">
        <v>43909</v>
      </c>
      <c r="C1164" s="315">
        <v>30129.83</v>
      </c>
      <c r="D1164" s="317">
        <f t="shared" si="18"/>
        <v>-9.4101633841342514E-3</v>
      </c>
    </row>
    <row r="1165" spans="2:4" x14ac:dyDescent="0.35">
      <c r="B1165" s="314">
        <v>43908</v>
      </c>
      <c r="C1165" s="315">
        <v>30416.05</v>
      </c>
      <c r="D1165" s="317">
        <f t="shared" si="18"/>
        <v>-6.7476614138731073E-2</v>
      </c>
    </row>
    <row r="1166" spans="2:4" x14ac:dyDescent="0.35">
      <c r="B1166" s="314">
        <v>43907</v>
      </c>
      <c r="C1166" s="315">
        <v>32616.93</v>
      </c>
      <c r="D1166" s="317">
        <f t="shared" si="18"/>
        <v>-3.1704997875903529E-2</v>
      </c>
    </row>
    <row r="1167" spans="2:4" x14ac:dyDescent="0.35">
      <c r="B1167" s="314">
        <v>43906</v>
      </c>
      <c r="C1167" s="315">
        <v>33684.910000000003</v>
      </c>
      <c r="D1167" s="317">
        <f t="shared" si="18"/>
        <v>-6.5887743172102109E-2</v>
      </c>
    </row>
    <row r="1168" spans="2:4" x14ac:dyDescent="0.35">
      <c r="B1168" s="314">
        <v>43903</v>
      </c>
      <c r="C1168" s="315">
        <v>36060.879999999997</v>
      </c>
      <c r="D1168" s="317">
        <f t="shared" si="18"/>
        <v>2.8976527038500066E-3</v>
      </c>
    </row>
    <row r="1169" spans="2:4" x14ac:dyDescent="0.35">
      <c r="B1169" s="314">
        <v>43902</v>
      </c>
      <c r="C1169" s="315">
        <v>35956.69</v>
      </c>
      <c r="D1169" s="317">
        <f t="shared" si="18"/>
        <v>-4.5564425686660859E-2</v>
      </c>
    </row>
    <row r="1170" spans="2:4" x14ac:dyDescent="0.35">
      <c r="B1170" s="314">
        <v>43901</v>
      </c>
      <c r="C1170" s="315">
        <v>37673.25</v>
      </c>
      <c r="D1170" s="317">
        <f t="shared" si="18"/>
        <v>-5.9688426414117313E-4</v>
      </c>
    </row>
    <row r="1171" spans="2:4" x14ac:dyDescent="0.35">
      <c r="B1171" s="314">
        <v>43900</v>
      </c>
      <c r="C1171" s="315">
        <v>37695.75</v>
      </c>
      <c r="D1171" s="317">
        <f t="shared" si="18"/>
        <v>1.7183433421616101E-2</v>
      </c>
    </row>
    <row r="1172" spans="2:4" x14ac:dyDescent="0.35">
      <c r="B1172" s="314">
        <v>43899</v>
      </c>
      <c r="C1172" s="315">
        <v>37058.949999999997</v>
      </c>
      <c r="D1172" s="317">
        <f t="shared" si="18"/>
        <v>-3.0369702302505575E-2</v>
      </c>
    </row>
    <row r="1173" spans="2:4" x14ac:dyDescent="0.35">
      <c r="B1173" s="314">
        <v>43896</v>
      </c>
      <c r="C1173" s="315">
        <v>38219.67</v>
      </c>
      <c r="D1173" s="317">
        <f t="shared" si="18"/>
        <v>-2.9516955795410693E-2</v>
      </c>
    </row>
    <row r="1174" spans="2:4" x14ac:dyDescent="0.35">
      <c r="B1174" s="314">
        <v>43895</v>
      </c>
      <c r="C1174" s="315">
        <v>39382.11</v>
      </c>
      <c r="D1174" s="317">
        <f t="shared" si="18"/>
        <v>1.2227037196965052E-2</v>
      </c>
    </row>
    <row r="1175" spans="2:4" x14ac:dyDescent="0.35">
      <c r="B1175" s="314">
        <v>43894</v>
      </c>
      <c r="C1175" s="315">
        <v>38906.400000000001</v>
      </c>
      <c r="D1175" s="317">
        <f t="shared" si="18"/>
        <v>-7.4816937281120266E-3</v>
      </c>
    </row>
    <row r="1176" spans="2:4" x14ac:dyDescent="0.35">
      <c r="B1176" s="314">
        <v>43893</v>
      </c>
      <c r="C1176" s="315">
        <v>39199.68</v>
      </c>
      <c r="D1176" s="317">
        <f t="shared" si="18"/>
        <v>-2.4587556589298343E-3</v>
      </c>
    </row>
    <row r="1177" spans="2:4" x14ac:dyDescent="0.35">
      <c r="B1177" s="314">
        <v>43892</v>
      </c>
      <c r="C1177" s="315">
        <v>39296.300000000003</v>
      </c>
      <c r="D1177" s="317">
        <f t="shared" si="18"/>
        <v>3.4559107320471405E-2</v>
      </c>
    </row>
    <row r="1178" spans="2:4" x14ac:dyDescent="0.35">
      <c r="B1178" s="314">
        <v>43889</v>
      </c>
      <c r="C1178" s="315">
        <v>37983.620000000003</v>
      </c>
      <c r="D1178" s="317">
        <f t="shared" si="18"/>
        <v>-2.7226909113058362E-3</v>
      </c>
    </row>
    <row r="1179" spans="2:4" x14ac:dyDescent="0.35">
      <c r="B1179" s="314">
        <v>43888</v>
      </c>
      <c r="C1179" s="315">
        <v>38087.32</v>
      </c>
      <c r="D1179" s="317">
        <f t="shared" si="18"/>
        <v>-6.5472335388631064E-3</v>
      </c>
    </row>
    <row r="1180" spans="2:4" x14ac:dyDescent="0.35">
      <c r="B1180" s="314">
        <v>43887</v>
      </c>
      <c r="C1180" s="315">
        <v>38338.33</v>
      </c>
      <c r="D1180" s="317">
        <f t="shared" si="18"/>
        <v>-1.3384990909312999E-2</v>
      </c>
    </row>
    <row r="1181" spans="2:4" x14ac:dyDescent="0.35">
      <c r="B1181" s="314">
        <v>43886</v>
      </c>
      <c r="C1181" s="315">
        <v>38858.449999999997</v>
      </c>
      <c r="D1181" s="317">
        <f t="shared" si="18"/>
        <v>-7.2880126651192478E-3</v>
      </c>
    </row>
    <row r="1182" spans="2:4" x14ac:dyDescent="0.35">
      <c r="B1182" s="314">
        <v>43885</v>
      </c>
      <c r="C1182" s="315">
        <v>39143.730000000003</v>
      </c>
      <c r="D1182" s="317">
        <f t="shared" si="18"/>
        <v>-2.7466122324854902E-2</v>
      </c>
    </row>
    <row r="1183" spans="2:4" x14ac:dyDescent="0.35">
      <c r="B1183" s="314">
        <v>43882</v>
      </c>
      <c r="C1183" s="315">
        <v>40249.22</v>
      </c>
      <c r="D1183" s="317">
        <f t="shared" si="18"/>
        <v>-5.7416137929160449E-3</v>
      </c>
    </row>
    <row r="1184" spans="2:4" x14ac:dyDescent="0.35">
      <c r="B1184" s="314">
        <v>43881</v>
      </c>
      <c r="C1184" s="315">
        <v>40481.65</v>
      </c>
      <c r="D1184" s="317">
        <f t="shared" si="18"/>
        <v>-2.288874889955439E-3</v>
      </c>
    </row>
    <row r="1185" spans="2:4" x14ac:dyDescent="0.35">
      <c r="B1185" s="314">
        <v>43880</v>
      </c>
      <c r="C1185" s="315">
        <v>40574.519999999997</v>
      </c>
      <c r="D1185" s="317">
        <f t="shared" si="18"/>
        <v>9.9356943996753433E-3</v>
      </c>
    </row>
    <row r="1186" spans="2:4" x14ac:dyDescent="0.35">
      <c r="B1186" s="314">
        <v>43879</v>
      </c>
      <c r="C1186" s="315">
        <v>40175.35</v>
      </c>
      <c r="D1186" s="317">
        <f t="shared" si="18"/>
        <v>-2.5220392914753198E-3</v>
      </c>
    </row>
    <row r="1187" spans="2:4" x14ac:dyDescent="0.35">
      <c r="B1187" s="314">
        <v>43878</v>
      </c>
      <c r="C1187" s="315">
        <v>40276.93</v>
      </c>
      <c r="D1187" s="317">
        <f t="shared" si="18"/>
        <v>8.3666184101383045E-4</v>
      </c>
    </row>
    <row r="1188" spans="2:4" x14ac:dyDescent="0.35">
      <c r="B1188" s="314">
        <v>43875</v>
      </c>
      <c r="C1188" s="315">
        <v>40243.26</v>
      </c>
      <c r="D1188" s="317">
        <f t="shared" si="18"/>
        <v>-5.2447829018792413E-3</v>
      </c>
    </row>
    <row r="1189" spans="2:4" x14ac:dyDescent="0.35">
      <c r="B1189" s="314">
        <v>43874</v>
      </c>
      <c r="C1189" s="315">
        <v>40455.440000000002</v>
      </c>
      <c r="D1189" s="317">
        <f t="shared" si="18"/>
        <v>-1.8674534857526792E-3</v>
      </c>
    </row>
    <row r="1190" spans="2:4" x14ac:dyDescent="0.35">
      <c r="B1190" s="314">
        <v>43873</v>
      </c>
      <c r="C1190" s="315">
        <v>40531.129999999997</v>
      </c>
      <c r="D1190" s="317">
        <f t="shared" si="18"/>
        <v>2.0563542850639216E-2</v>
      </c>
    </row>
    <row r="1191" spans="2:4" x14ac:dyDescent="0.35">
      <c r="B1191" s="314">
        <v>43872</v>
      </c>
      <c r="C1191" s="315">
        <v>39714.46</v>
      </c>
      <c r="D1191" s="317">
        <f t="shared" si="18"/>
        <v>1.0630918117806365E-2</v>
      </c>
    </row>
    <row r="1192" spans="2:4" x14ac:dyDescent="0.35">
      <c r="B1192" s="314">
        <v>43871</v>
      </c>
      <c r="C1192" s="315">
        <v>39296.699999999997</v>
      </c>
      <c r="D1192" s="317">
        <f t="shared" si="18"/>
        <v>-2.1097494172799047E-2</v>
      </c>
    </row>
    <row r="1193" spans="2:4" x14ac:dyDescent="0.35">
      <c r="B1193" s="314">
        <v>43868</v>
      </c>
      <c r="C1193" s="315">
        <v>40143.629999999997</v>
      </c>
      <c r="D1193" s="317">
        <f t="shared" si="18"/>
        <v>-1.4261225638382613E-2</v>
      </c>
    </row>
    <row r="1194" spans="2:4" x14ac:dyDescent="0.35">
      <c r="B1194" s="314">
        <v>43867</v>
      </c>
      <c r="C1194" s="315">
        <v>40724.410000000003</v>
      </c>
      <c r="D1194" s="317">
        <f t="shared" si="18"/>
        <v>-3.9095739802000873E-3</v>
      </c>
    </row>
    <row r="1195" spans="2:4" x14ac:dyDescent="0.35">
      <c r="B1195" s="314">
        <v>43865</v>
      </c>
      <c r="C1195" s="315">
        <v>40884.25</v>
      </c>
      <c r="D1195" s="317">
        <f t="shared" si="18"/>
        <v>1.1751479483228966E-2</v>
      </c>
    </row>
    <row r="1196" spans="2:4" x14ac:dyDescent="0.35">
      <c r="B1196" s="314">
        <v>43864</v>
      </c>
      <c r="C1196" s="315">
        <v>40409.379999999997</v>
      </c>
      <c r="D1196" s="317">
        <f t="shared" si="18"/>
        <v>-2.9342599518531243E-2</v>
      </c>
    </row>
    <row r="1197" spans="2:4" x14ac:dyDescent="0.35">
      <c r="B1197" s="314">
        <v>43861</v>
      </c>
      <c r="C1197" s="315">
        <v>41630.94</v>
      </c>
      <c r="D1197" s="317">
        <f t="shared" si="18"/>
        <v>-6.5047056917189039E-3</v>
      </c>
    </row>
    <row r="1198" spans="2:4" x14ac:dyDescent="0.35">
      <c r="B1198" s="314">
        <v>43860</v>
      </c>
      <c r="C1198" s="315">
        <v>41903.51</v>
      </c>
      <c r="D1198" s="317">
        <f t="shared" si="18"/>
        <v>1.1480069787372926E-4</v>
      </c>
    </row>
    <row r="1199" spans="2:4" x14ac:dyDescent="0.35">
      <c r="B1199" s="314">
        <v>43859</v>
      </c>
      <c r="C1199" s="315">
        <v>41898.699999999997</v>
      </c>
      <c r="D1199" s="317">
        <f t="shared" si="18"/>
        <v>-9.468030002465877E-3</v>
      </c>
    </row>
    <row r="1200" spans="2:4" x14ac:dyDescent="0.35">
      <c r="B1200" s="314">
        <v>43858</v>
      </c>
      <c r="C1200" s="315">
        <v>42299.19</v>
      </c>
      <c r="D1200" s="317">
        <f t="shared" si="18"/>
        <v>-5.6427913716351474E-3</v>
      </c>
    </row>
    <row r="1201" spans="2:4" x14ac:dyDescent="0.35">
      <c r="B1201" s="314">
        <v>43857</v>
      </c>
      <c r="C1201" s="315">
        <v>42539.23</v>
      </c>
      <c r="D1201" s="317">
        <f t="shared" si="18"/>
        <v>-2.2001720262434521E-3</v>
      </c>
    </row>
    <row r="1202" spans="2:4" x14ac:dyDescent="0.35">
      <c r="B1202" s="314">
        <v>43854</v>
      </c>
      <c r="C1202" s="315">
        <v>42633.03</v>
      </c>
      <c r="D1202" s="317">
        <f t="shared" si="18"/>
        <v>2.9661031901841994E-3</v>
      </c>
    </row>
    <row r="1203" spans="2:4" x14ac:dyDescent="0.35">
      <c r="B1203" s="314">
        <v>43853</v>
      </c>
      <c r="C1203" s="315">
        <v>42506.95</v>
      </c>
      <c r="D1203" s="317">
        <f t="shared" si="18"/>
        <v>-1.2762777050591145E-3</v>
      </c>
    </row>
    <row r="1204" spans="2:4" x14ac:dyDescent="0.35">
      <c r="B1204" s="314">
        <v>43852</v>
      </c>
      <c r="C1204" s="315">
        <v>42561.27</v>
      </c>
      <c r="D1204" s="317">
        <f t="shared" si="18"/>
        <v>-1.5298002556158874E-3</v>
      </c>
    </row>
    <row r="1205" spans="2:4" x14ac:dyDescent="0.35">
      <c r="B1205" s="314">
        <v>43851</v>
      </c>
      <c r="C1205" s="315">
        <v>42626.48</v>
      </c>
      <c r="D1205" s="317">
        <f t="shared" si="18"/>
        <v>-2.8340752458088092E-3</v>
      </c>
    </row>
    <row r="1206" spans="2:4" x14ac:dyDescent="0.35">
      <c r="B1206" s="314">
        <v>43850</v>
      </c>
      <c r="C1206" s="315">
        <v>42747.63</v>
      </c>
      <c r="D1206" s="317">
        <f t="shared" si="18"/>
        <v>-9.7327242060454289E-3</v>
      </c>
    </row>
    <row r="1207" spans="2:4" x14ac:dyDescent="0.35">
      <c r="B1207" s="314">
        <v>43847</v>
      </c>
      <c r="C1207" s="315">
        <v>43167.77</v>
      </c>
      <c r="D1207" s="317">
        <f t="shared" si="18"/>
        <v>2.3840650549979969E-3</v>
      </c>
    </row>
    <row r="1208" spans="2:4" x14ac:dyDescent="0.35">
      <c r="B1208" s="314">
        <v>43846</v>
      </c>
      <c r="C1208" s="315">
        <v>43065.1</v>
      </c>
      <c r="D1208" s="317">
        <f t="shared" si="18"/>
        <v>1.6763182311179126E-3</v>
      </c>
    </row>
    <row r="1209" spans="2:4" x14ac:dyDescent="0.35">
      <c r="B1209" s="314">
        <v>43845</v>
      </c>
      <c r="C1209" s="315">
        <v>42993.03</v>
      </c>
      <c r="D1209" s="317">
        <f t="shared" si="18"/>
        <v>-4.9531280087690144E-3</v>
      </c>
    </row>
    <row r="1210" spans="2:4" x14ac:dyDescent="0.35">
      <c r="B1210" s="314">
        <v>43844</v>
      </c>
      <c r="C1210" s="315">
        <v>43207.040000000001</v>
      </c>
      <c r="D1210" s="317">
        <f t="shared" si="18"/>
        <v>-2.6909666586216741E-4</v>
      </c>
    </row>
    <row r="1211" spans="2:4" x14ac:dyDescent="0.35">
      <c r="B1211" s="314">
        <v>43843</v>
      </c>
      <c r="C1211" s="315">
        <v>43218.67</v>
      </c>
      <c r="D1211" s="317">
        <f t="shared" si="18"/>
        <v>2.6893759236035208E-4</v>
      </c>
    </row>
    <row r="1212" spans="2:4" x14ac:dyDescent="0.35">
      <c r="B1212" s="314">
        <v>43840</v>
      </c>
      <c r="C1212" s="315">
        <v>43207.05</v>
      </c>
      <c r="D1212" s="317">
        <f t="shared" si="18"/>
        <v>1.6084915788065146E-2</v>
      </c>
    </row>
    <row r="1213" spans="2:4" x14ac:dyDescent="0.35">
      <c r="B1213" s="314">
        <v>43839</v>
      </c>
      <c r="C1213" s="315">
        <v>42523.07</v>
      </c>
      <c r="D1213" s="317">
        <f t="shared" si="18"/>
        <v>2.8181304699793852E-2</v>
      </c>
    </row>
    <row r="1214" spans="2:4" x14ac:dyDescent="0.35">
      <c r="B1214" s="314">
        <v>43838</v>
      </c>
      <c r="C1214" s="315">
        <v>41357.56</v>
      </c>
      <c r="D1214" s="317">
        <f t="shared" si="18"/>
        <v>-1.3051352278169892E-2</v>
      </c>
    </row>
    <row r="1215" spans="2:4" x14ac:dyDescent="0.35">
      <c r="B1215" s="314">
        <v>43837</v>
      </c>
      <c r="C1215" s="315">
        <v>41904.47</v>
      </c>
      <c r="D1215" s="317">
        <f t="shared" si="18"/>
        <v>1.4728459540142236E-2</v>
      </c>
    </row>
    <row r="1216" spans="2:4" x14ac:dyDescent="0.35">
      <c r="B1216" s="314">
        <v>43836</v>
      </c>
      <c r="C1216" s="315">
        <v>41296.239999999998</v>
      </c>
      <c r="D1216" s="317">
        <f t="shared" si="18"/>
        <v>-2.4267011315280307E-2</v>
      </c>
    </row>
    <row r="1217" spans="2:4" x14ac:dyDescent="0.35">
      <c r="B1217" s="314">
        <v>43833</v>
      </c>
      <c r="C1217" s="315">
        <v>42323.3</v>
      </c>
      <c r="D1217" s="317">
        <f t="shared" si="18"/>
        <v>-3.706619184779214E-3</v>
      </c>
    </row>
    <row r="1218" spans="2:4" x14ac:dyDescent="0.35">
      <c r="B1218" s="314">
        <v>43832</v>
      </c>
      <c r="C1218" s="315">
        <v>42480.76</v>
      </c>
      <c r="D1218" s="317">
        <f t="shared" si="18"/>
        <v>2.6105314009661873E-2</v>
      </c>
    </row>
    <row r="1219" spans="2:4" x14ac:dyDescent="0.35">
      <c r="B1219" s="314">
        <v>43831</v>
      </c>
      <c r="C1219" s="315">
        <v>41400</v>
      </c>
      <c r="D1219" s="317">
        <f t="shared" si="18"/>
        <v>1.6323031647415442E-2</v>
      </c>
    </row>
    <row r="1220" spans="2:4" x14ac:dyDescent="0.35">
      <c r="B1220" s="314">
        <v>43830</v>
      </c>
      <c r="C1220" s="315">
        <v>40735.08</v>
      </c>
      <c r="D1220" s="317">
        <f t="shared" ref="D1220:D1283" si="19">(C1220/C1221)-1</f>
        <v>-3.7307135998623231E-3</v>
      </c>
    </row>
    <row r="1221" spans="2:4" x14ac:dyDescent="0.35">
      <c r="B1221" s="314">
        <v>43829</v>
      </c>
      <c r="C1221" s="315">
        <v>40887.620000000003</v>
      </c>
      <c r="D1221" s="317">
        <f t="shared" si="19"/>
        <v>9.5694998081952143E-4</v>
      </c>
    </row>
    <row r="1222" spans="2:4" x14ac:dyDescent="0.35">
      <c r="B1222" s="314">
        <v>43826</v>
      </c>
      <c r="C1222" s="315">
        <v>40848.53</v>
      </c>
      <c r="D1222" s="317">
        <f t="shared" si="19"/>
        <v>-6.7900560667131238E-3</v>
      </c>
    </row>
    <row r="1223" spans="2:4" x14ac:dyDescent="0.35">
      <c r="B1223" s="314">
        <v>43825</v>
      </c>
      <c r="C1223" s="315">
        <v>41127.79</v>
      </c>
      <c r="D1223" s="317">
        <f t="shared" si="19"/>
        <v>1.9824034326250128E-2</v>
      </c>
    </row>
    <row r="1224" spans="2:4" x14ac:dyDescent="0.35">
      <c r="B1224" s="314">
        <v>43823</v>
      </c>
      <c r="C1224" s="315">
        <v>40328.32</v>
      </c>
      <c r="D1224" s="317">
        <f t="shared" si="19"/>
        <v>7.9990921881438748E-3</v>
      </c>
    </row>
    <row r="1225" spans="2:4" x14ac:dyDescent="0.35">
      <c r="B1225" s="314">
        <v>43822</v>
      </c>
      <c r="C1225" s="315">
        <v>40008.29</v>
      </c>
      <c r="D1225" s="317">
        <f t="shared" si="19"/>
        <v>-2.0196904512748026E-2</v>
      </c>
    </row>
    <row r="1226" spans="2:4" x14ac:dyDescent="0.35">
      <c r="B1226" s="314">
        <v>43819</v>
      </c>
      <c r="C1226" s="315">
        <v>40832.99</v>
      </c>
      <c r="D1226" s="317">
        <f t="shared" si="19"/>
        <v>4.3689185463076097E-3</v>
      </c>
    </row>
    <row r="1227" spans="2:4" x14ac:dyDescent="0.35">
      <c r="B1227" s="314">
        <v>43818</v>
      </c>
      <c r="C1227" s="315">
        <v>40655.370000000003</v>
      </c>
      <c r="D1227" s="317">
        <f t="shared" si="19"/>
        <v>-2.2794601731431996E-2</v>
      </c>
    </row>
    <row r="1228" spans="2:4" x14ac:dyDescent="0.35">
      <c r="B1228" s="314">
        <v>43817</v>
      </c>
      <c r="C1228" s="315">
        <v>41603.71</v>
      </c>
      <c r="D1228" s="317">
        <f t="shared" si="19"/>
        <v>-3.9491331539006636E-3</v>
      </c>
    </row>
    <row r="1229" spans="2:4" x14ac:dyDescent="0.35">
      <c r="B1229" s="314">
        <v>43816</v>
      </c>
      <c r="C1229" s="315">
        <v>41768.660000000003</v>
      </c>
      <c r="D1229" s="317">
        <f t="shared" si="19"/>
        <v>2.9722741427038457E-3</v>
      </c>
    </row>
    <row r="1230" spans="2:4" x14ac:dyDescent="0.35">
      <c r="B1230" s="314">
        <v>43815</v>
      </c>
      <c r="C1230" s="315">
        <v>41644.879999999997</v>
      </c>
      <c r="D1230" s="317">
        <f t="shared" si="19"/>
        <v>1.7799381620022592E-2</v>
      </c>
    </row>
    <row r="1231" spans="2:4" x14ac:dyDescent="0.35">
      <c r="B1231" s="314">
        <v>43812</v>
      </c>
      <c r="C1231" s="315">
        <v>40916.589999999997</v>
      </c>
      <c r="D1231" s="317">
        <f t="shared" si="19"/>
        <v>9.9328210352080948E-3</v>
      </c>
    </row>
    <row r="1232" spans="2:4" x14ac:dyDescent="0.35">
      <c r="B1232" s="314">
        <v>43811</v>
      </c>
      <c r="C1232" s="315">
        <v>40514.17</v>
      </c>
      <c r="D1232" s="317">
        <f t="shared" si="19"/>
        <v>-4.2559574769396313E-4</v>
      </c>
    </row>
    <row r="1233" spans="2:4" x14ac:dyDescent="0.35">
      <c r="B1233" s="314">
        <v>43810</v>
      </c>
      <c r="C1233" s="315">
        <v>40531.42</v>
      </c>
      <c r="D1233" s="317">
        <f t="shared" si="19"/>
        <v>-3.2750844715059291E-3</v>
      </c>
    </row>
    <row r="1234" spans="2:4" x14ac:dyDescent="0.35">
      <c r="B1234" s="314">
        <v>43809</v>
      </c>
      <c r="C1234" s="315">
        <v>40664.6</v>
      </c>
      <c r="D1234" s="317">
        <f t="shared" si="19"/>
        <v>5.4842889216373258E-3</v>
      </c>
    </row>
    <row r="1235" spans="2:4" x14ac:dyDescent="0.35">
      <c r="B1235" s="314">
        <v>43808</v>
      </c>
      <c r="C1235" s="315">
        <v>40442.800000000003</v>
      </c>
      <c r="D1235" s="317">
        <f t="shared" si="19"/>
        <v>-7.1061628071121818E-3</v>
      </c>
    </row>
    <row r="1236" spans="2:4" x14ac:dyDescent="0.35">
      <c r="B1236" s="314">
        <v>43805</v>
      </c>
      <c r="C1236" s="315">
        <v>40732.25</v>
      </c>
      <c r="D1236" s="317">
        <f t="shared" si="19"/>
        <v>2.2428034674257802E-3</v>
      </c>
    </row>
    <row r="1237" spans="2:4" x14ac:dyDescent="0.35">
      <c r="B1237" s="314">
        <v>43804</v>
      </c>
      <c r="C1237" s="315">
        <v>40641.1</v>
      </c>
      <c r="D1237" s="317">
        <f t="shared" si="19"/>
        <v>9.2022650812555451E-3</v>
      </c>
    </row>
    <row r="1238" spans="2:4" x14ac:dyDescent="0.35">
      <c r="B1238" s="314">
        <v>43803</v>
      </c>
      <c r="C1238" s="315">
        <v>40270.519999999997</v>
      </c>
      <c r="D1238" s="317">
        <f t="shared" si="19"/>
        <v>1.2108705153444088E-2</v>
      </c>
    </row>
    <row r="1239" spans="2:4" x14ac:dyDescent="0.35">
      <c r="B1239" s="314">
        <v>43802</v>
      </c>
      <c r="C1239" s="315">
        <v>39788.730000000003</v>
      </c>
      <c r="D1239" s="317">
        <f t="shared" si="19"/>
        <v>-8.3612840324371884E-3</v>
      </c>
    </row>
    <row r="1240" spans="2:4" x14ac:dyDescent="0.35">
      <c r="B1240" s="314">
        <v>43801</v>
      </c>
      <c r="C1240" s="315">
        <v>40124.22</v>
      </c>
      <c r="D1240" s="317">
        <f t="shared" si="19"/>
        <v>2.1293459904066614E-2</v>
      </c>
    </row>
    <row r="1241" spans="2:4" x14ac:dyDescent="0.35">
      <c r="B1241" s="316">
        <v>43798</v>
      </c>
      <c r="C1241" s="315">
        <v>39287.65</v>
      </c>
      <c r="D1241" s="317">
        <f t="shared" si="19"/>
        <v>1.5020305495724751E-2</v>
      </c>
    </row>
    <row r="1242" spans="2:4" x14ac:dyDescent="0.35">
      <c r="B1242" s="314">
        <v>43797</v>
      </c>
      <c r="C1242" s="315">
        <v>38706.269999999997</v>
      </c>
      <c r="D1242" s="317">
        <f t="shared" si="19"/>
        <v>1.5307144925650551E-2</v>
      </c>
    </row>
    <row r="1243" spans="2:4" x14ac:dyDescent="0.35">
      <c r="B1243" s="314">
        <v>43796</v>
      </c>
      <c r="C1243" s="315">
        <v>38122.720000000001</v>
      </c>
      <c r="D1243" s="317">
        <f t="shared" si="19"/>
        <v>8.6696538303296933E-3</v>
      </c>
    </row>
    <row r="1244" spans="2:4" x14ac:dyDescent="0.35">
      <c r="B1244" s="314">
        <v>43795</v>
      </c>
      <c r="C1244" s="315">
        <v>37795.050000000003</v>
      </c>
      <c r="D1244" s="317">
        <f t="shared" si="19"/>
        <v>-1.0918741305151025E-2</v>
      </c>
    </row>
    <row r="1245" spans="2:4" x14ac:dyDescent="0.35">
      <c r="B1245" s="314">
        <v>43794</v>
      </c>
      <c r="C1245" s="315">
        <v>38212.28</v>
      </c>
      <c r="D1245" s="317">
        <f t="shared" si="19"/>
        <v>7.5539626201588383E-3</v>
      </c>
    </row>
    <row r="1246" spans="2:4" x14ac:dyDescent="0.35">
      <c r="B1246" s="314">
        <v>43791</v>
      </c>
      <c r="C1246" s="315">
        <v>37925.79</v>
      </c>
      <c r="D1246" s="317">
        <f t="shared" si="19"/>
        <v>2.2222395920791005E-2</v>
      </c>
    </row>
    <row r="1247" spans="2:4" x14ac:dyDescent="0.35">
      <c r="B1247" s="314">
        <v>43790</v>
      </c>
      <c r="C1247" s="315">
        <v>37101.31</v>
      </c>
      <c r="D1247" s="317">
        <f t="shared" si="19"/>
        <v>-2.4616906183552834E-2</v>
      </c>
    </row>
    <row r="1248" spans="2:4" x14ac:dyDescent="0.35">
      <c r="B1248" s="314">
        <v>43789</v>
      </c>
      <c r="C1248" s="315">
        <v>38037.68</v>
      </c>
      <c r="D1248" s="317">
        <f t="shared" si="19"/>
        <v>-1.3657425234743892E-2</v>
      </c>
    </row>
    <row r="1249" spans="2:4" x14ac:dyDescent="0.35">
      <c r="B1249" s="314">
        <v>43788</v>
      </c>
      <c r="C1249" s="315">
        <v>38564.370000000003</v>
      </c>
      <c r="D1249" s="317">
        <f t="shared" si="19"/>
        <v>3.9782294705033028E-3</v>
      </c>
    </row>
    <row r="1250" spans="2:4" x14ac:dyDescent="0.35">
      <c r="B1250" s="314">
        <v>43787</v>
      </c>
      <c r="C1250" s="315">
        <v>38411.56</v>
      </c>
      <c r="D1250" s="317">
        <f t="shared" si="19"/>
        <v>2.2021935462241959E-2</v>
      </c>
    </row>
    <row r="1251" spans="2:4" x14ac:dyDescent="0.35">
      <c r="B1251" s="314">
        <v>43784</v>
      </c>
      <c r="C1251" s="315">
        <v>37583.89</v>
      </c>
      <c r="D1251" s="317">
        <f t="shared" si="19"/>
        <v>9.1477101860206744E-3</v>
      </c>
    </row>
    <row r="1252" spans="2:4" x14ac:dyDescent="0.35">
      <c r="B1252" s="314">
        <v>43783</v>
      </c>
      <c r="C1252" s="315">
        <v>37243.199999999997</v>
      </c>
      <c r="D1252" s="317">
        <f t="shared" si="19"/>
        <v>2.0512842589224256E-3</v>
      </c>
    </row>
    <row r="1253" spans="2:4" x14ac:dyDescent="0.35">
      <c r="B1253" s="314">
        <v>43782</v>
      </c>
      <c r="C1253" s="315">
        <v>37166.959999999999</v>
      </c>
      <c r="D1253" s="317">
        <f t="shared" si="19"/>
        <v>1.091782635705818E-2</v>
      </c>
    </row>
    <row r="1254" spans="2:4" x14ac:dyDescent="0.35">
      <c r="B1254" s="314">
        <v>43781</v>
      </c>
      <c r="C1254" s="315">
        <v>36765.56</v>
      </c>
      <c r="D1254" s="317">
        <f t="shared" si="19"/>
        <v>-1.0200227698210496E-3</v>
      </c>
    </row>
    <row r="1255" spans="2:4" x14ac:dyDescent="0.35">
      <c r="B1255" s="314">
        <v>43780</v>
      </c>
      <c r="C1255" s="315">
        <v>36803.1</v>
      </c>
      <c r="D1255" s="317">
        <f t="shared" si="19"/>
        <v>2.2928910205524566E-2</v>
      </c>
    </row>
    <row r="1256" spans="2:4" x14ac:dyDescent="0.35">
      <c r="B1256" s="314">
        <v>43777</v>
      </c>
      <c r="C1256" s="315">
        <v>35978.160000000003</v>
      </c>
      <c r="D1256" s="317">
        <f t="shared" si="19"/>
        <v>6.1423123775818933E-3</v>
      </c>
    </row>
    <row r="1257" spans="2:4" x14ac:dyDescent="0.35">
      <c r="B1257" s="314">
        <v>43776</v>
      </c>
      <c r="C1257" s="315">
        <v>35758.519999999997</v>
      </c>
      <c r="D1257" s="317">
        <f t="shared" si="19"/>
        <v>2.9503555488363808E-3</v>
      </c>
    </row>
    <row r="1258" spans="2:4" x14ac:dyDescent="0.35">
      <c r="B1258" s="314">
        <v>43775</v>
      </c>
      <c r="C1258" s="315">
        <v>35653.33</v>
      </c>
      <c r="D1258" s="317">
        <f t="shared" si="19"/>
        <v>8.3437245728090748E-3</v>
      </c>
    </row>
    <row r="1259" spans="2:4" x14ac:dyDescent="0.35">
      <c r="B1259" s="314">
        <v>43774</v>
      </c>
      <c r="C1259" s="315">
        <v>35358.31</v>
      </c>
      <c r="D1259" s="317">
        <f t="shared" si="19"/>
        <v>2.2918316681528328E-3</v>
      </c>
    </row>
    <row r="1260" spans="2:4" x14ac:dyDescent="0.35">
      <c r="B1260" s="314">
        <v>43773</v>
      </c>
      <c r="C1260" s="315">
        <v>35277.46</v>
      </c>
      <c r="D1260" s="317">
        <f t="shared" si="19"/>
        <v>2.6175467113624284E-2</v>
      </c>
    </row>
    <row r="1261" spans="2:4" x14ac:dyDescent="0.35">
      <c r="B1261" s="314">
        <v>43770</v>
      </c>
      <c r="C1261" s="315">
        <v>34377.61</v>
      </c>
      <c r="D1261" s="317">
        <f t="shared" si="19"/>
        <v>5.0851253432380172E-3</v>
      </c>
    </row>
    <row r="1262" spans="2:4" x14ac:dyDescent="0.35">
      <c r="B1262" s="314">
        <v>43769</v>
      </c>
      <c r="C1262" s="315">
        <v>34203.68</v>
      </c>
      <c r="D1262" s="317">
        <f t="shared" si="19"/>
        <v>1.309986757069681E-2</v>
      </c>
    </row>
    <row r="1263" spans="2:4" x14ac:dyDescent="0.35">
      <c r="B1263" s="314">
        <v>43768</v>
      </c>
      <c r="C1263" s="315">
        <v>33761.410000000003</v>
      </c>
      <c r="D1263" s="317">
        <f t="shared" si="19"/>
        <v>-1.0681260246686586E-3</v>
      </c>
    </row>
    <row r="1264" spans="2:4" x14ac:dyDescent="0.35">
      <c r="B1264" s="314">
        <v>43767</v>
      </c>
      <c r="C1264" s="315">
        <v>33797.51</v>
      </c>
      <c r="D1264" s="317">
        <f t="shared" si="19"/>
        <v>-1.8924096594399309E-3</v>
      </c>
    </row>
    <row r="1265" spans="2:4" x14ac:dyDescent="0.35">
      <c r="B1265" s="314">
        <v>43766</v>
      </c>
      <c r="C1265" s="315">
        <v>33861.589999999997</v>
      </c>
      <c r="D1265" s="317">
        <f t="shared" si="19"/>
        <v>6.0649258737883738E-3</v>
      </c>
    </row>
    <row r="1266" spans="2:4" x14ac:dyDescent="0.35">
      <c r="B1266" s="314">
        <v>43763</v>
      </c>
      <c r="C1266" s="315">
        <v>33657.46</v>
      </c>
      <c r="D1266" s="317">
        <f t="shared" si="19"/>
        <v>-3.1105534901465504E-3</v>
      </c>
    </row>
    <row r="1267" spans="2:4" x14ac:dyDescent="0.35">
      <c r="B1267" s="314">
        <v>43762</v>
      </c>
      <c r="C1267" s="315">
        <v>33762.480000000003</v>
      </c>
      <c r="D1267" s="317">
        <f t="shared" si="19"/>
        <v>9.6529004904053473E-3</v>
      </c>
    </row>
    <row r="1268" spans="2:4" x14ac:dyDescent="0.35">
      <c r="B1268" s="314">
        <v>43761</v>
      </c>
      <c r="C1268" s="315">
        <v>33439.69</v>
      </c>
      <c r="D1268" s="317">
        <f t="shared" si="19"/>
        <v>7.2511307583129625E-3</v>
      </c>
    </row>
    <row r="1269" spans="2:4" x14ac:dyDescent="0.35">
      <c r="B1269" s="314">
        <v>43760</v>
      </c>
      <c r="C1269" s="315">
        <v>33198.959999999999</v>
      </c>
      <c r="D1269" s="317">
        <f t="shared" si="19"/>
        <v>3.4526502105349799E-3</v>
      </c>
    </row>
    <row r="1270" spans="2:4" x14ac:dyDescent="0.35">
      <c r="B1270" s="314">
        <v>43759</v>
      </c>
      <c r="C1270" s="315">
        <v>33084.730000000003</v>
      </c>
      <c r="D1270" s="317">
        <f t="shared" si="19"/>
        <v>-2.3189150328534081E-2</v>
      </c>
    </row>
    <row r="1271" spans="2:4" x14ac:dyDescent="0.35">
      <c r="B1271" s="314">
        <v>43756</v>
      </c>
      <c r="C1271" s="315">
        <v>33870.15</v>
      </c>
      <c r="D1271" s="317">
        <f t="shared" si="19"/>
        <v>-8.3808869757284743E-4</v>
      </c>
    </row>
    <row r="1272" spans="2:4" x14ac:dyDescent="0.35">
      <c r="B1272" s="314">
        <v>43755</v>
      </c>
      <c r="C1272" s="315">
        <v>33898.559999999998</v>
      </c>
      <c r="D1272" s="317">
        <f t="shared" si="19"/>
        <v>-1.1158630020223992E-2</v>
      </c>
    </row>
    <row r="1273" spans="2:4" x14ac:dyDescent="0.35">
      <c r="B1273" s="314">
        <v>43754</v>
      </c>
      <c r="C1273" s="315">
        <v>34281.089999999997</v>
      </c>
      <c r="D1273" s="317">
        <f t="shared" si="19"/>
        <v>5.7963479721729882E-3</v>
      </c>
    </row>
    <row r="1274" spans="2:4" x14ac:dyDescent="0.35">
      <c r="B1274" s="314">
        <v>43753</v>
      </c>
      <c r="C1274" s="315">
        <v>34083.53</v>
      </c>
      <c r="D1274" s="317">
        <f t="shared" si="19"/>
        <v>-3.0050084449133596E-3</v>
      </c>
    </row>
    <row r="1275" spans="2:4" x14ac:dyDescent="0.35">
      <c r="B1275" s="314">
        <v>43752</v>
      </c>
      <c r="C1275" s="315">
        <v>34186.26</v>
      </c>
      <c r="D1275" s="317">
        <f t="shared" si="19"/>
        <v>-8.3951909301888117E-3</v>
      </c>
    </row>
    <row r="1276" spans="2:4" x14ac:dyDescent="0.35">
      <c r="B1276" s="314">
        <v>43749</v>
      </c>
      <c r="C1276" s="315">
        <v>34475.69</v>
      </c>
      <c r="D1276" s="317">
        <f t="shared" si="19"/>
        <v>1.3165450500621789E-2</v>
      </c>
    </row>
    <row r="1277" spans="2:4" x14ac:dyDescent="0.35">
      <c r="B1277" s="314">
        <v>43748</v>
      </c>
      <c r="C1277" s="315">
        <v>34027.699999999997</v>
      </c>
      <c r="D1277" s="317">
        <f t="shared" si="19"/>
        <v>1.5032928903517373E-2</v>
      </c>
    </row>
    <row r="1278" spans="2:4" x14ac:dyDescent="0.35">
      <c r="B1278" s="314">
        <v>43747</v>
      </c>
      <c r="C1278" s="315">
        <v>33523.74</v>
      </c>
      <c r="D1278" s="317">
        <f t="shared" si="19"/>
        <v>1.4075495076861788E-3</v>
      </c>
    </row>
    <row r="1279" spans="2:4" x14ac:dyDescent="0.35">
      <c r="B1279" s="314">
        <v>43746</v>
      </c>
      <c r="C1279" s="315">
        <v>33476.620000000003</v>
      </c>
      <c r="D1279" s="317">
        <f t="shared" si="19"/>
        <v>-4.7626380852885397E-3</v>
      </c>
    </row>
    <row r="1280" spans="2:4" x14ac:dyDescent="0.35">
      <c r="B1280" s="314">
        <v>43745</v>
      </c>
      <c r="C1280" s="315">
        <v>33636.82</v>
      </c>
      <c r="D1280" s="317">
        <f t="shared" si="19"/>
        <v>1.8269432197550728E-2</v>
      </c>
    </row>
    <row r="1281" spans="2:4" x14ac:dyDescent="0.35">
      <c r="B1281" s="314">
        <v>43742</v>
      </c>
      <c r="C1281" s="315">
        <v>33033.32</v>
      </c>
      <c r="D1281" s="317">
        <f t="shared" si="19"/>
        <v>8.5817004938590902E-3</v>
      </c>
    </row>
    <row r="1282" spans="2:4" x14ac:dyDescent="0.35">
      <c r="B1282" s="314">
        <v>43741</v>
      </c>
      <c r="C1282" s="315">
        <v>32752.25</v>
      </c>
      <c r="D1282" s="317">
        <f t="shared" si="19"/>
        <v>1.2016679361067428E-2</v>
      </c>
    </row>
    <row r="1283" spans="2:4" x14ac:dyDescent="0.35">
      <c r="B1283" s="314">
        <v>43740</v>
      </c>
      <c r="C1283" s="315">
        <v>32363.35</v>
      </c>
      <c r="D1283" s="317">
        <f t="shared" si="19"/>
        <v>3.3803223878228206E-3</v>
      </c>
    </row>
    <row r="1284" spans="2:4" x14ac:dyDescent="0.35">
      <c r="B1284" s="314">
        <v>43739</v>
      </c>
      <c r="C1284" s="315">
        <v>32254.32</v>
      </c>
      <c r="D1284" s="317">
        <f t="shared" ref="D1284:D1347" si="20">(C1284/C1285)-1</f>
        <v>5.4699591787112922E-3</v>
      </c>
    </row>
    <row r="1285" spans="2:4" x14ac:dyDescent="0.35">
      <c r="B1285" s="314">
        <v>43738</v>
      </c>
      <c r="C1285" s="315">
        <v>32078.85</v>
      </c>
      <c r="D1285" s="317">
        <f t="shared" si="20"/>
        <v>2.5069525839849227E-4</v>
      </c>
    </row>
    <row r="1286" spans="2:4" x14ac:dyDescent="0.35">
      <c r="B1286" s="314">
        <v>43735</v>
      </c>
      <c r="C1286" s="315">
        <v>32070.81</v>
      </c>
      <c r="D1286" s="317">
        <f t="shared" si="20"/>
        <v>2.0262207445530978E-2</v>
      </c>
    </row>
    <row r="1287" spans="2:4" x14ac:dyDescent="0.35">
      <c r="B1287" s="314">
        <v>43734</v>
      </c>
      <c r="C1287" s="315">
        <v>31433.89</v>
      </c>
      <c r="D1287" s="317">
        <f t="shared" si="20"/>
        <v>-4.1602764562630457E-3</v>
      </c>
    </row>
    <row r="1288" spans="2:4" x14ac:dyDescent="0.35">
      <c r="B1288" s="314">
        <v>43733</v>
      </c>
      <c r="C1288" s="315">
        <v>31565.21</v>
      </c>
      <c r="D1288" s="317">
        <f t="shared" si="20"/>
        <v>-8.2952027758125269E-3</v>
      </c>
    </row>
    <row r="1289" spans="2:4" x14ac:dyDescent="0.35">
      <c r="B1289" s="314">
        <v>43732</v>
      </c>
      <c r="C1289" s="315">
        <v>31829.24</v>
      </c>
      <c r="D1289" s="317">
        <f t="shared" si="20"/>
        <v>2.4575441376879503E-3</v>
      </c>
    </row>
    <row r="1290" spans="2:4" x14ac:dyDescent="0.35">
      <c r="B1290" s="314">
        <v>43731</v>
      </c>
      <c r="C1290" s="315">
        <v>31751.21</v>
      </c>
      <c r="D1290" s="317">
        <f t="shared" si="20"/>
        <v>-1.1207650936903457E-2</v>
      </c>
    </row>
    <row r="1291" spans="2:4" x14ac:dyDescent="0.35">
      <c r="B1291" s="314">
        <v>43728</v>
      </c>
      <c r="C1291" s="315">
        <v>32111.1</v>
      </c>
      <c r="D1291" s="317">
        <f t="shared" si="20"/>
        <v>-2.2660306990764933E-3</v>
      </c>
    </row>
    <row r="1292" spans="2:4" x14ac:dyDescent="0.35">
      <c r="B1292" s="314">
        <v>43727</v>
      </c>
      <c r="C1292" s="315">
        <v>32184.03</v>
      </c>
      <c r="D1292" s="317">
        <f t="shared" si="20"/>
        <v>1.9919208935883281E-2</v>
      </c>
    </row>
    <row r="1293" spans="2:4" x14ac:dyDescent="0.35">
      <c r="B1293" s="314">
        <v>43726</v>
      </c>
      <c r="C1293" s="315">
        <v>31555.47</v>
      </c>
      <c r="D1293" s="317">
        <f t="shared" si="20"/>
        <v>-1.1076839955723838E-2</v>
      </c>
    </row>
    <row r="1294" spans="2:4" x14ac:dyDescent="0.35">
      <c r="B1294" s="314">
        <v>43725</v>
      </c>
      <c r="C1294" s="315">
        <v>31908.92</v>
      </c>
      <c r="D1294" s="317">
        <f t="shared" si="20"/>
        <v>-6.1481025602483363E-4</v>
      </c>
    </row>
    <row r="1295" spans="2:4" x14ac:dyDescent="0.35">
      <c r="B1295" s="314">
        <v>43724</v>
      </c>
      <c r="C1295" s="315">
        <v>31928.55</v>
      </c>
      <c r="D1295" s="317">
        <f t="shared" si="20"/>
        <v>1.4206524442597734E-2</v>
      </c>
    </row>
    <row r="1296" spans="2:4" x14ac:dyDescent="0.35">
      <c r="B1296" s="314">
        <v>43721</v>
      </c>
      <c r="C1296" s="315">
        <v>31481.31</v>
      </c>
      <c r="D1296" s="317">
        <f t="shared" si="20"/>
        <v>-2.0699529997042498E-3</v>
      </c>
    </row>
    <row r="1297" spans="2:4" x14ac:dyDescent="0.35">
      <c r="B1297" s="314">
        <v>43720</v>
      </c>
      <c r="C1297" s="315">
        <v>31546.61</v>
      </c>
      <c r="D1297" s="317">
        <f t="shared" si="20"/>
        <v>1.9117533515771168E-2</v>
      </c>
    </row>
    <row r="1298" spans="2:4" x14ac:dyDescent="0.35">
      <c r="B1298" s="314">
        <v>43719</v>
      </c>
      <c r="C1298" s="315">
        <v>30954.83</v>
      </c>
      <c r="D1298" s="317">
        <f t="shared" si="20"/>
        <v>1.600508087385788E-2</v>
      </c>
    </row>
    <row r="1299" spans="2:4" x14ac:dyDescent="0.35">
      <c r="B1299" s="314">
        <v>43714</v>
      </c>
      <c r="C1299" s="315">
        <v>30467.200000000001</v>
      </c>
      <c r="D1299" s="317">
        <f t="shared" si="20"/>
        <v>8.3545233010213771E-3</v>
      </c>
    </row>
    <row r="1300" spans="2:4" x14ac:dyDescent="0.35">
      <c r="B1300" s="314">
        <v>43713</v>
      </c>
      <c r="C1300" s="315">
        <v>30214.77</v>
      </c>
      <c r="D1300" s="317">
        <f t="shared" si="20"/>
        <v>-9.9058579792243862E-4</v>
      </c>
    </row>
    <row r="1301" spans="2:4" x14ac:dyDescent="0.35">
      <c r="B1301" s="314">
        <v>43712</v>
      </c>
      <c r="C1301" s="315">
        <v>30244.73</v>
      </c>
      <c r="D1301" s="317">
        <f t="shared" si="20"/>
        <v>1.4594252605194091E-2</v>
      </c>
    </row>
    <row r="1302" spans="2:4" x14ac:dyDescent="0.35">
      <c r="B1302" s="314">
        <v>43711</v>
      </c>
      <c r="C1302" s="315">
        <v>29809.68</v>
      </c>
      <c r="D1302" s="317">
        <f t="shared" si="20"/>
        <v>-8.237934956877413E-3</v>
      </c>
    </row>
    <row r="1303" spans="2:4" x14ac:dyDescent="0.35">
      <c r="B1303" s="314">
        <v>43710</v>
      </c>
      <c r="C1303" s="315">
        <v>30057.29</v>
      </c>
      <c r="D1303" s="317">
        <f t="shared" si="20"/>
        <v>1.2980872280106803E-2</v>
      </c>
    </row>
    <row r="1304" spans="2:4" x14ac:dyDescent="0.35">
      <c r="B1304" s="314">
        <v>43707</v>
      </c>
      <c r="C1304" s="315">
        <v>29672.12</v>
      </c>
      <c r="D1304" s="317">
        <f t="shared" si="20"/>
        <v>-1.6142466451097737E-2</v>
      </c>
    </row>
    <row r="1305" spans="2:4" x14ac:dyDescent="0.35">
      <c r="B1305" s="314">
        <v>43706</v>
      </c>
      <c r="C1305" s="315">
        <v>30158.959999999999</v>
      </c>
      <c r="D1305" s="317">
        <f t="shared" si="20"/>
        <v>-1.5626167882651809E-2</v>
      </c>
    </row>
    <row r="1306" spans="2:4" x14ac:dyDescent="0.35">
      <c r="B1306" s="314">
        <v>43705</v>
      </c>
      <c r="C1306" s="315">
        <v>30637.71</v>
      </c>
      <c r="D1306" s="317">
        <f t="shared" si="20"/>
        <v>1.7283066616315956E-3</v>
      </c>
    </row>
    <row r="1307" spans="2:4" x14ac:dyDescent="0.35">
      <c r="B1307" s="314">
        <v>43704</v>
      </c>
      <c r="C1307" s="315">
        <v>30584.85</v>
      </c>
      <c r="D1307" s="317">
        <f t="shared" si="20"/>
        <v>2.1051355477939016E-3</v>
      </c>
    </row>
    <row r="1308" spans="2:4" x14ac:dyDescent="0.35">
      <c r="B1308" s="314">
        <v>43703</v>
      </c>
      <c r="C1308" s="315">
        <v>30520.6</v>
      </c>
      <c r="D1308" s="317">
        <f t="shared" si="20"/>
        <v>-2.6456450891084282E-2</v>
      </c>
    </row>
    <row r="1309" spans="2:4" x14ac:dyDescent="0.35">
      <c r="B1309" s="314">
        <v>43700</v>
      </c>
      <c r="C1309" s="315">
        <v>31350.01</v>
      </c>
      <c r="D1309" s="317">
        <f t="shared" si="20"/>
        <v>-1.6761775724530414E-2</v>
      </c>
    </row>
    <row r="1310" spans="2:4" x14ac:dyDescent="0.35">
      <c r="B1310" s="314">
        <v>43699</v>
      </c>
      <c r="C1310" s="315">
        <v>31884.45</v>
      </c>
      <c r="D1310" s="317">
        <f t="shared" si="20"/>
        <v>2.9435552219289507E-2</v>
      </c>
    </row>
    <row r="1311" spans="2:4" x14ac:dyDescent="0.35">
      <c r="B1311" s="314">
        <v>43698</v>
      </c>
      <c r="C1311" s="315">
        <v>30972.75</v>
      </c>
      <c r="D1311" s="317">
        <f t="shared" si="20"/>
        <v>1.819671904802278E-2</v>
      </c>
    </row>
    <row r="1312" spans="2:4" x14ac:dyDescent="0.35">
      <c r="B1312" s="314">
        <v>43697</v>
      </c>
      <c r="C1312" s="315">
        <v>30419.22</v>
      </c>
      <c r="D1312" s="317">
        <f t="shared" si="20"/>
        <v>2.8982742278879758E-2</v>
      </c>
    </row>
    <row r="1313" spans="2:4" x14ac:dyDescent="0.35">
      <c r="B1313" s="314">
        <v>43696</v>
      </c>
      <c r="C1313" s="315">
        <v>29562.42</v>
      </c>
      <c r="D1313" s="317">
        <f t="shared" si="20"/>
        <v>2.7735103841071362E-2</v>
      </c>
    </row>
    <row r="1314" spans="2:4" x14ac:dyDescent="0.35">
      <c r="B1314" s="314">
        <v>43693</v>
      </c>
      <c r="C1314" s="315">
        <v>28764.63</v>
      </c>
      <c r="D1314" s="317">
        <f t="shared" si="20"/>
        <v>-2.2577675747143866E-2</v>
      </c>
    </row>
    <row r="1315" spans="2:4" x14ac:dyDescent="0.35">
      <c r="B1315" s="314">
        <v>43686</v>
      </c>
      <c r="C1315" s="315">
        <v>29429.07</v>
      </c>
      <c r="D1315" s="317">
        <f t="shared" si="20"/>
        <v>-1.0387726402398489E-2</v>
      </c>
    </row>
    <row r="1316" spans="2:4" x14ac:dyDescent="0.35">
      <c r="B1316" s="314">
        <v>43685</v>
      </c>
      <c r="C1316" s="315">
        <v>29737.98</v>
      </c>
      <c r="D1316" s="317">
        <f t="shared" si="20"/>
        <v>-1.7817550685411132E-2</v>
      </c>
    </row>
    <row r="1317" spans="2:4" x14ac:dyDescent="0.35">
      <c r="B1317" s="314">
        <v>43684</v>
      </c>
      <c r="C1317" s="315">
        <v>30277.45</v>
      </c>
      <c r="D1317" s="317">
        <f t="shared" si="20"/>
        <v>-2.3329173208191833E-2</v>
      </c>
    </row>
    <row r="1318" spans="2:4" x14ac:dyDescent="0.35">
      <c r="B1318" s="314">
        <v>43683</v>
      </c>
      <c r="C1318" s="315">
        <v>31000.67</v>
      </c>
      <c r="D1318" s="317">
        <f t="shared" si="20"/>
        <v>-5.7769524835796782E-3</v>
      </c>
    </row>
    <row r="1319" spans="2:4" x14ac:dyDescent="0.35">
      <c r="B1319" s="314">
        <v>43682</v>
      </c>
      <c r="C1319" s="315">
        <v>31180.799999999999</v>
      </c>
      <c r="D1319" s="317">
        <f t="shared" si="20"/>
        <v>-1.5335176927223526E-2</v>
      </c>
    </row>
    <row r="1320" spans="2:4" x14ac:dyDescent="0.35">
      <c r="B1320" s="314">
        <v>43679</v>
      </c>
      <c r="C1320" s="315">
        <v>31666.41</v>
      </c>
      <c r="D1320" s="317">
        <f t="shared" si="20"/>
        <v>-5.4241465920372711E-3</v>
      </c>
    </row>
    <row r="1321" spans="2:4" x14ac:dyDescent="0.35">
      <c r="B1321" s="314">
        <v>43678</v>
      </c>
      <c r="C1321" s="315">
        <v>31839.11</v>
      </c>
      <c r="D1321" s="317">
        <f t="shared" si="20"/>
        <v>-3.1112939626432023E-3</v>
      </c>
    </row>
    <row r="1322" spans="2:4" x14ac:dyDescent="0.35">
      <c r="B1322" s="314">
        <v>43677</v>
      </c>
      <c r="C1322" s="315">
        <v>31938.48</v>
      </c>
      <c r="D1322" s="317">
        <f t="shared" si="20"/>
        <v>8.8558638352498331E-3</v>
      </c>
    </row>
    <row r="1323" spans="2:4" x14ac:dyDescent="0.35">
      <c r="B1323" s="314">
        <v>43676</v>
      </c>
      <c r="C1323" s="315">
        <v>31658.12</v>
      </c>
      <c r="D1323" s="317">
        <f t="shared" si="20"/>
        <v>-2.3983566010582491E-3</v>
      </c>
    </row>
    <row r="1324" spans="2:4" x14ac:dyDescent="0.35">
      <c r="B1324" s="314">
        <v>43675</v>
      </c>
      <c r="C1324" s="315">
        <v>31734.23</v>
      </c>
      <c r="D1324" s="317">
        <f t="shared" si="20"/>
        <v>-1.1495402181771586E-2</v>
      </c>
    </row>
    <row r="1325" spans="2:4" x14ac:dyDescent="0.35">
      <c r="B1325" s="314">
        <v>43672</v>
      </c>
      <c r="C1325" s="315">
        <v>32103.27</v>
      </c>
      <c r="D1325" s="317">
        <f t="shared" si="20"/>
        <v>-1.0575287242960751E-2</v>
      </c>
    </row>
    <row r="1326" spans="2:4" x14ac:dyDescent="0.35">
      <c r="B1326" s="314">
        <v>43671</v>
      </c>
      <c r="C1326" s="315">
        <v>32446.400000000001</v>
      </c>
      <c r="D1326" s="317">
        <f t="shared" si="20"/>
        <v>1.3888288777645919E-3</v>
      </c>
    </row>
    <row r="1327" spans="2:4" x14ac:dyDescent="0.35">
      <c r="B1327" s="314">
        <v>43670</v>
      </c>
      <c r="C1327" s="315">
        <v>32401.4</v>
      </c>
      <c r="D1327" s="317">
        <f t="shared" si="20"/>
        <v>-9.6124573143072656E-3</v>
      </c>
    </row>
    <row r="1328" spans="2:4" x14ac:dyDescent="0.35">
      <c r="B1328" s="314">
        <v>43669</v>
      </c>
      <c r="C1328" s="315">
        <v>32715.88</v>
      </c>
      <c r="D1328" s="317">
        <f t="shared" si="20"/>
        <v>4.03043773813061E-3</v>
      </c>
    </row>
    <row r="1329" spans="2:4" x14ac:dyDescent="0.35">
      <c r="B1329" s="314">
        <v>43668</v>
      </c>
      <c r="C1329" s="315">
        <v>32584.55</v>
      </c>
      <c r="D1329" s="317">
        <f t="shared" si="20"/>
        <v>3.8750698193430466E-3</v>
      </c>
    </row>
    <row r="1330" spans="2:4" x14ac:dyDescent="0.35">
      <c r="B1330" s="314">
        <v>43665</v>
      </c>
      <c r="C1330" s="315">
        <v>32458.77</v>
      </c>
      <c r="D1330" s="317">
        <f t="shared" si="20"/>
        <v>4.6187596604594372E-3</v>
      </c>
    </row>
    <row r="1331" spans="2:4" x14ac:dyDescent="0.35">
      <c r="B1331" s="314">
        <v>43664</v>
      </c>
      <c r="C1331" s="315">
        <v>32309.54</v>
      </c>
      <c r="D1331" s="317">
        <f t="shared" si="20"/>
        <v>-2.0388399850948868E-2</v>
      </c>
    </row>
    <row r="1332" spans="2:4" x14ac:dyDescent="0.35">
      <c r="B1332" s="314">
        <v>43663</v>
      </c>
      <c r="C1332" s="315">
        <v>32981.99</v>
      </c>
      <c r="D1332" s="317">
        <f t="shared" si="20"/>
        <v>3.0237759166706901E-4</v>
      </c>
    </row>
    <row r="1333" spans="2:4" x14ac:dyDescent="0.35">
      <c r="B1333" s="314">
        <v>43662</v>
      </c>
      <c r="C1333" s="315">
        <v>32972.019999999997</v>
      </c>
      <c r="D1333" s="317">
        <f t="shared" si="20"/>
        <v>4.1476590909428346E-4</v>
      </c>
    </row>
    <row r="1334" spans="2:4" x14ac:dyDescent="0.35">
      <c r="B1334" s="314">
        <v>43661</v>
      </c>
      <c r="C1334" s="315">
        <v>32958.35</v>
      </c>
      <c r="D1334" s="317">
        <f t="shared" si="20"/>
        <v>-2.1208410782808107E-2</v>
      </c>
    </row>
    <row r="1335" spans="2:4" x14ac:dyDescent="0.35">
      <c r="B1335" s="314">
        <v>43658</v>
      </c>
      <c r="C1335" s="315">
        <v>33672.49</v>
      </c>
      <c r="D1335" s="317">
        <f t="shared" si="20"/>
        <v>-5.9898923702746965E-3</v>
      </c>
    </row>
    <row r="1336" spans="2:4" x14ac:dyDescent="0.35">
      <c r="B1336" s="314">
        <v>43657</v>
      </c>
      <c r="C1336" s="315">
        <v>33875.4</v>
      </c>
      <c r="D1336" s="317">
        <f t="shared" si="20"/>
        <v>1.0446202059393173E-3</v>
      </c>
    </row>
    <row r="1337" spans="2:4" x14ac:dyDescent="0.35">
      <c r="B1337" s="314">
        <v>43656</v>
      </c>
      <c r="C1337" s="315">
        <v>33840.050000000003</v>
      </c>
      <c r="D1337" s="317">
        <f t="shared" si="20"/>
        <v>-4.5871315747647579E-4</v>
      </c>
    </row>
    <row r="1338" spans="2:4" x14ac:dyDescent="0.35">
      <c r="B1338" s="314">
        <v>43655</v>
      </c>
      <c r="C1338" s="315">
        <v>33855.58</v>
      </c>
      <c r="D1338" s="317">
        <f t="shared" si="20"/>
        <v>3.3459108760773848E-3</v>
      </c>
    </row>
    <row r="1339" spans="2:4" x14ac:dyDescent="0.35">
      <c r="B1339" s="314">
        <v>43654</v>
      </c>
      <c r="C1339" s="315">
        <v>33742.68</v>
      </c>
      <c r="D1339" s="317">
        <f t="shared" si="20"/>
        <v>-1.308393501963423E-2</v>
      </c>
    </row>
    <row r="1340" spans="2:4" x14ac:dyDescent="0.35">
      <c r="B1340" s="314">
        <v>43651</v>
      </c>
      <c r="C1340" s="315">
        <v>34190.019999999997</v>
      </c>
      <c r="D1340" s="317">
        <f t="shared" si="20"/>
        <v>-1.1009348400462748E-2</v>
      </c>
    </row>
    <row r="1341" spans="2:4" x14ac:dyDescent="0.35">
      <c r="B1341" s="314">
        <v>43650</v>
      </c>
      <c r="C1341" s="315">
        <v>34570.620000000003</v>
      </c>
      <c r="D1341" s="317">
        <f t="shared" si="20"/>
        <v>-9.3398917658049641E-3</v>
      </c>
    </row>
    <row r="1342" spans="2:4" x14ac:dyDescent="0.35">
      <c r="B1342" s="314">
        <v>43649</v>
      </c>
      <c r="C1342" s="315">
        <v>34896.550000000003</v>
      </c>
      <c r="D1342" s="317">
        <f t="shared" si="20"/>
        <v>1.7181278166537473E-2</v>
      </c>
    </row>
    <row r="1343" spans="2:4" x14ac:dyDescent="0.35">
      <c r="B1343" s="314">
        <v>43648</v>
      </c>
      <c r="C1343" s="315">
        <v>34307.11</v>
      </c>
      <c r="D1343" s="317">
        <f t="shared" si="20"/>
        <v>9.1415749876531116E-3</v>
      </c>
    </row>
    <row r="1344" spans="2:4" x14ac:dyDescent="0.35">
      <c r="B1344" s="314">
        <v>43647</v>
      </c>
      <c r="C1344" s="315">
        <v>33996.33</v>
      </c>
      <c r="D1344" s="317">
        <f t="shared" si="20"/>
        <v>2.7948549890595142E-3</v>
      </c>
    </row>
    <row r="1345" spans="2:4" x14ac:dyDescent="0.35">
      <c r="B1345" s="314">
        <v>43644</v>
      </c>
      <c r="C1345" s="315">
        <v>33901.58</v>
      </c>
      <c r="D1345" s="317">
        <f t="shared" si="20"/>
        <v>3.764979531847068E-3</v>
      </c>
    </row>
    <row r="1346" spans="2:4" x14ac:dyDescent="0.35">
      <c r="B1346" s="314">
        <v>43643</v>
      </c>
      <c r="C1346" s="315">
        <v>33774.42</v>
      </c>
      <c r="D1346" s="317">
        <f t="shared" si="20"/>
        <v>-9.2154083364037742E-3</v>
      </c>
    </row>
    <row r="1347" spans="2:4" x14ac:dyDescent="0.35">
      <c r="B1347" s="314">
        <v>43642</v>
      </c>
      <c r="C1347" s="315">
        <v>34088.559999999998</v>
      </c>
      <c r="D1347" s="317">
        <f t="shared" si="20"/>
        <v>-2.985029227314584E-3</v>
      </c>
    </row>
    <row r="1348" spans="2:4" x14ac:dyDescent="0.35">
      <c r="B1348" s="314">
        <v>43641</v>
      </c>
      <c r="C1348" s="315">
        <v>34190.620000000003</v>
      </c>
      <c r="D1348" s="317">
        <f t="shared" ref="D1348:D1411" si="21">(C1348/C1349)-1</f>
        <v>-8.1611281056045426E-3</v>
      </c>
    </row>
    <row r="1349" spans="2:4" x14ac:dyDescent="0.35">
      <c r="B1349" s="314">
        <v>43640</v>
      </c>
      <c r="C1349" s="315">
        <v>34471.949999999997</v>
      </c>
      <c r="D1349" s="317">
        <f t="shared" si="21"/>
        <v>-1.859915587789418E-2</v>
      </c>
    </row>
    <row r="1350" spans="2:4" x14ac:dyDescent="0.35">
      <c r="B1350" s="314">
        <v>43637</v>
      </c>
      <c r="C1350" s="315">
        <v>35125.25</v>
      </c>
      <c r="D1350" s="317">
        <f t="shared" si="21"/>
        <v>3.69586045912218E-3</v>
      </c>
    </row>
    <row r="1351" spans="2:4" x14ac:dyDescent="0.35">
      <c r="B1351" s="314">
        <v>43636</v>
      </c>
      <c r="C1351" s="315">
        <v>34995.910000000003</v>
      </c>
      <c r="D1351" s="317">
        <f t="shared" si="21"/>
        <v>9.8046174817030263E-3</v>
      </c>
    </row>
    <row r="1352" spans="2:4" x14ac:dyDescent="0.35">
      <c r="B1352" s="314">
        <v>43635</v>
      </c>
      <c r="C1352" s="315">
        <v>34656.120000000003</v>
      </c>
      <c r="D1352" s="317">
        <f t="shared" si="21"/>
        <v>-7.3814101492075679E-4</v>
      </c>
    </row>
    <row r="1353" spans="2:4" x14ac:dyDescent="0.35">
      <c r="B1353" s="314">
        <v>43634</v>
      </c>
      <c r="C1353" s="315">
        <v>34681.72</v>
      </c>
      <c r="D1353" s="317">
        <f t="shared" si="21"/>
        <v>-1.3850336747152747E-2</v>
      </c>
    </row>
    <row r="1354" spans="2:4" x14ac:dyDescent="0.35">
      <c r="B1354" s="314">
        <v>43633</v>
      </c>
      <c r="C1354" s="315">
        <v>35168.82</v>
      </c>
      <c r="D1354" s="317">
        <f t="shared" si="21"/>
        <v>-1.1360598432235691E-2</v>
      </c>
    </row>
    <row r="1355" spans="2:4" x14ac:dyDescent="0.35">
      <c r="B1355" s="314">
        <v>43630</v>
      </c>
      <c r="C1355" s="315">
        <v>35572.949999999997</v>
      </c>
      <c r="D1355" s="317">
        <f t="shared" si="21"/>
        <v>4.7984539193917097E-3</v>
      </c>
    </row>
    <row r="1356" spans="2:4" x14ac:dyDescent="0.35">
      <c r="B1356" s="314">
        <v>43629</v>
      </c>
      <c r="C1356" s="315">
        <v>35403.07</v>
      </c>
      <c r="D1356" s="317">
        <f t="shared" si="21"/>
        <v>1.3313324515791258E-2</v>
      </c>
    </row>
    <row r="1357" spans="2:4" x14ac:dyDescent="0.35">
      <c r="B1357" s="314">
        <v>43628</v>
      </c>
      <c r="C1357" s="315">
        <v>34937.93</v>
      </c>
      <c r="D1357" s="317">
        <f t="shared" si="21"/>
        <v>8.0231160838839521E-3</v>
      </c>
    </row>
    <row r="1358" spans="2:4" x14ac:dyDescent="0.35">
      <c r="B1358" s="314">
        <v>43627</v>
      </c>
      <c r="C1358" s="315">
        <v>34659.85</v>
      </c>
      <c r="D1358" s="317">
        <f t="shared" si="21"/>
        <v>2.6701342733284061E-3</v>
      </c>
    </row>
    <row r="1359" spans="2:4" x14ac:dyDescent="0.35">
      <c r="B1359" s="314">
        <v>43626</v>
      </c>
      <c r="C1359" s="315">
        <v>34567.550000000003</v>
      </c>
      <c r="D1359" s="317">
        <f t="shared" si="21"/>
        <v>-2.6411275615549012E-2</v>
      </c>
    </row>
    <row r="1360" spans="2:4" x14ac:dyDescent="0.35">
      <c r="B1360" s="314">
        <v>43619</v>
      </c>
      <c r="C1360" s="315">
        <v>35505.29</v>
      </c>
      <c r="D1360" s="317">
        <f t="shared" si="21"/>
        <v>-1.3050805855989722E-2</v>
      </c>
    </row>
    <row r="1361" spans="2:4" x14ac:dyDescent="0.35">
      <c r="B1361" s="314">
        <v>43615</v>
      </c>
      <c r="C1361" s="315">
        <v>35974.79</v>
      </c>
      <c r="D1361" s="317">
        <f t="shared" si="21"/>
        <v>4.2714803877585972E-4</v>
      </c>
    </row>
    <row r="1362" spans="2:4" x14ac:dyDescent="0.35">
      <c r="B1362" s="314">
        <v>43614</v>
      </c>
      <c r="C1362" s="315">
        <v>35959.43</v>
      </c>
      <c r="D1362" s="317">
        <f t="shared" si="21"/>
        <v>2.8903313601882585E-2</v>
      </c>
    </row>
    <row r="1363" spans="2:4" x14ac:dyDescent="0.35">
      <c r="B1363" s="314">
        <v>43613</v>
      </c>
      <c r="C1363" s="315">
        <v>34949.279999999999</v>
      </c>
      <c r="D1363" s="317">
        <f t="shared" si="21"/>
        <v>-2.0956445810993984E-2</v>
      </c>
    </row>
    <row r="1364" spans="2:4" x14ac:dyDescent="0.35">
      <c r="B1364" s="314">
        <v>43612</v>
      </c>
      <c r="C1364" s="315">
        <v>35697.370000000003</v>
      </c>
      <c r="D1364" s="317">
        <f t="shared" si="21"/>
        <v>-1.8037290698091901E-4</v>
      </c>
    </row>
    <row r="1365" spans="2:4" x14ac:dyDescent="0.35">
      <c r="B1365" s="314">
        <v>43609</v>
      </c>
      <c r="C1365" s="315">
        <v>35703.81</v>
      </c>
      <c r="D1365" s="317">
        <f t="shared" si="21"/>
        <v>3.4419726744412404E-3</v>
      </c>
    </row>
    <row r="1366" spans="2:4" x14ac:dyDescent="0.35">
      <c r="B1366" s="314">
        <v>43608</v>
      </c>
      <c r="C1366" s="315">
        <v>35581.339999999997</v>
      </c>
      <c r="D1366" s="317">
        <f t="shared" si="21"/>
        <v>2.7259756434855786E-2</v>
      </c>
    </row>
    <row r="1367" spans="2:4" x14ac:dyDescent="0.35">
      <c r="B1367" s="314">
        <v>43607</v>
      </c>
      <c r="C1367" s="315">
        <v>34637.14</v>
      </c>
      <c r="D1367" s="317">
        <f t="shared" si="21"/>
        <v>3.5734598006704088E-2</v>
      </c>
    </row>
    <row r="1368" spans="2:4" x14ac:dyDescent="0.35">
      <c r="B1368" s="314">
        <v>43606</v>
      </c>
      <c r="C1368" s="315">
        <v>33442.1</v>
      </c>
      <c r="D1368" s="317">
        <f t="shared" si="21"/>
        <v>5.7611094436360588E-3</v>
      </c>
    </row>
    <row r="1369" spans="2:4" x14ac:dyDescent="0.35">
      <c r="B1369" s="314">
        <v>43605</v>
      </c>
      <c r="C1369" s="315">
        <v>33250.54</v>
      </c>
      <c r="D1369" s="317">
        <f t="shared" si="21"/>
        <v>2.5302548164389815E-3</v>
      </c>
    </row>
    <row r="1370" spans="2:4" x14ac:dyDescent="0.35">
      <c r="B1370" s="314">
        <v>43602</v>
      </c>
      <c r="C1370" s="315">
        <v>33166.620000000003</v>
      </c>
      <c r="D1370" s="317">
        <f t="shared" si="21"/>
        <v>-2.3681880373682129E-2</v>
      </c>
    </row>
    <row r="1371" spans="2:4" x14ac:dyDescent="0.35">
      <c r="B1371" s="314">
        <v>43601</v>
      </c>
      <c r="C1371" s="315">
        <v>33971.120000000003</v>
      </c>
      <c r="D1371" s="317">
        <f t="shared" si="21"/>
        <v>-9.3471734372653215E-3</v>
      </c>
    </row>
    <row r="1372" spans="2:4" x14ac:dyDescent="0.35">
      <c r="B1372" s="314">
        <v>43600</v>
      </c>
      <c r="C1372" s="315">
        <v>34291.65</v>
      </c>
      <c r="D1372" s="317">
        <f t="shared" si="21"/>
        <v>1.1998197437280034E-2</v>
      </c>
    </row>
    <row r="1373" spans="2:4" x14ac:dyDescent="0.35">
      <c r="B1373" s="314">
        <v>43599</v>
      </c>
      <c r="C1373" s="315">
        <v>33885.089999999997</v>
      </c>
      <c r="D1373" s="317">
        <f t="shared" si="21"/>
        <v>-4.5102739261337899E-4</v>
      </c>
    </row>
    <row r="1374" spans="2:4" x14ac:dyDescent="0.35">
      <c r="B1374" s="314">
        <v>43598</v>
      </c>
      <c r="C1374" s="315">
        <v>33900.379999999997</v>
      </c>
      <c r="D1374" s="317">
        <f t="shared" si="21"/>
        <v>-2.3508973967156344E-2</v>
      </c>
    </row>
    <row r="1375" spans="2:4" x14ac:dyDescent="0.35">
      <c r="B1375" s="314">
        <v>43595</v>
      </c>
      <c r="C1375" s="315">
        <v>34716.53</v>
      </c>
      <c r="D1375" s="317">
        <f t="shared" si="21"/>
        <v>-4.9046023176116949E-3</v>
      </c>
    </row>
    <row r="1376" spans="2:4" x14ac:dyDescent="0.35">
      <c r="B1376" s="314">
        <v>43594</v>
      </c>
      <c r="C1376" s="315">
        <v>34887.64</v>
      </c>
      <c r="D1376" s="317">
        <f t="shared" si="21"/>
        <v>-4.2069323188819174E-3</v>
      </c>
    </row>
    <row r="1377" spans="2:4" x14ac:dyDescent="0.35">
      <c r="B1377" s="314">
        <v>43593</v>
      </c>
      <c r="C1377" s="315">
        <v>35035.03</v>
      </c>
      <c r="D1377" s="317">
        <f t="shared" si="21"/>
        <v>-1.6727821176243385E-2</v>
      </c>
    </row>
    <row r="1378" spans="2:4" x14ac:dyDescent="0.35">
      <c r="B1378" s="314">
        <v>43592</v>
      </c>
      <c r="C1378" s="315">
        <v>35631.06</v>
      </c>
      <c r="D1378" s="317">
        <f t="shared" si="21"/>
        <v>7.2011508360247944E-4</v>
      </c>
    </row>
    <row r="1379" spans="2:4" x14ac:dyDescent="0.35">
      <c r="B1379" s="314">
        <v>43591</v>
      </c>
      <c r="C1379" s="315">
        <v>35605.42</v>
      </c>
      <c r="D1379" s="317">
        <f t="shared" si="21"/>
        <v>-1.432690297996142E-2</v>
      </c>
    </row>
    <row r="1380" spans="2:4" x14ac:dyDescent="0.35">
      <c r="B1380" s="314">
        <v>43588</v>
      </c>
      <c r="C1380" s="315">
        <v>36122.949999999997</v>
      </c>
      <c r="D1380" s="317">
        <f t="shared" si="21"/>
        <v>-1.1619905312601708E-2</v>
      </c>
    </row>
    <row r="1381" spans="2:4" x14ac:dyDescent="0.35">
      <c r="B1381" s="314">
        <v>43587</v>
      </c>
      <c r="C1381" s="315">
        <v>36547.629999999997</v>
      </c>
      <c r="D1381" s="317">
        <f t="shared" si="21"/>
        <v>-6.4377764076333222E-3</v>
      </c>
    </row>
    <row r="1382" spans="2:4" x14ac:dyDescent="0.35">
      <c r="B1382" s="314">
        <v>43585</v>
      </c>
      <c r="C1382" s="315">
        <v>36784.44</v>
      </c>
      <c r="D1382" s="317">
        <f t="shared" si="21"/>
        <v>-6.5313087167568895E-3</v>
      </c>
    </row>
    <row r="1383" spans="2:4" x14ac:dyDescent="0.35">
      <c r="B1383" s="314">
        <v>43584</v>
      </c>
      <c r="C1383" s="315">
        <v>37026.269999999997</v>
      </c>
      <c r="D1383" s="317">
        <f t="shared" si="21"/>
        <v>-2.8106175413668E-3</v>
      </c>
    </row>
    <row r="1384" spans="2:4" x14ac:dyDescent="0.35">
      <c r="B1384" s="314">
        <v>43581</v>
      </c>
      <c r="C1384" s="315">
        <v>37130.629999999997</v>
      </c>
      <c r="D1384" s="317">
        <f t="shared" si="21"/>
        <v>9.093372301305358E-3</v>
      </c>
    </row>
    <row r="1385" spans="2:4" x14ac:dyDescent="0.35">
      <c r="B1385" s="314">
        <v>43580</v>
      </c>
      <c r="C1385" s="315">
        <v>36796.03</v>
      </c>
      <c r="D1385" s="317">
        <f t="shared" si="21"/>
        <v>7.9930419060794122E-3</v>
      </c>
    </row>
    <row r="1386" spans="2:4" x14ac:dyDescent="0.35">
      <c r="B1386" s="314">
        <v>43579</v>
      </c>
      <c r="C1386" s="315">
        <v>36504.25</v>
      </c>
      <c r="D1386" s="317">
        <f t="shared" si="21"/>
        <v>2.752991907764013E-3</v>
      </c>
    </row>
    <row r="1387" spans="2:4" x14ac:dyDescent="0.35">
      <c r="B1387" s="314">
        <v>43578</v>
      </c>
      <c r="C1387" s="315">
        <v>36404.03</v>
      </c>
      <c r="D1387" s="317">
        <f t="shared" si="21"/>
        <v>-1.3486103210991196E-2</v>
      </c>
    </row>
    <row r="1388" spans="2:4" x14ac:dyDescent="0.35">
      <c r="B1388" s="314">
        <v>43577</v>
      </c>
      <c r="C1388" s="315">
        <v>36901.69</v>
      </c>
      <c r="D1388" s="317">
        <f t="shared" si="21"/>
        <v>-1.0478791026713896E-2</v>
      </c>
    </row>
    <row r="1389" spans="2:4" x14ac:dyDescent="0.35">
      <c r="B1389" s="314">
        <v>43574</v>
      </c>
      <c r="C1389" s="315">
        <v>37292.47</v>
      </c>
      <c r="D1389" s="317">
        <f t="shared" si="21"/>
        <v>1.305584667550086E-2</v>
      </c>
    </row>
    <row r="1390" spans="2:4" x14ac:dyDescent="0.35">
      <c r="B1390" s="314">
        <v>43573</v>
      </c>
      <c r="C1390" s="315">
        <v>36811.86</v>
      </c>
      <c r="D1390" s="317">
        <f t="shared" si="21"/>
        <v>1.6132205176400127E-3</v>
      </c>
    </row>
    <row r="1391" spans="2:4" x14ac:dyDescent="0.35">
      <c r="B1391" s="314">
        <v>43572</v>
      </c>
      <c r="C1391" s="315">
        <v>36752.57</v>
      </c>
      <c r="D1391" s="317">
        <f t="shared" si="21"/>
        <v>-1.6836467867513583E-2</v>
      </c>
    </row>
    <row r="1392" spans="2:4" x14ac:dyDescent="0.35">
      <c r="B1392" s="314">
        <v>43571</v>
      </c>
      <c r="C1392" s="315">
        <v>37381.949999999997</v>
      </c>
      <c r="D1392" s="317">
        <f t="shared" si="21"/>
        <v>-3.2564456987080881E-3</v>
      </c>
    </row>
    <row r="1393" spans="2:4" x14ac:dyDescent="0.35">
      <c r="B1393" s="314">
        <v>43570</v>
      </c>
      <c r="C1393" s="315">
        <v>37504.080000000002</v>
      </c>
      <c r="D1393" s="317">
        <f t="shared" si="21"/>
        <v>4.4515126331523547E-3</v>
      </c>
    </row>
    <row r="1394" spans="2:4" x14ac:dyDescent="0.35">
      <c r="B1394" s="314">
        <v>43567</v>
      </c>
      <c r="C1394" s="315">
        <v>37337.870000000003</v>
      </c>
      <c r="D1394" s="317">
        <f t="shared" si="21"/>
        <v>1.4956925750061689E-2</v>
      </c>
    </row>
    <row r="1395" spans="2:4" x14ac:dyDescent="0.35">
      <c r="B1395" s="314">
        <v>43566</v>
      </c>
      <c r="C1395" s="315">
        <v>36787.64</v>
      </c>
      <c r="D1395" s="317">
        <f t="shared" si="21"/>
        <v>5.6950211212236646E-3</v>
      </c>
    </row>
    <row r="1396" spans="2:4" x14ac:dyDescent="0.35">
      <c r="B1396" s="314">
        <v>43565</v>
      </c>
      <c r="C1396" s="315">
        <v>36579.32</v>
      </c>
      <c r="D1396" s="317">
        <f t="shared" si="21"/>
        <v>-1.4830337864533694E-2</v>
      </c>
    </row>
    <row r="1397" spans="2:4" x14ac:dyDescent="0.35">
      <c r="B1397" s="314">
        <v>43564</v>
      </c>
      <c r="C1397" s="315">
        <v>37129.97</v>
      </c>
      <c r="D1397" s="317">
        <f t="shared" si="21"/>
        <v>5.6351364271240989E-3</v>
      </c>
    </row>
    <row r="1398" spans="2:4" x14ac:dyDescent="0.35">
      <c r="B1398" s="314">
        <v>43563</v>
      </c>
      <c r="C1398" s="315">
        <v>36921.910000000003</v>
      </c>
      <c r="D1398" s="317">
        <f t="shared" si="21"/>
        <v>-1.5988034692356101E-2</v>
      </c>
    </row>
    <row r="1399" spans="2:4" x14ac:dyDescent="0.35">
      <c r="B1399" s="314">
        <v>43560</v>
      </c>
      <c r="C1399" s="315">
        <v>37521.81</v>
      </c>
      <c r="D1399" s="317">
        <f t="shared" si="21"/>
        <v>1.5193472884034165E-4</v>
      </c>
    </row>
    <row r="1400" spans="2:4" x14ac:dyDescent="0.35">
      <c r="B1400" s="314">
        <v>43559</v>
      </c>
      <c r="C1400" s="315">
        <v>37516.11</v>
      </c>
      <c r="D1400" s="317">
        <f t="shared" si="21"/>
        <v>-1.332595179734275E-2</v>
      </c>
    </row>
    <row r="1401" spans="2:4" x14ac:dyDescent="0.35">
      <c r="B1401" s="314">
        <v>43558</v>
      </c>
      <c r="C1401" s="315">
        <v>38022.800000000003</v>
      </c>
      <c r="D1401" s="317">
        <f t="shared" si="21"/>
        <v>-3.4782809877886844E-4</v>
      </c>
    </row>
    <row r="1402" spans="2:4" x14ac:dyDescent="0.35">
      <c r="B1402" s="314">
        <v>43557</v>
      </c>
      <c r="C1402" s="315">
        <v>38036.03</v>
      </c>
      <c r="D1402" s="317">
        <f t="shared" si="21"/>
        <v>-8.3123777045145397E-3</v>
      </c>
    </row>
    <row r="1403" spans="2:4" x14ac:dyDescent="0.35">
      <c r="B1403" s="314">
        <v>43556</v>
      </c>
      <c r="C1403" s="315">
        <v>38354.85</v>
      </c>
      <c r="D1403" s="317">
        <f t="shared" si="21"/>
        <v>-7.6195350295761299E-3</v>
      </c>
    </row>
    <row r="1404" spans="2:4" x14ac:dyDescent="0.35">
      <c r="B1404" s="314">
        <v>43553</v>
      </c>
      <c r="C1404" s="315">
        <v>38649.339999999997</v>
      </c>
      <c r="D1404" s="317">
        <f t="shared" si="21"/>
        <v>2.500197779936375E-3</v>
      </c>
    </row>
    <row r="1405" spans="2:4" x14ac:dyDescent="0.35">
      <c r="B1405" s="314">
        <v>43552</v>
      </c>
      <c r="C1405" s="315">
        <v>38552.949999999997</v>
      </c>
      <c r="D1405" s="317">
        <f t="shared" si="21"/>
        <v>-1.0575128814287571E-2</v>
      </c>
    </row>
    <row r="1406" spans="2:4" x14ac:dyDescent="0.35">
      <c r="B1406" s="314">
        <v>43551</v>
      </c>
      <c r="C1406" s="315">
        <v>38965.01</v>
      </c>
      <c r="D1406" s="317">
        <f t="shared" si="21"/>
        <v>1.658999304184583E-2</v>
      </c>
    </row>
    <row r="1407" spans="2:4" x14ac:dyDescent="0.35">
      <c r="B1407" s="314">
        <v>43550</v>
      </c>
      <c r="C1407" s="315">
        <v>38329.129999999997</v>
      </c>
      <c r="D1407" s="317">
        <f t="shared" si="21"/>
        <v>5.2577247666190097E-3</v>
      </c>
    </row>
    <row r="1408" spans="2:4" x14ac:dyDescent="0.35">
      <c r="B1408" s="314">
        <v>43549</v>
      </c>
      <c r="C1408" s="315">
        <v>38128.660000000003</v>
      </c>
      <c r="D1408" s="317">
        <f t="shared" si="21"/>
        <v>-1.0464324726518592E-2</v>
      </c>
    </row>
    <row r="1409" spans="2:4" x14ac:dyDescent="0.35">
      <c r="B1409" s="314">
        <v>43546</v>
      </c>
      <c r="C1409" s="315">
        <v>38531.870000000003</v>
      </c>
      <c r="D1409" s="317">
        <f t="shared" si="21"/>
        <v>3.8338182052177761E-3</v>
      </c>
    </row>
    <row r="1410" spans="2:4" x14ac:dyDescent="0.35">
      <c r="B1410" s="314">
        <v>43545</v>
      </c>
      <c r="C1410" s="315">
        <v>38384.71</v>
      </c>
      <c r="D1410" s="317">
        <f t="shared" si="21"/>
        <v>-4.2298177637301038E-3</v>
      </c>
    </row>
    <row r="1411" spans="2:4" x14ac:dyDescent="0.35">
      <c r="B1411" s="314">
        <v>43544</v>
      </c>
      <c r="C1411" s="315">
        <v>38547.760000000002</v>
      </c>
      <c r="D1411" s="317">
        <f t="shared" si="21"/>
        <v>-1.6732979612492649E-3</v>
      </c>
    </row>
    <row r="1412" spans="2:4" x14ac:dyDescent="0.35">
      <c r="B1412" s="314">
        <v>43543</v>
      </c>
      <c r="C1412" s="315">
        <v>38612.370000000003</v>
      </c>
      <c r="D1412" s="317">
        <f t="shared" ref="D1412:D1475" si="22">(C1412/C1413)-1</f>
        <v>-6.1664858520613652E-3</v>
      </c>
    </row>
    <row r="1413" spans="2:4" x14ac:dyDescent="0.35">
      <c r="B1413" s="314">
        <v>43542</v>
      </c>
      <c r="C1413" s="315">
        <v>38851.949999999997</v>
      </c>
      <c r="D1413" s="317">
        <f t="shared" si="22"/>
        <v>1.4227183317909731E-2</v>
      </c>
    </row>
    <row r="1414" spans="2:4" x14ac:dyDescent="0.35">
      <c r="B1414" s="314">
        <v>43539</v>
      </c>
      <c r="C1414" s="315">
        <v>38306.949999999997</v>
      </c>
      <c r="D1414" s="317">
        <f t="shared" si="22"/>
        <v>-1.2926512956789815E-2</v>
      </c>
    </row>
    <row r="1415" spans="2:4" x14ac:dyDescent="0.35">
      <c r="B1415" s="314">
        <v>43538</v>
      </c>
      <c r="C1415" s="315">
        <v>38808.61</v>
      </c>
      <c r="D1415" s="317">
        <f t="shared" si="22"/>
        <v>-3.0907605218021272E-3</v>
      </c>
    </row>
    <row r="1416" spans="2:4" x14ac:dyDescent="0.35">
      <c r="B1416" s="314">
        <v>43537</v>
      </c>
      <c r="C1416" s="315">
        <v>38928.93</v>
      </c>
      <c r="D1416" s="317">
        <f t="shared" si="22"/>
        <v>8.3400841566949602E-4</v>
      </c>
    </row>
    <row r="1417" spans="2:4" x14ac:dyDescent="0.35">
      <c r="B1417" s="314">
        <v>43536</v>
      </c>
      <c r="C1417" s="315">
        <v>38896.49</v>
      </c>
      <c r="D1417" s="317">
        <f t="shared" si="22"/>
        <v>-7.0958590960723544E-4</v>
      </c>
    </row>
    <row r="1418" spans="2:4" x14ac:dyDescent="0.35">
      <c r="B1418" s="314">
        <v>43535</v>
      </c>
      <c r="C1418" s="315">
        <v>38924.11</v>
      </c>
      <c r="D1418" s="317">
        <f t="shared" si="22"/>
        <v>-6.7059937771873912E-4</v>
      </c>
    </row>
    <row r="1419" spans="2:4" x14ac:dyDescent="0.35">
      <c r="B1419" s="314">
        <v>43532</v>
      </c>
      <c r="C1419" s="315">
        <v>38950.230000000003</v>
      </c>
      <c r="D1419" s="317">
        <f t="shared" si="22"/>
        <v>-8.7511865649040343E-3</v>
      </c>
    </row>
    <row r="1420" spans="2:4" x14ac:dyDescent="0.35">
      <c r="B1420" s="314">
        <v>43531</v>
      </c>
      <c r="C1420" s="315">
        <v>39294.1</v>
      </c>
      <c r="D1420" s="317">
        <f t="shared" si="22"/>
        <v>-6.9247702063025551E-3</v>
      </c>
    </row>
    <row r="1421" spans="2:4" x14ac:dyDescent="0.35">
      <c r="B1421" s="314">
        <v>43530</v>
      </c>
      <c r="C1421" s="315">
        <v>39568.1</v>
      </c>
      <c r="D1421" s="317">
        <f t="shared" si="22"/>
        <v>-3.0338755473562351E-3</v>
      </c>
    </row>
    <row r="1422" spans="2:4" x14ac:dyDescent="0.35">
      <c r="B1422" s="314">
        <v>43529</v>
      </c>
      <c r="C1422" s="315">
        <v>39688.51</v>
      </c>
      <c r="D1422" s="317">
        <f t="shared" si="22"/>
        <v>-1.5403874339805501E-3</v>
      </c>
    </row>
    <row r="1423" spans="2:4" x14ac:dyDescent="0.35">
      <c r="B1423" s="314">
        <v>43528</v>
      </c>
      <c r="C1423" s="315">
        <v>39749.74</v>
      </c>
      <c r="D1423" s="317">
        <f t="shared" si="22"/>
        <v>5.3296731506426998E-3</v>
      </c>
    </row>
    <row r="1424" spans="2:4" x14ac:dyDescent="0.35">
      <c r="B1424" s="314">
        <v>43525</v>
      </c>
      <c r="C1424" s="315">
        <v>39539.01</v>
      </c>
      <c r="D1424" s="317">
        <f t="shared" si="22"/>
        <v>1.240340446451893E-2</v>
      </c>
    </row>
    <row r="1425" spans="2:4" x14ac:dyDescent="0.35">
      <c r="B1425" s="314">
        <v>43524</v>
      </c>
      <c r="C1425" s="315">
        <v>39054.6</v>
      </c>
      <c r="D1425" s="317">
        <f t="shared" si="22"/>
        <v>9.3534463486513175E-3</v>
      </c>
    </row>
    <row r="1426" spans="2:4" x14ac:dyDescent="0.35">
      <c r="B1426" s="314">
        <v>43523</v>
      </c>
      <c r="C1426" s="315">
        <v>38692.69</v>
      </c>
      <c r="D1426" s="317">
        <f t="shared" si="22"/>
        <v>-3.3223712426589946E-3</v>
      </c>
    </row>
    <row r="1427" spans="2:4" x14ac:dyDescent="0.35">
      <c r="B1427" s="314">
        <v>43522</v>
      </c>
      <c r="C1427" s="315">
        <v>38821.67</v>
      </c>
      <c r="D1427" s="317">
        <f t="shared" si="22"/>
        <v>-1.9822863705945437E-2</v>
      </c>
    </row>
    <row r="1428" spans="2:4" x14ac:dyDescent="0.35">
      <c r="B1428" s="314">
        <v>43521</v>
      </c>
      <c r="C1428" s="315">
        <v>39606.79</v>
      </c>
      <c r="D1428" s="317">
        <f t="shared" si="22"/>
        <v>-1.0229375004529362E-2</v>
      </c>
    </row>
    <row r="1429" spans="2:4" x14ac:dyDescent="0.35">
      <c r="B1429" s="314">
        <v>43518</v>
      </c>
      <c r="C1429" s="315">
        <v>40016.129999999997</v>
      </c>
      <c r="D1429" s="317">
        <f t="shared" si="22"/>
        <v>-1.3620921615814519E-3</v>
      </c>
    </row>
    <row r="1430" spans="2:4" x14ac:dyDescent="0.35">
      <c r="B1430" s="314">
        <v>43517</v>
      </c>
      <c r="C1430" s="315">
        <v>40070.71</v>
      </c>
      <c r="D1430" s="317">
        <f t="shared" si="22"/>
        <v>-5.1805663344370867E-3</v>
      </c>
    </row>
    <row r="1431" spans="2:4" x14ac:dyDescent="0.35">
      <c r="B1431" s="314">
        <v>43516</v>
      </c>
      <c r="C1431" s="315">
        <v>40279.379999999997</v>
      </c>
      <c r="D1431" s="317">
        <f t="shared" si="22"/>
        <v>8.0664072716041257E-3</v>
      </c>
    </row>
    <row r="1432" spans="2:4" x14ac:dyDescent="0.35">
      <c r="B1432" s="314">
        <v>43515</v>
      </c>
      <c r="C1432" s="315">
        <v>39957.07</v>
      </c>
      <c r="D1432" s="317">
        <f t="shared" si="22"/>
        <v>-6.5242033273934519E-3</v>
      </c>
    </row>
    <row r="1433" spans="2:4" x14ac:dyDescent="0.35">
      <c r="B1433" s="314">
        <v>43514</v>
      </c>
      <c r="C1433" s="315">
        <v>40219.47</v>
      </c>
      <c r="D1433" s="317">
        <f t="shared" si="22"/>
        <v>-6.5997030627610309E-3</v>
      </c>
    </row>
    <row r="1434" spans="2:4" x14ac:dyDescent="0.35">
      <c r="B1434" s="314">
        <v>43511</v>
      </c>
      <c r="C1434" s="315">
        <v>40486.67</v>
      </c>
      <c r="D1434" s="317">
        <f t="shared" si="22"/>
        <v>-5.0139506820812141E-4</v>
      </c>
    </row>
    <row r="1435" spans="2:4" x14ac:dyDescent="0.35">
      <c r="B1435" s="314">
        <v>43510</v>
      </c>
      <c r="C1435" s="315">
        <v>40506.980000000003</v>
      </c>
      <c r="D1435" s="317">
        <f t="shared" si="22"/>
        <v>-9.1579270083863573E-4</v>
      </c>
    </row>
    <row r="1436" spans="2:4" x14ac:dyDescent="0.35">
      <c r="B1436" s="314">
        <v>43509</v>
      </c>
      <c r="C1436" s="315">
        <v>40544.11</v>
      </c>
      <c r="D1436" s="317">
        <f t="shared" si="22"/>
        <v>-1.2850931169062774E-3</v>
      </c>
    </row>
    <row r="1437" spans="2:4" x14ac:dyDescent="0.35">
      <c r="B1437" s="314">
        <v>43508</v>
      </c>
      <c r="C1437" s="315">
        <v>40596.28</v>
      </c>
      <c r="D1437" s="317">
        <f t="shared" si="22"/>
        <v>6.6891448383978869E-3</v>
      </c>
    </row>
    <row r="1438" spans="2:4" x14ac:dyDescent="0.35">
      <c r="B1438" s="314">
        <v>43507</v>
      </c>
      <c r="C1438" s="315">
        <v>40326.53</v>
      </c>
      <c r="D1438" s="317">
        <f t="shared" si="22"/>
        <v>-1.3716222743709205E-2</v>
      </c>
    </row>
    <row r="1439" spans="2:4" x14ac:dyDescent="0.35">
      <c r="B1439" s="314">
        <v>43504</v>
      </c>
      <c r="C1439" s="315">
        <v>40887.35</v>
      </c>
      <c r="D1439" s="317">
        <f t="shared" si="22"/>
        <v>-1.0775958531672902E-2</v>
      </c>
    </row>
    <row r="1440" spans="2:4" x14ac:dyDescent="0.35">
      <c r="B1440" s="314">
        <v>43503</v>
      </c>
      <c r="C1440" s="315">
        <v>41332.75</v>
      </c>
      <c r="D1440" s="317">
        <f t="shared" si="22"/>
        <v>-4.1664177047575635E-3</v>
      </c>
    </row>
    <row r="1441" spans="2:4" x14ac:dyDescent="0.35">
      <c r="B1441" s="314">
        <v>43502</v>
      </c>
      <c r="C1441" s="315">
        <v>41505.68</v>
      </c>
      <c r="D1441" s="317">
        <f t="shared" si="22"/>
        <v>-2.6123175180507996E-3</v>
      </c>
    </row>
    <row r="1442" spans="2:4" x14ac:dyDescent="0.35">
      <c r="B1442" s="314">
        <v>43500</v>
      </c>
      <c r="C1442" s="315">
        <v>41614.39</v>
      </c>
      <c r="D1442" s="317">
        <f t="shared" si="22"/>
        <v>1.2202552446676451E-2</v>
      </c>
    </row>
    <row r="1443" spans="2:4" x14ac:dyDescent="0.35">
      <c r="B1443" s="314">
        <v>43497</v>
      </c>
      <c r="C1443" s="315">
        <v>41112.71</v>
      </c>
      <c r="D1443" s="317">
        <f t="shared" si="22"/>
        <v>7.6763157997938869E-3</v>
      </c>
    </row>
    <row r="1444" spans="2:4" x14ac:dyDescent="0.35">
      <c r="B1444" s="314">
        <v>43496</v>
      </c>
      <c r="C1444" s="315">
        <v>40799.519999999997</v>
      </c>
      <c r="D1444" s="317">
        <f t="shared" si="22"/>
        <v>4.738085340698639E-3</v>
      </c>
    </row>
    <row r="1445" spans="2:4" x14ac:dyDescent="0.35">
      <c r="B1445" s="314">
        <v>43495</v>
      </c>
      <c r="C1445" s="315">
        <v>40607.120000000003</v>
      </c>
      <c r="D1445" s="317">
        <f t="shared" si="22"/>
        <v>-4.2511407555900771E-4</v>
      </c>
    </row>
    <row r="1446" spans="2:4" x14ac:dyDescent="0.35">
      <c r="B1446" s="314">
        <v>43494</v>
      </c>
      <c r="C1446" s="315">
        <v>40624.39</v>
      </c>
      <c r="D1446" s="317">
        <f t="shared" si="22"/>
        <v>5.054417246473264E-3</v>
      </c>
    </row>
    <row r="1447" spans="2:4" x14ac:dyDescent="0.35">
      <c r="B1447" s="314">
        <v>43493</v>
      </c>
      <c r="C1447" s="315">
        <v>40420.089999999997</v>
      </c>
      <c r="D1447" s="317">
        <f t="shared" si="22"/>
        <v>3.8572171510684594E-3</v>
      </c>
    </row>
    <row r="1448" spans="2:4" x14ac:dyDescent="0.35">
      <c r="B1448" s="314">
        <v>43490</v>
      </c>
      <c r="C1448" s="315">
        <v>40264.78</v>
      </c>
      <c r="D1448" s="317">
        <f t="shared" si="22"/>
        <v>-6.0512554741787294E-4</v>
      </c>
    </row>
    <row r="1449" spans="2:4" x14ac:dyDescent="0.35">
      <c r="B1449" s="314">
        <v>43489</v>
      </c>
      <c r="C1449" s="315">
        <v>40289.160000000003</v>
      </c>
      <c r="D1449" s="317">
        <f t="shared" si="22"/>
        <v>5.7743987757705728E-3</v>
      </c>
    </row>
    <row r="1450" spans="2:4" x14ac:dyDescent="0.35">
      <c r="B1450" s="314">
        <v>43488</v>
      </c>
      <c r="C1450" s="315">
        <v>40057.85</v>
      </c>
      <c r="D1450" s="317">
        <f t="shared" si="22"/>
        <v>3.9005358349826214E-3</v>
      </c>
    </row>
    <row r="1451" spans="2:4" x14ac:dyDescent="0.35">
      <c r="B1451" s="314">
        <v>43487</v>
      </c>
      <c r="C1451" s="315">
        <v>39902.21</v>
      </c>
      <c r="D1451" s="317">
        <f t="shared" si="22"/>
        <v>9.0643861220112143E-3</v>
      </c>
    </row>
    <row r="1452" spans="2:4" x14ac:dyDescent="0.35">
      <c r="B1452" s="314">
        <v>43486</v>
      </c>
      <c r="C1452" s="315">
        <v>39543.769999999997</v>
      </c>
      <c r="D1452" s="317">
        <f t="shared" si="22"/>
        <v>6.0364061923598999E-3</v>
      </c>
    </row>
    <row r="1453" spans="2:4" x14ac:dyDescent="0.35">
      <c r="B1453" s="314">
        <v>43483</v>
      </c>
      <c r="C1453" s="315">
        <v>39306.5</v>
      </c>
      <c r="D1453" s="317">
        <f t="shared" si="22"/>
        <v>1.5954075908377607E-3</v>
      </c>
    </row>
    <row r="1454" spans="2:4" x14ac:dyDescent="0.35">
      <c r="B1454" s="314">
        <v>43482</v>
      </c>
      <c r="C1454" s="315">
        <v>39243.89</v>
      </c>
      <c r="D1454" s="317">
        <f t="shared" si="22"/>
        <v>-7.142504291869356E-4</v>
      </c>
    </row>
    <row r="1455" spans="2:4" x14ac:dyDescent="0.35">
      <c r="B1455" s="314">
        <v>43481</v>
      </c>
      <c r="C1455" s="315">
        <v>39271.94</v>
      </c>
      <c r="D1455" s="317">
        <f t="shared" si="22"/>
        <v>-8.6390804098633867E-3</v>
      </c>
    </row>
    <row r="1456" spans="2:4" x14ac:dyDescent="0.35">
      <c r="B1456" s="314">
        <v>43480</v>
      </c>
      <c r="C1456" s="315">
        <v>39614.17</v>
      </c>
      <c r="D1456" s="317">
        <f t="shared" si="22"/>
        <v>5.1156294124585777E-3</v>
      </c>
    </row>
    <row r="1457" spans="2:4" x14ac:dyDescent="0.35">
      <c r="B1457" s="314">
        <v>43479</v>
      </c>
      <c r="C1457" s="315">
        <v>39412.550000000003</v>
      </c>
      <c r="D1457" s="317">
        <f t="shared" si="22"/>
        <v>9.3080297922512045E-3</v>
      </c>
    </row>
    <row r="1458" spans="2:4" x14ac:dyDescent="0.35">
      <c r="B1458" s="314">
        <v>43476</v>
      </c>
      <c r="C1458" s="315">
        <v>39049.08</v>
      </c>
      <c r="D1458" s="317">
        <f t="shared" si="22"/>
        <v>-1.0539704499429314E-3</v>
      </c>
    </row>
    <row r="1459" spans="2:4" x14ac:dyDescent="0.35">
      <c r="B1459" s="314">
        <v>43475</v>
      </c>
      <c r="C1459" s="315">
        <v>39090.28</v>
      </c>
      <c r="D1459" s="317">
        <f t="shared" si="22"/>
        <v>4.3315179787926095E-3</v>
      </c>
    </row>
    <row r="1460" spans="2:4" x14ac:dyDescent="0.35">
      <c r="B1460" s="314">
        <v>43474</v>
      </c>
      <c r="C1460" s="315">
        <v>38921.69</v>
      </c>
      <c r="D1460" s="317">
        <f t="shared" si="22"/>
        <v>-3.3495934959348883E-3</v>
      </c>
    </row>
    <row r="1461" spans="2:4" x14ac:dyDescent="0.35">
      <c r="B1461" s="314">
        <v>43473</v>
      </c>
      <c r="C1461" s="315">
        <v>39052.5</v>
      </c>
      <c r="D1461" s="317">
        <f t="shared" si="22"/>
        <v>1.2709271207186346E-2</v>
      </c>
    </row>
    <row r="1462" spans="2:4" x14ac:dyDescent="0.35">
      <c r="B1462" s="314">
        <v>43472</v>
      </c>
      <c r="C1462" s="315">
        <v>38562.400000000001</v>
      </c>
      <c r="D1462" s="317">
        <f t="shared" si="22"/>
        <v>2.7030035829292531E-2</v>
      </c>
    </row>
    <row r="1463" spans="2:4" x14ac:dyDescent="0.35">
      <c r="B1463" s="314">
        <v>43469</v>
      </c>
      <c r="C1463" s="315">
        <v>37547.49</v>
      </c>
      <c r="D1463" s="317">
        <f t="shared" si="22"/>
        <v>1.4596980822267902E-4</v>
      </c>
    </row>
    <row r="1464" spans="2:4" x14ac:dyDescent="0.35">
      <c r="B1464" s="314">
        <v>43468</v>
      </c>
      <c r="C1464" s="315">
        <v>37542.01</v>
      </c>
      <c r="D1464" s="317">
        <f t="shared" si="22"/>
        <v>-6.7003128700034997E-3</v>
      </c>
    </row>
    <row r="1465" spans="2:4" x14ac:dyDescent="0.35">
      <c r="B1465" s="314">
        <v>43467</v>
      </c>
      <c r="C1465" s="315">
        <v>37795.25</v>
      </c>
      <c r="D1465" s="317">
        <f t="shared" si="22"/>
        <v>-5.2771677681930917E-3</v>
      </c>
    </row>
    <row r="1466" spans="2:4" x14ac:dyDescent="0.35">
      <c r="B1466" s="314">
        <v>43466</v>
      </c>
      <c r="C1466" s="315">
        <v>37995.760000000002</v>
      </c>
      <c r="D1466" s="317">
        <f t="shared" si="22"/>
        <v>2.5065375443761306E-2</v>
      </c>
    </row>
    <row r="1467" spans="2:4" x14ac:dyDescent="0.35">
      <c r="B1467" s="314">
        <v>43465</v>
      </c>
      <c r="C1467" s="315">
        <v>37066.67</v>
      </c>
      <c r="D1467" s="317">
        <f t="shared" si="22"/>
        <v>-2.6999743320825775E-3</v>
      </c>
    </row>
    <row r="1468" spans="2:4" x14ac:dyDescent="0.35">
      <c r="B1468" s="314">
        <v>43462</v>
      </c>
      <c r="C1468" s="315">
        <v>37167.019999999997</v>
      </c>
      <c r="D1468" s="317">
        <f t="shared" si="22"/>
        <v>-1.813699474052255E-2</v>
      </c>
    </row>
    <row r="1469" spans="2:4" x14ac:dyDescent="0.35">
      <c r="B1469" s="314">
        <v>43461</v>
      </c>
      <c r="C1469" s="315">
        <v>37853.57</v>
      </c>
      <c r="D1469" s="317">
        <f t="shared" si="22"/>
        <v>-9.5373732896506525E-3</v>
      </c>
    </row>
    <row r="1470" spans="2:4" x14ac:dyDescent="0.35">
      <c r="B1470" s="314">
        <v>43460</v>
      </c>
      <c r="C1470" s="315">
        <v>38218.07</v>
      </c>
      <c r="D1470" s="317">
        <f t="shared" si="22"/>
        <v>-2.3715103427608408E-3</v>
      </c>
    </row>
    <row r="1471" spans="2:4" x14ac:dyDescent="0.35">
      <c r="B1471" s="314">
        <v>43458</v>
      </c>
      <c r="C1471" s="315">
        <v>38308.92</v>
      </c>
      <c r="D1471" s="317">
        <f t="shared" si="22"/>
        <v>1.5131614722108111E-3</v>
      </c>
    </row>
    <row r="1472" spans="2:4" x14ac:dyDescent="0.35">
      <c r="B1472" s="314">
        <v>43455</v>
      </c>
      <c r="C1472" s="315">
        <v>38251.040000000001</v>
      </c>
      <c r="D1472" s="317">
        <f t="shared" si="22"/>
        <v>3.7974167105181422E-4</v>
      </c>
    </row>
    <row r="1473" spans="2:4" x14ac:dyDescent="0.35">
      <c r="B1473" s="314">
        <v>43454</v>
      </c>
      <c r="C1473" s="315">
        <v>38236.519999999997</v>
      </c>
      <c r="D1473" s="317">
        <f t="shared" si="22"/>
        <v>4.5547990641865432E-3</v>
      </c>
    </row>
    <row r="1474" spans="2:4" x14ac:dyDescent="0.35">
      <c r="B1474" s="314">
        <v>43453</v>
      </c>
      <c r="C1474" s="315">
        <v>38063.15</v>
      </c>
      <c r="D1474" s="317">
        <f t="shared" si="22"/>
        <v>-1.3815789301079295E-3</v>
      </c>
    </row>
    <row r="1475" spans="2:4" x14ac:dyDescent="0.35">
      <c r="B1475" s="314">
        <v>43452</v>
      </c>
      <c r="C1475" s="315">
        <v>38115.81</v>
      </c>
      <c r="D1475" s="317">
        <f t="shared" si="22"/>
        <v>-5.0473555026120387E-3</v>
      </c>
    </row>
    <row r="1476" spans="2:4" x14ac:dyDescent="0.35">
      <c r="B1476" s="314">
        <v>43451</v>
      </c>
      <c r="C1476" s="315">
        <v>38309.17</v>
      </c>
      <c r="D1476" s="317">
        <f t="shared" ref="D1476:D1539" si="23">(C1476/C1477)-1</f>
        <v>-7.1656154125653293E-3</v>
      </c>
    </row>
    <row r="1477" spans="2:4" x14ac:dyDescent="0.35">
      <c r="B1477" s="314">
        <v>43448</v>
      </c>
      <c r="C1477" s="315">
        <v>38585.660000000003</v>
      </c>
      <c r="D1477" s="317">
        <f t="shared" si="23"/>
        <v>1.510143079894255E-2</v>
      </c>
    </row>
    <row r="1478" spans="2:4" x14ac:dyDescent="0.35">
      <c r="B1478" s="314">
        <v>43447</v>
      </c>
      <c r="C1478" s="315">
        <v>38011.629999999997</v>
      </c>
      <c r="D1478" s="317">
        <f t="shared" si="23"/>
        <v>-7.7219986509149408E-3</v>
      </c>
    </row>
    <row r="1479" spans="2:4" x14ac:dyDescent="0.35">
      <c r="B1479" s="314">
        <v>43446</v>
      </c>
      <c r="C1479" s="315">
        <v>38307.440000000002</v>
      </c>
      <c r="D1479" s="317">
        <f t="shared" si="23"/>
        <v>-1.4015251740195245E-2</v>
      </c>
    </row>
    <row r="1480" spans="2:4" x14ac:dyDescent="0.35">
      <c r="B1480" s="314">
        <v>43445</v>
      </c>
      <c r="C1480" s="315">
        <v>38851.96</v>
      </c>
      <c r="D1480" s="317">
        <f t="shared" si="23"/>
        <v>-1.1390949836156294E-2</v>
      </c>
    </row>
    <row r="1481" spans="2:4" x14ac:dyDescent="0.35">
      <c r="B1481" s="314">
        <v>43444</v>
      </c>
      <c r="C1481" s="315">
        <v>39299.620000000003</v>
      </c>
      <c r="D1481" s="317">
        <f t="shared" si="23"/>
        <v>1.9126835839899492E-2</v>
      </c>
    </row>
    <row r="1482" spans="2:4" x14ac:dyDescent="0.35">
      <c r="B1482" s="314">
        <v>43441</v>
      </c>
      <c r="C1482" s="315">
        <v>38562.050000000003</v>
      </c>
      <c r="D1482" s="317">
        <f t="shared" si="23"/>
        <v>6.8257380689920044E-3</v>
      </c>
    </row>
    <row r="1483" spans="2:4" x14ac:dyDescent="0.35">
      <c r="B1483" s="314">
        <v>43440</v>
      </c>
      <c r="C1483" s="315">
        <v>38300.620000000003</v>
      </c>
      <c r="D1483" s="317">
        <f t="shared" si="23"/>
        <v>-2.5506632935663354E-2</v>
      </c>
    </row>
    <row r="1484" spans="2:4" x14ac:dyDescent="0.35">
      <c r="B1484" s="314">
        <v>43439</v>
      </c>
      <c r="C1484" s="315">
        <v>39303.11</v>
      </c>
      <c r="D1484" s="317">
        <f t="shared" si="23"/>
        <v>-7.5691483975782736E-3</v>
      </c>
    </row>
    <row r="1485" spans="2:4" x14ac:dyDescent="0.35">
      <c r="B1485" s="314">
        <v>43438</v>
      </c>
      <c r="C1485" s="315">
        <v>39602.870000000003</v>
      </c>
      <c r="D1485" s="317">
        <f t="shared" si="23"/>
        <v>1.1293749329683411E-2</v>
      </c>
    </row>
    <row r="1486" spans="2:4" x14ac:dyDescent="0.35">
      <c r="B1486" s="314">
        <v>43437</v>
      </c>
      <c r="C1486" s="315">
        <v>39160.6</v>
      </c>
      <c r="D1486" s="317">
        <f t="shared" si="23"/>
        <v>-3.2976812788809151E-2</v>
      </c>
    </row>
    <row r="1487" spans="2:4" x14ac:dyDescent="0.35">
      <c r="B1487" s="314">
        <v>43434</v>
      </c>
      <c r="C1487" s="315">
        <v>40496.03</v>
      </c>
      <c r="D1487" s="317">
        <f t="shared" si="23"/>
        <v>-3.5138806899707165E-3</v>
      </c>
    </row>
    <row r="1488" spans="2:4" x14ac:dyDescent="0.35">
      <c r="B1488" s="316">
        <v>43433</v>
      </c>
      <c r="C1488" s="315">
        <v>40638.83</v>
      </c>
      <c r="D1488" s="317">
        <f t="shared" si="23"/>
        <v>-1.6206933825986258E-3</v>
      </c>
    </row>
    <row r="1489" spans="2:4" x14ac:dyDescent="0.35">
      <c r="B1489" s="314">
        <v>43432</v>
      </c>
      <c r="C1489" s="315">
        <v>40704.800000000003</v>
      </c>
      <c r="D1489" s="317">
        <f t="shared" si="23"/>
        <v>-4.6319504321148397E-3</v>
      </c>
    </row>
    <row r="1490" spans="2:4" x14ac:dyDescent="0.35">
      <c r="B1490" s="314">
        <v>43431</v>
      </c>
      <c r="C1490" s="315">
        <v>40894.22</v>
      </c>
      <c r="D1490" s="317">
        <f t="shared" si="23"/>
        <v>3.008715636270809E-3</v>
      </c>
    </row>
    <row r="1491" spans="2:4" x14ac:dyDescent="0.35">
      <c r="B1491" s="314">
        <v>43430</v>
      </c>
      <c r="C1491" s="315">
        <v>40771.550000000003</v>
      </c>
      <c r="D1491" s="317">
        <f t="shared" si="23"/>
        <v>-2.3912826455468883E-3</v>
      </c>
    </row>
    <row r="1492" spans="2:4" x14ac:dyDescent="0.35">
      <c r="B1492" s="314">
        <v>43427</v>
      </c>
      <c r="C1492" s="315">
        <v>40869.279999999999</v>
      </c>
      <c r="D1492" s="317">
        <f t="shared" si="23"/>
        <v>-1.1621070885348139E-4</v>
      </c>
    </row>
    <row r="1493" spans="2:4" x14ac:dyDescent="0.35">
      <c r="B1493" s="314">
        <v>43426</v>
      </c>
      <c r="C1493" s="315">
        <v>40874.03</v>
      </c>
      <c r="D1493" s="317">
        <f t="shared" si="23"/>
        <v>-1.3163206278048567E-2</v>
      </c>
    </row>
    <row r="1494" spans="2:4" x14ac:dyDescent="0.35">
      <c r="B1494" s="314">
        <v>43424</v>
      </c>
      <c r="C1494" s="315">
        <v>41419.24</v>
      </c>
      <c r="D1494" s="317">
        <f t="shared" si="23"/>
        <v>1.6073892994350469E-3</v>
      </c>
    </row>
    <row r="1495" spans="2:4" x14ac:dyDescent="0.35">
      <c r="B1495" s="314">
        <v>43423</v>
      </c>
      <c r="C1495" s="315">
        <v>41352.769999999997</v>
      </c>
      <c r="D1495" s="317">
        <f t="shared" si="23"/>
        <v>-7.3925697449038763E-3</v>
      </c>
    </row>
    <row r="1496" spans="2:4" x14ac:dyDescent="0.35">
      <c r="B1496" s="314">
        <v>43420</v>
      </c>
      <c r="C1496" s="315">
        <v>41660.75</v>
      </c>
      <c r="D1496" s="317">
        <f t="shared" si="23"/>
        <v>5.6028886303989278E-3</v>
      </c>
    </row>
    <row r="1497" spans="2:4" x14ac:dyDescent="0.35">
      <c r="B1497" s="314">
        <v>43419</v>
      </c>
      <c r="C1497" s="315">
        <v>41428.629999999997</v>
      </c>
      <c r="D1497" s="317">
        <f t="shared" si="23"/>
        <v>1.0601050640275611E-2</v>
      </c>
    </row>
    <row r="1498" spans="2:4" x14ac:dyDescent="0.35">
      <c r="B1498" s="314">
        <v>43418</v>
      </c>
      <c r="C1498" s="315">
        <v>40994.050000000003</v>
      </c>
      <c r="D1498" s="317">
        <f t="shared" si="23"/>
        <v>-3.8449874466249812E-3</v>
      </c>
    </row>
    <row r="1499" spans="2:4" x14ac:dyDescent="0.35">
      <c r="B1499" s="314">
        <v>43417</v>
      </c>
      <c r="C1499" s="315">
        <v>41152.28</v>
      </c>
      <c r="D1499" s="317">
        <f t="shared" si="23"/>
        <v>1.3614354371789261E-3</v>
      </c>
    </row>
    <row r="1500" spans="2:4" x14ac:dyDescent="0.35">
      <c r="B1500" s="314">
        <v>43416</v>
      </c>
      <c r="C1500" s="315">
        <v>41096.33</v>
      </c>
      <c r="D1500" s="317">
        <f t="shared" si="23"/>
        <v>-7.0683236656801096E-3</v>
      </c>
    </row>
    <row r="1501" spans="2:4" x14ac:dyDescent="0.35">
      <c r="B1501" s="314">
        <v>43413</v>
      </c>
      <c r="C1501" s="315">
        <v>41388.879999999997</v>
      </c>
      <c r="D1501" s="317">
        <f t="shared" si="23"/>
        <v>5.1973318107156885E-4</v>
      </c>
    </row>
    <row r="1502" spans="2:4" x14ac:dyDescent="0.35">
      <c r="B1502" s="314">
        <v>43412</v>
      </c>
      <c r="C1502" s="315">
        <v>41367.379999999997</v>
      </c>
      <c r="D1502" s="317">
        <f t="shared" si="23"/>
        <v>-4.2509167393207647E-3</v>
      </c>
    </row>
    <row r="1503" spans="2:4" x14ac:dyDescent="0.35">
      <c r="B1503" s="314">
        <v>43411</v>
      </c>
      <c r="C1503" s="315">
        <v>41543.980000000003</v>
      </c>
      <c r="D1503" s="317">
        <f t="shared" si="23"/>
        <v>1.4293725873462781E-2</v>
      </c>
    </row>
    <row r="1504" spans="2:4" x14ac:dyDescent="0.35">
      <c r="B1504" s="314">
        <v>43410</v>
      </c>
      <c r="C1504" s="315">
        <v>40958.53</v>
      </c>
      <c r="D1504" s="317">
        <f t="shared" si="23"/>
        <v>-1.2903805758717635E-2</v>
      </c>
    </row>
    <row r="1505" spans="2:4" x14ac:dyDescent="0.35">
      <c r="B1505" s="314">
        <v>43409</v>
      </c>
      <c r="C1505" s="315">
        <v>41493.96</v>
      </c>
      <c r="D1505" s="317">
        <f t="shared" si="23"/>
        <v>-1.2144769711711301E-2</v>
      </c>
    </row>
    <row r="1506" spans="2:4" x14ac:dyDescent="0.35">
      <c r="B1506" s="314">
        <v>43406</v>
      </c>
      <c r="C1506" s="315">
        <v>42004.09</v>
      </c>
      <c r="D1506" s="317">
        <f t="shared" si="23"/>
        <v>6.9035696050205875E-3</v>
      </c>
    </row>
    <row r="1507" spans="2:4" x14ac:dyDescent="0.35">
      <c r="B1507" s="314">
        <v>43405</v>
      </c>
      <c r="C1507" s="315">
        <v>41716.1</v>
      </c>
      <c r="D1507" s="317">
        <f t="shared" si="23"/>
        <v>1.60242558349033E-3</v>
      </c>
    </row>
    <row r="1508" spans="2:4" x14ac:dyDescent="0.35">
      <c r="B1508" s="314">
        <v>43404</v>
      </c>
      <c r="C1508" s="315">
        <v>41649.360000000001</v>
      </c>
      <c r="D1508" s="317">
        <f t="shared" si="23"/>
        <v>9.6926075902281639E-4</v>
      </c>
    </row>
    <row r="1509" spans="2:4" x14ac:dyDescent="0.35">
      <c r="B1509" s="314">
        <v>43403</v>
      </c>
      <c r="C1509" s="315">
        <v>41609.03</v>
      </c>
      <c r="D1509" s="317">
        <f t="shared" si="23"/>
        <v>3.7456192152411916E-3</v>
      </c>
    </row>
    <row r="1510" spans="2:4" x14ac:dyDescent="0.35">
      <c r="B1510" s="314">
        <v>43402</v>
      </c>
      <c r="C1510" s="315">
        <v>41453.760000000002</v>
      </c>
      <c r="D1510" s="317">
        <f t="shared" si="23"/>
        <v>2.2124964093257704E-2</v>
      </c>
    </row>
    <row r="1511" spans="2:4" x14ac:dyDescent="0.35">
      <c r="B1511" s="314">
        <v>43399</v>
      </c>
      <c r="C1511" s="315">
        <v>40556.449999999997</v>
      </c>
      <c r="D1511" s="317">
        <f t="shared" si="23"/>
        <v>2.3328171667729158E-2</v>
      </c>
    </row>
    <row r="1512" spans="2:4" x14ac:dyDescent="0.35">
      <c r="B1512" s="314">
        <v>43398</v>
      </c>
      <c r="C1512" s="315">
        <v>39631.910000000003</v>
      </c>
      <c r="D1512" s="317">
        <f t="shared" si="23"/>
        <v>9.1871584003715423E-3</v>
      </c>
    </row>
    <row r="1513" spans="2:4" x14ac:dyDescent="0.35">
      <c r="B1513" s="314">
        <v>43397</v>
      </c>
      <c r="C1513" s="315">
        <v>39271.120000000003</v>
      </c>
      <c r="D1513" s="317">
        <f t="shared" si="23"/>
        <v>4.1262737008450179E-2</v>
      </c>
    </row>
    <row r="1514" spans="2:4" x14ac:dyDescent="0.35">
      <c r="B1514" s="314">
        <v>43396</v>
      </c>
      <c r="C1514" s="315">
        <v>37714.9</v>
      </c>
      <c r="D1514" s="317">
        <f t="shared" si="23"/>
        <v>-1.6443163225229984E-2</v>
      </c>
    </row>
    <row r="1515" spans="2:4" x14ac:dyDescent="0.35">
      <c r="B1515" s="314">
        <v>43395</v>
      </c>
      <c r="C1515" s="315">
        <v>38345.42</v>
      </c>
      <c r="D1515" s="317">
        <f t="shared" si="23"/>
        <v>-2.2078949744562815E-3</v>
      </c>
    </row>
    <row r="1516" spans="2:4" x14ac:dyDescent="0.35">
      <c r="B1516" s="314">
        <v>43392</v>
      </c>
      <c r="C1516" s="315">
        <v>38430.269999999997</v>
      </c>
      <c r="D1516" s="317">
        <f t="shared" si="23"/>
        <v>1.1795509744683352E-2</v>
      </c>
    </row>
    <row r="1517" spans="2:4" x14ac:dyDescent="0.35">
      <c r="B1517" s="314">
        <v>43391</v>
      </c>
      <c r="C1517" s="315">
        <v>37982.25</v>
      </c>
      <c r="D1517" s="317">
        <f t="shared" si="23"/>
        <v>8.8959804331463221E-3</v>
      </c>
    </row>
    <row r="1518" spans="2:4" x14ac:dyDescent="0.35">
      <c r="B1518" s="314">
        <v>43390</v>
      </c>
      <c r="C1518" s="315">
        <v>37647.339999999997</v>
      </c>
      <c r="D1518" s="317">
        <f t="shared" si="23"/>
        <v>2.6837678359169281E-2</v>
      </c>
    </row>
    <row r="1519" spans="2:4" x14ac:dyDescent="0.35">
      <c r="B1519" s="314">
        <v>43389</v>
      </c>
      <c r="C1519" s="315">
        <v>36663.379999999997</v>
      </c>
      <c r="D1519" s="317">
        <f t="shared" si="23"/>
        <v>-2.8337472397550467E-3</v>
      </c>
    </row>
    <row r="1520" spans="2:4" x14ac:dyDescent="0.35">
      <c r="B1520" s="314">
        <v>43388</v>
      </c>
      <c r="C1520" s="315">
        <v>36767.57</v>
      </c>
      <c r="D1520" s="317">
        <f t="shared" si="23"/>
        <v>-2.0000037315491603E-2</v>
      </c>
    </row>
    <row r="1521" spans="2:4" x14ac:dyDescent="0.35">
      <c r="B1521" s="314">
        <v>43385</v>
      </c>
      <c r="C1521" s="315">
        <v>37517.93</v>
      </c>
      <c r="D1521" s="317">
        <f t="shared" si="23"/>
        <v>-2.2927317094767252E-2</v>
      </c>
    </row>
    <row r="1522" spans="2:4" x14ac:dyDescent="0.35">
      <c r="B1522" s="314">
        <v>43384</v>
      </c>
      <c r="C1522" s="315">
        <v>38398.300000000003</v>
      </c>
      <c r="D1522" s="317">
        <f t="shared" si="23"/>
        <v>-1.0151296308087421E-2</v>
      </c>
    </row>
    <row r="1523" spans="2:4" x14ac:dyDescent="0.35">
      <c r="B1523" s="314">
        <v>43383</v>
      </c>
      <c r="C1523" s="315">
        <v>38792.089999999997</v>
      </c>
      <c r="D1523" s="317">
        <f t="shared" si="23"/>
        <v>7.460101119755258E-3</v>
      </c>
    </row>
    <row r="1524" spans="2:4" x14ac:dyDescent="0.35">
      <c r="B1524" s="314">
        <v>43382</v>
      </c>
      <c r="C1524" s="315">
        <v>38504.839999999997</v>
      </c>
      <c r="D1524" s="317">
        <f t="shared" si="23"/>
        <v>1.600467989452814E-2</v>
      </c>
    </row>
    <row r="1525" spans="2:4" x14ac:dyDescent="0.35">
      <c r="B1525" s="314">
        <v>43381</v>
      </c>
      <c r="C1525" s="315">
        <v>37898.29</v>
      </c>
      <c r="D1525" s="317">
        <f t="shared" si="23"/>
        <v>-3.3856323619199769E-2</v>
      </c>
    </row>
    <row r="1526" spans="2:4" x14ac:dyDescent="0.35">
      <c r="B1526" s="314">
        <v>43378</v>
      </c>
      <c r="C1526" s="315">
        <v>39226.35</v>
      </c>
      <c r="D1526" s="317">
        <f t="shared" si="23"/>
        <v>-2.1472482932173853E-2</v>
      </c>
    </row>
    <row r="1527" spans="2:4" x14ac:dyDescent="0.35">
      <c r="B1527" s="314">
        <v>43377</v>
      </c>
      <c r="C1527" s="315">
        <v>40087.120000000003</v>
      </c>
      <c r="D1527" s="317">
        <f t="shared" si="23"/>
        <v>-1.166340690218659E-2</v>
      </c>
    </row>
    <row r="1528" spans="2:4" x14ac:dyDescent="0.35">
      <c r="B1528" s="314">
        <v>43376</v>
      </c>
      <c r="C1528" s="315">
        <v>40560.19</v>
      </c>
      <c r="D1528" s="317">
        <f t="shared" si="23"/>
        <v>-5.8837874767924125E-3</v>
      </c>
    </row>
    <row r="1529" spans="2:4" x14ac:dyDescent="0.35">
      <c r="B1529" s="314">
        <v>43375</v>
      </c>
      <c r="C1529" s="315">
        <v>40800.25</v>
      </c>
      <c r="D1529" s="317">
        <f t="shared" si="23"/>
        <v>-3.1564077104402344E-3</v>
      </c>
    </row>
    <row r="1530" spans="2:4" x14ac:dyDescent="0.35">
      <c r="B1530" s="314">
        <v>43374</v>
      </c>
      <c r="C1530" s="315">
        <v>40929.440000000002</v>
      </c>
      <c r="D1530" s="317">
        <f t="shared" si="23"/>
        <v>-1.6866433699304073E-3</v>
      </c>
    </row>
    <row r="1531" spans="2:4" x14ac:dyDescent="0.35">
      <c r="B1531" s="314">
        <v>43371</v>
      </c>
      <c r="C1531" s="315">
        <v>40998.589999999997</v>
      </c>
      <c r="D1531" s="317">
        <f t="shared" si="23"/>
        <v>3.5932321219627195E-3</v>
      </c>
    </row>
    <row r="1532" spans="2:4" x14ac:dyDescent="0.35">
      <c r="B1532" s="314">
        <v>43370</v>
      </c>
      <c r="C1532" s="315">
        <v>40851.800000000003</v>
      </c>
      <c r="D1532" s="317">
        <f t="shared" si="23"/>
        <v>-1.420438226336862E-3</v>
      </c>
    </row>
    <row r="1533" spans="2:4" x14ac:dyDescent="0.35">
      <c r="B1533" s="314">
        <v>43369</v>
      </c>
      <c r="C1533" s="315">
        <v>40909.910000000003</v>
      </c>
      <c r="D1533" s="317">
        <f t="shared" si="23"/>
        <v>-3.0799560389216385E-3</v>
      </c>
    </row>
    <row r="1534" spans="2:4" x14ac:dyDescent="0.35">
      <c r="B1534" s="314">
        <v>43368</v>
      </c>
      <c r="C1534" s="315">
        <v>41036.300000000003</v>
      </c>
      <c r="D1534" s="317">
        <f t="shared" si="23"/>
        <v>7.743043150090223E-4</v>
      </c>
    </row>
    <row r="1535" spans="2:4" x14ac:dyDescent="0.35">
      <c r="B1535" s="314">
        <v>43367</v>
      </c>
      <c r="C1535" s="315">
        <v>41004.550000000003</v>
      </c>
      <c r="D1535" s="317">
        <f t="shared" si="23"/>
        <v>-7.6374396692361346E-3</v>
      </c>
    </row>
    <row r="1536" spans="2:4" x14ac:dyDescent="0.35">
      <c r="B1536" s="314">
        <v>43362</v>
      </c>
      <c r="C1536" s="315">
        <v>41320.129999999997</v>
      </c>
      <c r="D1536" s="317">
        <f t="shared" si="23"/>
        <v>1.9899088390895603E-3</v>
      </c>
    </row>
    <row r="1537" spans="2:4" x14ac:dyDescent="0.35">
      <c r="B1537" s="314">
        <v>43361</v>
      </c>
      <c r="C1537" s="315">
        <v>41238.07</v>
      </c>
      <c r="D1537" s="317">
        <f t="shared" si="23"/>
        <v>1.7709567534631265E-2</v>
      </c>
    </row>
    <row r="1538" spans="2:4" x14ac:dyDescent="0.35">
      <c r="B1538" s="314">
        <v>43360</v>
      </c>
      <c r="C1538" s="315">
        <v>40520.47</v>
      </c>
      <c r="D1538" s="317">
        <f t="shared" si="23"/>
        <v>-9.7711869729236733E-3</v>
      </c>
    </row>
    <row r="1539" spans="2:4" x14ac:dyDescent="0.35">
      <c r="B1539" s="314">
        <v>43357</v>
      </c>
      <c r="C1539" s="315">
        <v>40920.31</v>
      </c>
      <c r="D1539" s="317">
        <f t="shared" si="23"/>
        <v>-3.157132378609484E-3</v>
      </c>
    </row>
    <row r="1540" spans="2:4" x14ac:dyDescent="0.35">
      <c r="B1540" s="314">
        <v>43356</v>
      </c>
      <c r="C1540" s="315">
        <v>41049.910000000003</v>
      </c>
      <c r="D1540" s="317">
        <f t="shared" ref="D1540:D1603" si="24">(C1540/C1541)-1</f>
        <v>1.302673804181631E-2</v>
      </c>
    </row>
    <row r="1541" spans="2:4" x14ac:dyDescent="0.35">
      <c r="B1541" s="314">
        <v>43355</v>
      </c>
      <c r="C1541" s="315">
        <v>40522.04</v>
      </c>
      <c r="D1541" s="317">
        <f t="shared" si="24"/>
        <v>-5.8266128191369893E-3</v>
      </c>
    </row>
    <row r="1542" spans="2:4" x14ac:dyDescent="0.35">
      <c r="B1542" s="314">
        <v>43354</v>
      </c>
      <c r="C1542" s="315">
        <v>40759.53</v>
      </c>
      <c r="D1542" s="317">
        <f t="shared" si="24"/>
        <v>1.8552725208034193E-3</v>
      </c>
    </row>
    <row r="1543" spans="2:4" x14ac:dyDescent="0.35">
      <c r="B1543" s="314">
        <v>43353</v>
      </c>
      <c r="C1543" s="315">
        <v>40684.050000000003</v>
      </c>
      <c r="D1543" s="317">
        <f t="shared" si="24"/>
        <v>-4.1787042247452E-3</v>
      </c>
    </row>
    <row r="1544" spans="2:4" x14ac:dyDescent="0.35">
      <c r="B1544" s="314">
        <v>43350</v>
      </c>
      <c r="C1544" s="315">
        <v>40854.769999999997</v>
      </c>
      <c r="D1544" s="317">
        <f t="shared" si="24"/>
        <v>-9.974703384521999E-3</v>
      </c>
    </row>
    <row r="1545" spans="2:4" x14ac:dyDescent="0.35">
      <c r="B1545" s="314">
        <v>43349</v>
      </c>
      <c r="C1545" s="315">
        <v>41266.39</v>
      </c>
      <c r="D1545" s="317">
        <f t="shared" si="24"/>
        <v>-8.5190250296965919E-3</v>
      </c>
    </row>
    <row r="1546" spans="2:4" x14ac:dyDescent="0.35">
      <c r="B1546" s="314">
        <v>43348</v>
      </c>
      <c r="C1546" s="315">
        <v>41620.959999999999</v>
      </c>
      <c r="D1546" s="317">
        <f t="shared" si="24"/>
        <v>-3.1836554630000347E-3</v>
      </c>
    </row>
    <row r="1547" spans="2:4" x14ac:dyDescent="0.35">
      <c r="B1547" s="314">
        <v>43347</v>
      </c>
      <c r="C1547" s="315">
        <v>41753.89</v>
      </c>
      <c r="D1547" s="317">
        <f t="shared" si="24"/>
        <v>4.1347257320241138E-3</v>
      </c>
    </row>
    <row r="1548" spans="2:4" x14ac:dyDescent="0.35">
      <c r="B1548" s="314">
        <v>43346</v>
      </c>
      <c r="C1548" s="315">
        <v>41581.96</v>
      </c>
      <c r="D1548" s="317">
        <f t="shared" si="24"/>
        <v>-3.83975560487404E-3</v>
      </c>
    </row>
    <row r="1549" spans="2:4" x14ac:dyDescent="0.35">
      <c r="B1549" s="314">
        <v>43343</v>
      </c>
      <c r="C1549" s="315">
        <v>41742.239999999998</v>
      </c>
      <c r="D1549" s="317">
        <f t="shared" si="24"/>
        <v>-2.8970330254121102E-3</v>
      </c>
    </row>
    <row r="1550" spans="2:4" x14ac:dyDescent="0.35">
      <c r="B1550" s="314">
        <v>43342</v>
      </c>
      <c r="C1550" s="315">
        <v>41863.519999999997</v>
      </c>
      <c r="D1550" s="317">
        <f t="shared" si="24"/>
        <v>-9.1343222537388913E-3</v>
      </c>
    </row>
    <row r="1551" spans="2:4" x14ac:dyDescent="0.35">
      <c r="B1551" s="314">
        <v>43341</v>
      </c>
      <c r="C1551" s="315">
        <v>42249.440000000002</v>
      </c>
      <c r="D1551" s="317">
        <f t="shared" si="24"/>
        <v>-6.9346262863304586E-3</v>
      </c>
    </row>
    <row r="1552" spans="2:4" x14ac:dyDescent="0.35">
      <c r="B1552" s="314">
        <v>43340</v>
      </c>
      <c r="C1552" s="315">
        <v>42544.47</v>
      </c>
      <c r="D1552" s="317">
        <f t="shared" si="24"/>
        <v>-4.7094707360585408E-3</v>
      </c>
    </row>
    <row r="1553" spans="2:4" x14ac:dyDescent="0.35">
      <c r="B1553" s="314">
        <v>43339</v>
      </c>
      <c r="C1553" s="315">
        <v>42745.78</v>
      </c>
      <c r="D1553" s="317">
        <f t="shared" si="24"/>
        <v>3.6979648631114692E-3</v>
      </c>
    </row>
    <row r="1554" spans="2:4" x14ac:dyDescent="0.35">
      <c r="B1554" s="314">
        <v>43336</v>
      </c>
      <c r="C1554" s="315">
        <v>42588.29</v>
      </c>
      <c r="D1554" s="317">
        <f t="shared" si="24"/>
        <v>3.8465436734387293E-3</v>
      </c>
    </row>
    <row r="1555" spans="2:4" x14ac:dyDescent="0.35">
      <c r="B1555" s="314">
        <v>43332</v>
      </c>
      <c r="C1555" s="315">
        <v>42425.1</v>
      </c>
      <c r="D1555" s="317">
        <f t="shared" si="24"/>
        <v>-5.0698972026519407E-4</v>
      </c>
    </row>
    <row r="1556" spans="2:4" x14ac:dyDescent="0.35">
      <c r="B1556" s="314">
        <v>43329</v>
      </c>
      <c r="C1556" s="315">
        <v>42446.62</v>
      </c>
      <c r="D1556" s="317">
        <f t="shared" si="24"/>
        <v>1.1577948942822713E-2</v>
      </c>
    </row>
    <row r="1557" spans="2:4" x14ac:dyDescent="0.35">
      <c r="B1557" s="314">
        <v>43328</v>
      </c>
      <c r="C1557" s="315">
        <v>41960.800000000003</v>
      </c>
      <c r="D1557" s="317">
        <f t="shared" si="24"/>
        <v>-1.1444036925489232E-2</v>
      </c>
    </row>
    <row r="1558" spans="2:4" x14ac:dyDescent="0.35">
      <c r="B1558" s="314">
        <v>43327</v>
      </c>
      <c r="C1558" s="315">
        <v>42446.559999999998</v>
      </c>
      <c r="D1558" s="317">
        <f t="shared" si="24"/>
        <v>-4.4800854082245323E-3</v>
      </c>
    </row>
    <row r="1559" spans="2:4" x14ac:dyDescent="0.35">
      <c r="B1559" s="314">
        <v>43325</v>
      </c>
      <c r="C1559" s="315">
        <v>42637.58</v>
      </c>
      <c r="D1559" s="317">
        <f t="shared" si="24"/>
        <v>-4.7756673446589515E-3</v>
      </c>
    </row>
    <row r="1560" spans="2:4" x14ac:dyDescent="0.35">
      <c r="B1560" s="314">
        <v>43322</v>
      </c>
      <c r="C1560" s="315">
        <v>42842.18</v>
      </c>
      <c r="D1560" s="317">
        <f t="shared" si="24"/>
        <v>-1.9049970936970695E-3</v>
      </c>
    </row>
    <row r="1561" spans="2:4" x14ac:dyDescent="0.35">
      <c r="B1561" s="314">
        <v>43321</v>
      </c>
      <c r="C1561" s="315">
        <v>42923.95</v>
      </c>
      <c r="D1561" s="317">
        <f t="shared" si="24"/>
        <v>4.4952407875527012E-3</v>
      </c>
    </row>
    <row r="1562" spans="2:4" x14ac:dyDescent="0.35">
      <c r="B1562" s="314">
        <v>43320</v>
      </c>
      <c r="C1562" s="315">
        <v>42731.86</v>
      </c>
      <c r="D1562" s="317">
        <f t="shared" si="24"/>
        <v>-6.6112988898758829E-4</v>
      </c>
    </row>
    <row r="1563" spans="2:4" x14ac:dyDescent="0.35">
      <c r="B1563" s="314">
        <v>43319</v>
      </c>
      <c r="C1563" s="315">
        <v>42760.13</v>
      </c>
      <c r="D1563" s="317">
        <f t="shared" si="24"/>
        <v>-1.1336491261348947E-3</v>
      </c>
    </row>
    <row r="1564" spans="2:4" x14ac:dyDescent="0.35">
      <c r="B1564" s="314">
        <v>43318</v>
      </c>
      <c r="C1564" s="315">
        <v>42808.66</v>
      </c>
      <c r="D1564" s="317">
        <f t="shared" si="24"/>
        <v>7.1429159593978664E-3</v>
      </c>
    </row>
    <row r="1565" spans="2:4" x14ac:dyDescent="0.35">
      <c r="B1565" s="314">
        <v>43315</v>
      </c>
      <c r="C1565" s="315">
        <v>42505.05</v>
      </c>
      <c r="D1565" s="317">
        <f t="shared" si="24"/>
        <v>4.1277741344738494E-3</v>
      </c>
    </row>
    <row r="1566" spans="2:4" x14ac:dyDescent="0.35">
      <c r="B1566" s="314">
        <v>43314</v>
      </c>
      <c r="C1566" s="315">
        <v>42330.32</v>
      </c>
      <c r="D1566" s="317">
        <f t="shared" si="24"/>
        <v>-1.1205782568761924E-2</v>
      </c>
    </row>
    <row r="1567" spans="2:4" x14ac:dyDescent="0.35">
      <c r="B1567" s="314">
        <v>43313</v>
      </c>
      <c r="C1567" s="315">
        <v>42810.04</v>
      </c>
      <c r="D1567" s="317">
        <f t="shared" si="24"/>
        <v>2.2852832301978321E-3</v>
      </c>
    </row>
    <row r="1568" spans="2:4" x14ac:dyDescent="0.35">
      <c r="B1568" s="314">
        <v>43312</v>
      </c>
      <c r="C1568" s="315">
        <v>42712.43</v>
      </c>
      <c r="D1568" s="317">
        <f t="shared" si="24"/>
        <v>-1.9381664743117089E-2</v>
      </c>
    </row>
    <row r="1569" spans="2:4" x14ac:dyDescent="0.35">
      <c r="B1569" s="314">
        <v>43311</v>
      </c>
      <c r="C1569" s="315">
        <v>43556.63</v>
      </c>
      <c r="D1569" s="317">
        <f t="shared" si="24"/>
        <v>1.8000558588057602E-2</v>
      </c>
    </row>
    <row r="1570" spans="2:4" x14ac:dyDescent="0.35">
      <c r="B1570" s="314">
        <v>43308</v>
      </c>
      <c r="C1570" s="315">
        <v>42786.45</v>
      </c>
      <c r="D1570" s="317">
        <f t="shared" si="24"/>
        <v>1.6566973539029917E-2</v>
      </c>
    </row>
    <row r="1571" spans="2:4" x14ac:dyDescent="0.35">
      <c r="B1571" s="314">
        <v>43307</v>
      </c>
      <c r="C1571" s="315">
        <v>42089.16</v>
      </c>
      <c r="D1571" s="317">
        <f t="shared" si="24"/>
        <v>1.8141126029954213E-2</v>
      </c>
    </row>
    <row r="1572" spans="2:4" x14ac:dyDescent="0.35">
      <c r="B1572" s="314">
        <v>43305</v>
      </c>
      <c r="C1572" s="315">
        <v>41339.22</v>
      </c>
      <c r="D1572" s="317">
        <f t="shared" si="24"/>
        <v>2.1630101636072263E-2</v>
      </c>
    </row>
    <row r="1573" spans="2:4" x14ac:dyDescent="0.35">
      <c r="B1573" s="314">
        <v>43304</v>
      </c>
      <c r="C1573" s="315">
        <v>40463.980000000003</v>
      </c>
      <c r="D1573" s="317">
        <f t="shared" si="24"/>
        <v>-1.8382771231206796E-2</v>
      </c>
    </row>
    <row r="1574" spans="2:4" x14ac:dyDescent="0.35">
      <c r="B1574" s="314">
        <v>43301</v>
      </c>
      <c r="C1574" s="315">
        <v>41221.75</v>
      </c>
      <c r="D1574" s="317">
        <f t="shared" si="24"/>
        <v>-1.3729678178965643E-2</v>
      </c>
    </row>
    <row r="1575" spans="2:4" x14ac:dyDescent="0.35">
      <c r="B1575" s="314">
        <v>43300</v>
      </c>
      <c r="C1575" s="315">
        <v>41795.589999999997</v>
      </c>
      <c r="D1575" s="317">
        <f t="shared" si="24"/>
        <v>2.194953775132702E-2</v>
      </c>
    </row>
    <row r="1576" spans="2:4" x14ac:dyDescent="0.35">
      <c r="B1576" s="314">
        <v>43299</v>
      </c>
      <c r="C1576" s="315">
        <v>40897.9</v>
      </c>
      <c r="D1576" s="317">
        <f t="shared" si="24"/>
        <v>2.4163485920660088E-2</v>
      </c>
    </row>
    <row r="1577" spans="2:4" x14ac:dyDescent="0.35">
      <c r="B1577" s="314">
        <v>43298</v>
      </c>
      <c r="C1577" s="315">
        <v>39932.980000000003</v>
      </c>
      <c r="D1577" s="317">
        <f t="shared" si="24"/>
        <v>6.7365388343654242E-3</v>
      </c>
    </row>
    <row r="1578" spans="2:4" x14ac:dyDescent="0.35">
      <c r="B1578" s="314">
        <v>43297</v>
      </c>
      <c r="C1578" s="315">
        <v>39665.769999999997</v>
      </c>
      <c r="D1578" s="317">
        <f t="shared" si="24"/>
        <v>-1.5028929005984515E-2</v>
      </c>
    </row>
    <row r="1579" spans="2:4" x14ac:dyDescent="0.35">
      <c r="B1579" s="314">
        <v>43294</v>
      </c>
      <c r="C1579" s="315">
        <v>40271</v>
      </c>
      <c r="D1579" s="317">
        <f t="shared" si="24"/>
        <v>9.9279952010176142E-3</v>
      </c>
    </row>
    <row r="1580" spans="2:4" x14ac:dyDescent="0.35">
      <c r="B1580" s="314">
        <v>43293</v>
      </c>
      <c r="C1580" s="315">
        <v>39875.120000000003</v>
      </c>
      <c r="D1580" s="317">
        <f t="shared" si="24"/>
        <v>7.2842536241914946E-3</v>
      </c>
    </row>
    <row r="1581" spans="2:4" x14ac:dyDescent="0.35">
      <c r="B1581" s="314">
        <v>43292</v>
      </c>
      <c r="C1581" s="315">
        <v>39586.76</v>
      </c>
      <c r="D1581" s="317">
        <f t="shared" si="24"/>
        <v>3.3951954246098648E-3</v>
      </c>
    </row>
    <row r="1582" spans="2:4" x14ac:dyDescent="0.35">
      <c r="B1582" s="314">
        <v>43291</v>
      </c>
      <c r="C1582" s="315">
        <v>39452.81</v>
      </c>
      <c r="D1582" s="317">
        <f t="shared" si="24"/>
        <v>4.1826509959153046E-3</v>
      </c>
    </row>
    <row r="1583" spans="2:4" x14ac:dyDescent="0.35">
      <c r="B1583" s="314">
        <v>43290</v>
      </c>
      <c r="C1583" s="315">
        <v>39288.480000000003</v>
      </c>
      <c r="D1583" s="317">
        <f t="shared" si="24"/>
        <v>-2.4715930388485297E-2</v>
      </c>
    </row>
    <row r="1584" spans="2:4" x14ac:dyDescent="0.35">
      <c r="B1584" s="314">
        <v>43287</v>
      </c>
      <c r="C1584" s="315">
        <v>40284.14</v>
      </c>
      <c r="D1584" s="317">
        <f t="shared" si="24"/>
        <v>1.1265243678926229E-3</v>
      </c>
    </row>
    <row r="1585" spans="2:4" x14ac:dyDescent="0.35">
      <c r="B1585" s="314">
        <v>43286</v>
      </c>
      <c r="C1585" s="315">
        <v>40238.81</v>
      </c>
      <c r="D1585" s="317">
        <f t="shared" si="24"/>
        <v>-2.6488585642875373E-3</v>
      </c>
    </row>
    <row r="1586" spans="2:4" x14ac:dyDescent="0.35">
      <c r="B1586" s="314">
        <v>43285</v>
      </c>
      <c r="C1586" s="315">
        <v>40345.68</v>
      </c>
      <c r="D1586" s="317">
        <f t="shared" si="24"/>
        <v>-2.9321713138304339E-2</v>
      </c>
    </row>
    <row r="1587" spans="2:4" x14ac:dyDescent="0.35">
      <c r="B1587" s="314">
        <v>43284</v>
      </c>
      <c r="C1587" s="315">
        <v>41564.42</v>
      </c>
      <c r="D1587" s="317">
        <f t="shared" si="24"/>
        <v>-4.0645468148911013E-3</v>
      </c>
    </row>
    <row r="1588" spans="2:4" x14ac:dyDescent="0.35">
      <c r="B1588" s="314">
        <v>43283</v>
      </c>
      <c r="C1588" s="315">
        <v>41734.050000000003</v>
      </c>
      <c r="D1588" s="317">
        <f t="shared" si="24"/>
        <v>-4.219666005740752E-3</v>
      </c>
    </row>
    <row r="1589" spans="2:4" x14ac:dyDescent="0.35">
      <c r="B1589" s="314">
        <v>43280</v>
      </c>
      <c r="C1589" s="315">
        <v>41910.9</v>
      </c>
      <c r="D1589" s="317">
        <f t="shared" si="24"/>
        <v>-2.0703440771372428E-3</v>
      </c>
    </row>
    <row r="1590" spans="2:4" x14ac:dyDescent="0.35">
      <c r="B1590" s="314">
        <v>43279</v>
      </c>
      <c r="C1590" s="315">
        <v>41997.85</v>
      </c>
      <c r="D1590" s="317">
        <f t="shared" si="24"/>
        <v>6.7083768896822882E-3</v>
      </c>
    </row>
    <row r="1591" spans="2:4" x14ac:dyDescent="0.35">
      <c r="B1591" s="314">
        <v>43278</v>
      </c>
      <c r="C1591" s="315">
        <v>41717.99</v>
      </c>
      <c r="D1591" s="317">
        <f t="shared" si="24"/>
        <v>1.1441084476128571E-2</v>
      </c>
    </row>
    <row r="1592" spans="2:4" x14ac:dyDescent="0.35">
      <c r="B1592" s="314">
        <v>43277</v>
      </c>
      <c r="C1592" s="315">
        <v>41246.089999999997</v>
      </c>
      <c r="D1592" s="317">
        <f t="shared" si="24"/>
        <v>6.5366415289287438E-3</v>
      </c>
    </row>
    <row r="1593" spans="2:4" x14ac:dyDescent="0.35">
      <c r="B1593" s="314">
        <v>43276</v>
      </c>
      <c r="C1593" s="315">
        <v>40978.230000000003</v>
      </c>
      <c r="D1593" s="317">
        <f t="shared" si="24"/>
        <v>-1.5830727101464936E-2</v>
      </c>
    </row>
    <row r="1594" spans="2:4" x14ac:dyDescent="0.35">
      <c r="B1594" s="314">
        <v>43273</v>
      </c>
      <c r="C1594" s="315">
        <v>41637.379999999997</v>
      </c>
      <c r="D1594" s="317">
        <f t="shared" si="24"/>
        <v>-1.7026762681778385E-2</v>
      </c>
    </row>
    <row r="1595" spans="2:4" x14ac:dyDescent="0.35">
      <c r="B1595" s="314">
        <v>43272</v>
      </c>
      <c r="C1595" s="315">
        <v>42358.61</v>
      </c>
      <c r="D1595" s="317">
        <f t="shared" si="24"/>
        <v>-1.4980874514537779E-2</v>
      </c>
    </row>
    <row r="1596" spans="2:4" x14ac:dyDescent="0.35">
      <c r="B1596" s="314">
        <v>43271</v>
      </c>
      <c r="C1596" s="315">
        <v>43002.83</v>
      </c>
      <c r="D1596" s="317">
        <f t="shared" si="24"/>
        <v>-1.5566982366530979E-2</v>
      </c>
    </row>
    <row r="1597" spans="2:4" x14ac:dyDescent="0.35">
      <c r="B1597" s="314">
        <v>43270</v>
      </c>
      <c r="C1597" s="315">
        <v>43682.84</v>
      </c>
      <c r="D1597" s="317">
        <f t="shared" si="24"/>
        <v>4.9449779627952495E-5</v>
      </c>
    </row>
    <row r="1598" spans="2:4" x14ac:dyDescent="0.35">
      <c r="B1598" s="314">
        <v>43265</v>
      </c>
      <c r="C1598" s="315">
        <v>43680.68</v>
      </c>
      <c r="D1598" s="317">
        <f t="shared" si="24"/>
        <v>3.9804631385393918E-3</v>
      </c>
    </row>
    <row r="1599" spans="2:4" x14ac:dyDescent="0.35">
      <c r="B1599" s="314">
        <v>43264</v>
      </c>
      <c r="C1599" s="315">
        <v>43507.5</v>
      </c>
      <c r="D1599" s="317">
        <f t="shared" si="24"/>
        <v>6.4447626472106112E-3</v>
      </c>
    </row>
    <row r="1600" spans="2:4" x14ac:dyDescent="0.35">
      <c r="B1600" s="314">
        <v>43263</v>
      </c>
      <c r="C1600" s="315">
        <v>43228.9</v>
      </c>
      <c r="D1600" s="317">
        <f t="shared" si="24"/>
        <v>-1.5985464531325877E-2</v>
      </c>
    </row>
    <row r="1601" spans="2:4" x14ac:dyDescent="0.35">
      <c r="B1601" s="314">
        <v>43262</v>
      </c>
      <c r="C1601" s="315">
        <v>43931.16</v>
      </c>
      <c r="D1601" s="317">
        <f t="shared" si="24"/>
        <v>-3.8568211465739299E-4</v>
      </c>
    </row>
    <row r="1602" spans="2:4" x14ac:dyDescent="0.35">
      <c r="B1602" s="314">
        <v>43258</v>
      </c>
      <c r="C1602" s="315">
        <v>43948.11</v>
      </c>
      <c r="D1602" s="317">
        <f t="shared" si="24"/>
        <v>-4.4420331549783754E-3</v>
      </c>
    </row>
    <row r="1603" spans="2:4" x14ac:dyDescent="0.35">
      <c r="B1603" s="314">
        <v>43257</v>
      </c>
      <c r="C1603" s="315">
        <v>44144.2</v>
      </c>
      <c r="D1603" s="317">
        <f t="shared" si="24"/>
        <v>1.0105124228363627E-2</v>
      </c>
    </row>
    <row r="1604" spans="2:4" x14ac:dyDescent="0.35">
      <c r="B1604" s="314">
        <v>43256</v>
      </c>
      <c r="C1604" s="315">
        <v>43702.58</v>
      </c>
      <c r="D1604" s="317">
        <f t="shared" ref="D1604:D1667" si="25">(C1604/C1605)-1</f>
        <v>1.0037142674230948E-2</v>
      </c>
    </row>
    <row r="1605" spans="2:4" x14ac:dyDescent="0.35">
      <c r="B1605" s="314">
        <v>43255</v>
      </c>
      <c r="C1605" s="315">
        <v>43268.29</v>
      </c>
      <c r="D1605" s="317">
        <f t="shared" si="25"/>
        <v>8.2837735398824108E-3</v>
      </c>
    </row>
    <row r="1606" spans="2:4" x14ac:dyDescent="0.35">
      <c r="B1606" s="314">
        <v>43252</v>
      </c>
      <c r="C1606" s="315">
        <v>42912.81</v>
      </c>
      <c r="D1606" s="317">
        <f t="shared" si="25"/>
        <v>1.5443451341807801E-3</v>
      </c>
    </row>
    <row r="1607" spans="2:4" x14ac:dyDescent="0.35">
      <c r="B1607" s="314">
        <v>43251</v>
      </c>
      <c r="C1607" s="315">
        <v>42846.64</v>
      </c>
      <c r="D1607" s="317">
        <f t="shared" si="25"/>
        <v>7.0548726945212081E-3</v>
      </c>
    </row>
    <row r="1608" spans="2:4" x14ac:dyDescent="0.35">
      <c r="B1608" s="314">
        <v>43250</v>
      </c>
      <c r="C1608" s="315">
        <v>42546.48</v>
      </c>
      <c r="D1608" s="317">
        <f t="shared" si="25"/>
        <v>-1.7891857726648475E-3</v>
      </c>
    </row>
    <row r="1609" spans="2:4" x14ac:dyDescent="0.35">
      <c r="B1609" s="314">
        <v>43249</v>
      </c>
      <c r="C1609" s="315">
        <v>42622.74</v>
      </c>
      <c r="D1609" s="317">
        <f t="shared" si="25"/>
        <v>1.1489948519847637E-2</v>
      </c>
    </row>
    <row r="1610" spans="2:4" x14ac:dyDescent="0.35">
      <c r="B1610" s="314">
        <v>43248</v>
      </c>
      <c r="C1610" s="315">
        <v>42138.57</v>
      </c>
      <c r="D1610" s="317">
        <f t="shared" si="25"/>
        <v>1.5325346311709787E-3</v>
      </c>
    </row>
    <row r="1611" spans="2:4" x14ac:dyDescent="0.35">
      <c r="B1611" s="314">
        <v>43245</v>
      </c>
      <c r="C1611" s="315">
        <v>42074.09</v>
      </c>
      <c r="D1611" s="317">
        <f t="shared" si="25"/>
        <v>-1.0862992804240079E-2</v>
      </c>
    </row>
    <row r="1612" spans="2:4" x14ac:dyDescent="0.35">
      <c r="B1612" s="314">
        <v>43244</v>
      </c>
      <c r="C1612" s="315">
        <v>42536.160000000003</v>
      </c>
      <c r="D1612" s="317">
        <f t="shared" si="25"/>
        <v>-5.5197002729572286E-3</v>
      </c>
    </row>
    <row r="1613" spans="2:4" x14ac:dyDescent="0.35">
      <c r="B1613" s="314">
        <v>43243</v>
      </c>
      <c r="C1613" s="315">
        <v>42772.25</v>
      </c>
      <c r="D1613" s="317">
        <f t="shared" si="25"/>
        <v>6.4171518326672228E-4</v>
      </c>
    </row>
    <row r="1614" spans="2:4" x14ac:dyDescent="0.35">
      <c r="B1614" s="314">
        <v>43242</v>
      </c>
      <c r="C1614" s="315">
        <v>42744.82</v>
      </c>
      <c r="D1614" s="317">
        <f t="shared" si="25"/>
        <v>2.6319460534735217E-2</v>
      </c>
    </row>
    <row r="1615" spans="2:4" x14ac:dyDescent="0.35">
      <c r="B1615" s="314">
        <v>43241</v>
      </c>
      <c r="C1615" s="315">
        <v>41648.65</v>
      </c>
      <c r="D1615" s="317">
        <f t="shared" si="25"/>
        <v>6.0374519021944018E-4</v>
      </c>
    </row>
    <row r="1616" spans="2:4" x14ac:dyDescent="0.35">
      <c r="B1616" s="314">
        <v>43238</v>
      </c>
      <c r="C1616" s="315">
        <v>41623.519999999997</v>
      </c>
      <c r="D1616" s="317">
        <f t="shared" si="25"/>
        <v>-5.8784823852122692E-3</v>
      </c>
    </row>
    <row r="1617" spans="2:4" x14ac:dyDescent="0.35">
      <c r="B1617" s="314">
        <v>43237</v>
      </c>
      <c r="C1617" s="315">
        <v>41869.65</v>
      </c>
      <c r="D1617" s="317">
        <f t="shared" si="25"/>
        <v>-1.0201838245723405E-2</v>
      </c>
    </row>
    <row r="1618" spans="2:4" x14ac:dyDescent="0.35">
      <c r="B1618" s="314">
        <v>43236</v>
      </c>
      <c r="C1618" s="315">
        <v>42301.2</v>
      </c>
      <c r="D1618" s="317">
        <f t="shared" si="25"/>
        <v>-3.7289626145179389E-3</v>
      </c>
    </row>
    <row r="1619" spans="2:4" x14ac:dyDescent="0.35">
      <c r="B1619" s="314">
        <v>43235</v>
      </c>
      <c r="C1619" s="315">
        <v>42459.53</v>
      </c>
      <c r="D1619" s="317">
        <f t="shared" si="25"/>
        <v>-9.2543658818144969E-4</v>
      </c>
    </row>
    <row r="1620" spans="2:4" x14ac:dyDescent="0.35">
      <c r="B1620" s="314">
        <v>43234</v>
      </c>
      <c r="C1620" s="315">
        <v>42498.86</v>
      </c>
      <c r="D1620" s="317">
        <f t="shared" si="25"/>
        <v>-2.5139013171069258E-2</v>
      </c>
    </row>
    <row r="1621" spans="2:4" x14ac:dyDescent="0.35">
      <c r="B1621" s="314">
        <v>43231</v>
      </c>
      <c r="C1621" s="315">
        <v>43594.79</v>
      </c>
      <c r="D1621" s="317">
        <f t="shared" si="25"/>
        <v>-5.9510969819712711E-3</v>
      </c>
    </row>
    <row r="1622" spans="2:4" x14ac:dyDescent="0.35">
      <c r="B1622" s="314">
        <v>43230</v>
      </c>
      <c r="C1622" s="315">
        <v>43855.78</v>
      </c>
      <c r="D1622" s="317">
        <f t="shared" si="25"/>
        <v>1.3878296609202145E-3</v>
      </c>
    </row>
    <row r="1623" spans="2:4" x14ac:dyDescent="0.35">
      <c r="B1623" s="314">
        <v>43229</v>
      </c>
      <c r="C1623" s="315">
        <v>43795</v>
      </c>
      <c r="D1623" s="317">
        <f t="shared" si="25"/>
        <v>-6.1715171638796473E-3</v>
      </c>
    </row>
    <row r="1624" spans="2:4" x14ac:dyDescent="0.35">
      <c r="B1624" s="314">
        <v>43228</v>
      </c>
      <c r="C1624" s="315">
        <v>44066.96</v>
      </c>
      <c r="D1624" s="317">
        <f t="shared" si="25"/>
        <v>-7.0205135277155994E-3</v>
      </c>
    </row>
    <row r="1625" spans="2:4" x14ac:dyDescent="0.35">
      <c r="B1625" s="314">
        <v>43227</v>
      </c>
      <c r="C1625" s="315">
        <v>44378.52</v>
      </c>
      <c r="D1625" s="317">
        <f t="shared" si="25"/>
        <v>-3.5563760485405327E-3</v>
      </c>
    </row>
    <row r="1626" spans="2:4" x14ac:dyDescent="0.35">
      <c r="B1626" s="314">
        <v>43224</v>
      </c>
      <c r="C1626" s="315">
        <v>44536.91</v>
      </c>
      <c r="D1626" s="317">
        <f t="shared" si="25"/>
        <v>-4.6868333995206957E-3</v>
      </c>
    </row>
    <row r="1627" spans="2:4" x14ac:dyDescent="0.35">
      <c r="B1627" s="314">
        <v>43223</v>
      </c>
      <c r="C1627" s="315">
        <v>44746.63</v>
      </c>
      <c r="D1627" s="317">
        <f t="shared" si="25"/>
        <v>-9.9507991460376921E-3</v>
      </c>
    </row>
    <row r="1628" spans="2:4" x14ac:dyDescent="0.35">
      <c r="B1628" s="314">
        <v>43222</v>
      </c>
      <c r="C1628" s="315">
        <v>45196.37</v>
      </c>
      <c r="D1628" s="317">
        <f t="shared" si="25"/>
        <v>-6.4299259203242087E-3</v>
      </c>
    </row>
    <row r="1629" spans="2:4" x14ac:dyDescent="0.35">
      <c r="B1629" s="314">
        <v>43220</v>
      </c>
      <c r="C1629" s="315">
        <v>45488.86</v>
      </c>
      <c r="D1629" s="317">
        <f t="shared" si="25"/>
        <v>-1.1839417795751483E-3</v>
      </c>
    </row>
    <row r="1630" spans="2:4" x14ac:dyDescent="0.35">
      <c r="B1630" s="314">
        <v>43217</v>
      </c>
      <c r="C1630" s="315">
        <v>45542.78</v>
      </c>
      <c r="D1630" s="317">
        <f t="shared" si="25"/>
        <v>1.8017693018193004E-3</v>
      </c>
    </row>
    <row r="1631" spans="2:4" x14ac:dyDescent="0.35">
      <c r="B1631" s="314">
        <v>43216</v>
      </c>
      <c r="C1631" s="315">
        <v>45460.87</v>
      </c>
      <c r="D1631" s="317">
        <f t="shared" si="25"/>
        <v>-5.6316567924380445E-3</v>
      </c>
    </row>
    <row r="1632" spans="2:4" x14ac:dyDescent="0.35">
      <c r="B1632" s="314">
        <v>43215</v>
      </c>
      <c r="C1632" s="315">
        <v>45718.34</v>
      </c>
      <c r="D1632" s="317">
        <f t="shared" si="25"/>
        <v>-3.4518611844356339E-3</v>
      </c>
    </row>
    <row r="1633" spans="2:4" x14ac:dyDescent="0.35">
      <c r="B1633" s="314">
        <v>43214</v>
      </c>
      <c r="C1633" s="315">
        <v>45876.7</v>
      </c>
      <c r="D1633" s="317">
        <f t="shared" si="25"/>
        <v>1.1124714719116024E-2</v>
      </c>
    </row>
    <row r="1634" spans="2:4" x14ac:dyDescent="0.35">
      <c r="B1634" s="314">
        <v>43213</v>
      </c>
      <c r="C1634" s="315">
        <v>45371.95</v>
      </c>
      <c r="D1634" s="317">
        <f t="shared" si="25"/>
        <v>2.4881052176191076E-3</v>
      </c>
    </row>
    <row r="1635" spans="2:4" x14ac:dyDescent="0.35">
      <c r="B1635" s="314">
        <v>43210</v>
      </c>
      <c r="C1635" s="315">
        <v>45259.34</v>
      </c>
      <c r="D1635" s="317">
        <f t="shared" si="25"/>
        <v>-2.8296168769692542E-3</v>
      </c>
    </row>
    <row r="1636" spans="2:4" x14ac:dyDescent="0.35">
      <c r="B1636" s="314">
        <v>43209</v>
      </c>
      <c r="C1636" s="315">
        <v>45387.77</v>
      </c>
      <c r="D1636" s="317">
        <f t="shared" si="25"/>
        <v>-1.9978614131516137E-3</v>
      </c>
    </row>
    <row r="1637" spans="2:4" x14ac:dyDescent="0.35">
      <c r="B1637" s="314">
        <v>43208</v>
      </c>
      <c r="C1637" s="315">
        <v>45478.63</v>
      </c>
      <c r="D1637" s="317">
        <f t="shared" si="25"/>
        <v>-7.0543186905823729E-3</v>
      </c>
    </row>
    <row r="1638" spans="2:4" x14ac:dyDescent="0.35">
      <c r="B1638" s="314">
        <v>43207</v>
      </c>
      <c r="C1638" s="315">
        <v>45801.73</v>
      </c>
      <c r="D1638" s="317">
        <f t="shared" si="25"/>
        <v>2.615677339815381E-3</v>
      </c>
    </row>
    <row r="1639" spans="2:4" x14ac:dyDescent="0.35">
      <c r="B1639" s="314">
        <v>43206</v>
      </c>
      <c r="C1639" s="315">
        <v>45682.239999999998</v>
      </c>
      <c r="D1639" s="317">
        <f t="shared" si="25"/>
        <v>-8.4567890247974065E-3</v>
      </c>
    </row>
    <row r="1640" spans="2:4" x14ac:dyDescent="0.35">
      <c r="B1640" s="314">
        <v>43203</v>
      </c>
      <c r="C1640" s="315">
        <v>46071.86</v>
      </c>
      <c r="D1640" s="317">
        <f t="shared" si="25"/>
        <v>-5.608469879484268E-3</v>
      </c>
    </row>
    <row r="1641" spans="2:4" x14ac:dyDescent="0.35">
      <c r="B1641" s="314">
        <v>43202</v>
      </c>
      <c r="C1641" s="315">
        <v>46331.71</v>
      </c>
      <c r="D1641" s="317">
        <f t="shared" si="25"/>
        <v>-3.3295695157883332E-3</v>
      </c>
    </row>
    <row r="1642" spans="2:4" x14ac:dyDescent="0.35">
      <c r="B1642" s="314">
        <v>43201</v>
      </c>
      <c r="C1642" s="315">
        <v>46486.49</v>
      </c>
      <c r="D1642" s="317">
        <f t="shared" si="25"/>
        <v>2.0999756222073174E-4</v>
      </c>
    </row>
    <row r="1643" spans="2:4" x14ac:dyDescent="0.35">
      <c r="B1643" s="314">
        <v>43200</v>
      </c>
      <c r="C1643" s="315">
        <v>46476.73</v>
      </c>
      <c r="D1643" s="317">
        <f t="shared" si="25"/>
        <v>-2.2303266895116192E-3</v>
      </c>
    </row>
    <row r="1644" spans="2:4" x14ac:dyDescent="0.35">
      <c r="B1644" s="314">
        <v>43199</v>
      </c>
      <c r="C1644" s="315">
        <v>46580.62</v>
      </c>
      <c r="D1644" s="317">
        <f t="shared" si="25"/>
        <v>-1.2221892969667136E-3</v>
      </c>
    </row>
    <row r="1645" spans="2:4" x14ac:dyDescent="0.35">
      <c r="B1645" s="314">
        <v>43196</v>
      </c>
      <c r="C1645" s="315">
        <v>46637.62</v>
      </c>
      <c r="D1645" s="317">
        <f t="shared" si="25"/>
        <v>1.649455486393947E-3</v>
      </c>
    </row>
    <row r="1646" spans="2:4" x14ac:dyDescent="0.35">
      <c r="B1646" s="314">
        <v>43195</v>
      </c>
      <c r="C1646" s="315">
        <v>46560.82</v>
      </c>
      <c r="D1646" s="317">
        <f t="shared" si="25"/>
        <v>9.9170108371122723E-3</v>
      </c>
    </row>
    <row r="1647" spans="2:4" x14ac:dyDescent="0.35">
      <c r="B1647" s="314">
        <v>43194</v>
      </c>
      <c r="C1647" s="315">
        <v>46103.61</v>
      </c>
      <c r="D1647" s="317">
        <f t="shared" si="25"/>
        <v>1.961822375858846E-3</v>
      </c>
    </row>
    <row r="1648" spans="2:4" x14ac:dyDescent="0.35">
      <c r="B1648" s="314">
        <v>43193</v>
      </c>
      <c r="C1648" s="315">
        <v>46013.34</v>
      </c>
      <c r="D1648" s="317">
        <f t="shared" si="25"/>
        <v>5.9445015164587556E-3</v>
      </c>
    </row>
    <row r="1649" spans="2:4" x14ac:dyDescent="0.35">
      <c r="B1649" s="314">
        <v>43192</v>
      </c>
      <c r="C1649" s="315">
        <v>45741.43</v>
      </c>
      <c r="D1649" s="317">
        <f t="shared" si="25"/>
        <v>3.9756103449712921E-3</v>
      </c>
    </row>
    <row r="1650" spans="2:4" x14ac:dyDescent="0.35">
      <c r="B1650" s="314">
        <v>43189</v>
      </c>
      <c r="C1650" s="315">
        <v>45560.3</v>
      </c>
      <c r="D1650" s="317">
        <f t="shared" si="25"/>
        <v>1.5537610558189474E-3</v>
      </c>
    </row>
    <row r="1651" spans="2:4" x14ac:dyDescent="0.35">
      <c r="B1651" s="314">
        <v>43188</v>
      </c>
      <c r="C1651" s="315">
        <v>45489.62</v>
      </c>
      <c r="D1651" s="317">
        <f t="shared" si="25"/>
        <v>7.0092770038026053E-3</v>
      </c>
    </row>
    <row r="1652" spans="2:4" x14ac:dyDescent="0.35">
      <c r="B1652" s="314">
        <v>43187</v>
      </c>
      <c r="C1652" s="315">
        <v>45172.99</v>
      </c>
      <c r="D1652" s="317">
        <f t="shared" si="25"/>
        <v>3.750761873505537E-3</v>
      </c>
    </row>
    <row r="1653" spans="2:4" x14ac:dyDescent="0.35">
      <c r="B1653" s="314">
        <v>43186</v>
      </c>
      <c r="C1653" s="315">
        <v>45004.19</v>
      </c>
      <c r="D1653" s="317">
        <f t="shared" si="25"/>
        <v>-1.7607301285146315E-3</v>
      </c>
    </row>
    <row r="1654" spans="2:4" x14ac:dyDescent="0.35">
      <c r="B1654" s="314">
        <v>43185</v>
      </c>
      <c r="C1654" s="315">
        <v>45083.57</v>
      </c>
      <c r="D1654" s="317">
        <f t="shared" si="25"/>
        <v>1.1847599234469097E-3</v>
      </c>
    </row>
    <row r="1655" spans="2:4" x14ac:dyDescent="0.35">
      <c r="B1655" s="314">
        <v>43181</v>
      </c>
      <c r="C1655" s="315">
        <v>45030.22</v>
      </c>
      <c r="D1655" s="317">
        <f t="shared" si="25"/>
        <v>8.6070517034579908E-3</v>
      </c>
    </row>
    <row r="1656" spans="2:4" x14ac:dyDescent="0.35">
      <c r="B1656" s="314">
        <v>43180</v>
      </c>
      <c r="C1656" s="315">
        <v>44645.95</v>
      </c>
      <c r="D1656" s="317">
        <f t="shared" si="25"/>
        <v>7.5877222479752149E-3</v>
      </c>
    </row>
    <row r="1657" spans="2:4" x14ac:dyDescent="0.35">
      <c r="B1657" s="314">
        <v>43179</v>
      </c>
      <c r="C1657" s="315">
        <v>44309.74</v>
      </c>
      <c r="D1657" s="317">
        <f t="shared" si="25"/>
        <v>1.7688265395180425E-2</v>
      </c>
    </row>
    <row r="1658" spans="2:4" x14ac:dyDescent="0.35">
      <c r="B1658" s="314">
        <v>43178</v>
      </c>
      <c r="C1658" s="315">
        <v>43539.6</v>
      </c>
      <c r="D1658" s="317">
        <f t="shared" si="25"/>
        <v>4.0677339154551184E-3</v>
      </c>
    </row>
    <row r="1659" spans="2:4" x14ac:dyDescent="0.35">
      <c r="B1659" s="314">
        <v>43175</v>
      </c>
      <c r="C1659" s="315">
        <v>43363.21</v>
      </c>
      <c r="D1659" s="317">
        <f t="shared" si="25"/>
        <v>-3.0316079500504189E-3</v>
      </c>
    </row>
    <row r="1660" spans="2:4" x14ac:dyDescent="0.35">
      <c r="B1660" s="314">
        <v>43174</v>
      </c>
      <c r="C1660" s="315">
        <v>43495.07</v>
      </c>
      <c r="D1660" s="317">
        <f t="shared" si="25"/>
        <v>2.0123148601216556E-3</v>
      </c>
    </row>
    <row r="1661" spans="2:4" x14ac:dyDescent="0.35">
      <c r="B1661" s="314">
        <v>43173</v>
      </c>
      <c r="C1661" s="315">
        <v>43407.72</v>
      </c>
      <c r="D1661" s="317">
        <f t="shared" si="25"/>
        <v>-4.82254258384196E-3</v>
      </c>
    </row>
    <row r="1662" spans="2:4" x14ac:dyDescent="0.35">
      <c r="B1662" s="314">
        <v>43172</v>
      </c>
      <c r="C1662" s="315">
        <v>43618.07</v>
      </c>
      <c r="D1662" s="317">
        <f t="shared" si="25"/>
        <v>4.7716093619740718E-3</v>
      </c>
    </row>
    <row r="1663" spans="2:4" x14ac:dyDescent="0.35">
      <c r="B1663" s="314">
        <v>43171</v>
      </c>
      <c r="C1663" s="315">
        <v>43410.93</v>
      </c>
      <c r="D1663" s="317">
        <f t="shared" si="25"/>
        <v>9.2922178982899339E-3</v>
      </c>
    </row>
    <row r="1664" spans="2:4" x14ac:dyDescent="0.35">
      <c r="B1664" s="314">
        <v>43168</v>
      </c>
      <c r="C1664" s="315">
        <v>43011.26</v>
      </c>
      <c r="D1664" s="317">
        <f t="shared" si="25"/>
        <v>-1.4273528918753442E-3</v>
      </c>
    </row>
    <row r="1665" spans="2:4" x14ac:dyDescent="0.35">
      <c r="B1665" s="314">
        <v>43167</v>
      </c>
      <c r="C1665" s="315">
        <v>43072.74</v>
      </c>
      <c r="D1665" s="317">
        <f t="shared" si="25"/>
        <v>-8.481353407066794E-3</v>
      </c>
    </row>
    <row r="1666" spans="2:4" x14ac:dyDescent="0.35">
      <c r="B1666" s="314">
        <v>43166</v>
      </c>
      <c r="C1666" s="315">
        <v>43441.18</v>
      </c>
      <c r="D1666" s="317">
        <f t="shared" si="25"/>
        <v>-6.0386545277324455E-3</v>
      </c>
    </row>
    <row r="1667" spans="2:4" x14ac:dyDescent="0.35">
      <c r="B1667" s="314">
        <v>43165</v>
      </c>
      <c r="C1667" s="315">
        <v>43705.1</v>
      </c>
      <c r="D1667" s="317">
        <f t="shared" si="25"/>
        <v>-2.8284880331707063E-3</v>
      </c>
    </row>
    <row r="1668" spans="2:4" x14ac:dyDescent="0.35">
      <c r="B1668" s="314">
        <v>43164</v>
      </c>
      <c r="C1668" s="315">
        <v>43829.07</v>
      </c>
      <c r="D1668" s="317">
        <f t="shared" ref="D1668:D1731" si="26">(C1668/C1669)-1</f>
        <v>2.025125918799775E-3</v>
      </c>
    </row>
    <row r="1669" spans="2:4" x14ac:dyDescent="0.35">
      <c r="B1669" s="314">
        <v>43161</v>
      </c>
      <c r="C1669" s="315">
        <v>43740.49</v>
      </c>
      <c r="D1669" s="317">
        <f t="shared" si="26"/>
        <v>5.288392036936429E-3</v>
      </c>
    </row>
    <row r="1670" spans="2:4" x14ac:dyDescent="0.35">
      <c r="B1670" s="314">
        <v>43160</v>
      </c>
      <c r="C1670" s="315">
        <v>43510.39</v>
      </c>
      <c r="D1670" s="317">
        <f t="shared" si="26"/>
        <v>6.266269868434815E-3</v>
      </c>
    </row>
    <row r="1671" spans="2:4" x14ac:dyDescent="0.35">
      <c r="B1671" s="314">
        <v>43159</v>
      </c>
      <c r="C1671" s="315">
        <v>43239.44</v>
      </c>
      <c r="D1671" s="317">
        <f t="shared" si="26"/>
        <v>5.6862478764954094E-3</v>
      </c>
    </row>
    <row r="1672" spans="2:4" x14ac:dyDescent="0.35">
      <c r="B1672" s="314">
        <v>43158</v>
      </c>
      <c r="C1672" s="315">
        <v>42994.96</v>
      </c>
      <c r="D1672" s="317">
        <f t="shared" si="26"/>
        <v>1.9561408701076477E-3</v>
      </c>
    </row>
    <row r="1673" spans="2:4" x14ac:dyDescent="0.35">
      <c r="B1673" s="314">
        <v>43157</v>
      </c>
      <c r="C1673" s="315">
        <v>42911.02</v>
      </c>
      <c r="D1673" s="317">
        <f t="shared" si="26"/>
        <v>-8.2321019155388031E-3</v>
      </c>
    </row>
    <row r="1674" spans="2:4" x14ac:dyDescent="0.35">
      <c r="B1674" s="314">
        <v>43154</v>
      </c>
      <c r="C1674" s="315">
        <v>43267.199999999997</v>
      </c>
      <c r="D1674" s="317">
        <f t="shared" si="26"/>
        <v>-6.0031919309897486E-3</v>
      </c>
    </row>
    <row r="1675" spans="2:4" x14ac:dyDescent="0.35">
      <c r="B1675" s="314">
        <v>43153</v>
      </c>
      <c r="C1675" s="315">
        <v>43528.51</v>
      </c>
      <c r="D1675" s="317">
        <f t="shared" si="26"/>
        <v>1.4182971114949927E-2</v>
      </c>
    </row>
    <row r="1676" spans="2:4" x14ac:dyDescent="0.35">
      <c r="B1676" s="314">
        <v>43152</v>
      </c>
      <c r="C1676" s="315">
        <v>42919.78</v>
      </c>
      <c r="D1676" s="317">
        <f t="shared" si="26"/>
        <v>-8.6654448151574082E-3</v>
      </c>
    </row>
    <row r="1677" spans="2:4" x14ac:dyDescent="0.35">
      <c r="B1677" s="314">
        <v>43151</v>
      </c>
      <c r="C1677" s="315">
        <v>43294.95</v>
      </c>
      <c r="D1677" s="317">
        <f t="shared" si="26"/>
        <v>-6.3737200405666883E-3</v>
      </c>
    </row>
    <row r="1678" spans="2:4" x14ac:dyDescent="0.35">
      <c r="B1678" s="314">
        <v>43150</v>
      </c>
      <c r="C1678" s="315">
        <v>43572.67</v>
      </c>
      <c r="D1678" s="317">
        <f t="shared" si="26"/>
        <v>-1.2476190257890707E-3</v>
      </c>
    </row>
    <row r="1679" spans="2:4" x14ac:dyDescent="0.35">
      <c r="B1679" s="314">
        <v>43147</v>
      </c>
      <c r="C1679" s="315">
        <v>43627.1</v>
      </c>
      <c r="D1679" s="317">
        <f t="shared" si="26"/>
        <v>1.5945797097736802E-2</v>
      </c>
    </row>
    <row r="1680" spans="2:4" x14ac:dyDescent="0.35">
      <c r="B1680" s="314">
        <v>43146</v>
      </c>
      <c r="C1680" s="315">
        <v>42942.35</v>
      </c>
      <c r="D1680" s="317">
        <f t="shared" si="26"/>
        <v>-9.4731534397588524E-3</v>
      </c>
    </row>
    <row r="1681" spans="2:4" x14ac:dyDescent="0.35">
      <c r="B1681" s="314">
        <v>43145</v>
      </c>
      <c r="C1681" s="315">
        <v>43353.04</v>
      </c>
      <c r="D1681" s="317">
        <f t="shared" si="26"/>
        <v>-7.7206962817426561E-3</v>
      </c>
    </row>
    <row r="1682" spans="2:4" x14ac:dyDescent="0.35">
      <c r="B1682" s="314">
        <v>43144</v>
      </c>
      <c r="C1682" s="315">
        <v>43690.36</v>
      </c>
      <c r="D1682" s="317">
        <f t="shared" si="26"/>
        <v>4.0280289040028894E-3</v>
      </c>
    </row>
    <row r="1683" spans="2:4" x14ac:dyDescent="0.35">
      <c r="B1683" s="314">
        <v>43143</v>
      </c>
      <c r="C1683" s="315">
        <v>43515.08</v>
      </c>
      <c r="D1683" s="317">
        <f t="shared" si="26"/>
        <v>-6.7045890323406132E-3</v>
      </c>
    </row>
    <row r="1684" spans="2:4" x14ac:dyDescent="0.35">
      <c r="B1684" s="314">
        <v>43140</v>
      </c>
      <c r="C1684" s="315">
        <v>43808.800000000003</v>
      </c>
      <c r="D1684" s="317">
        <f t="shared" si="26"/>
        <v>2.9517029240242465E-3</v>
      </c>
    </row>
    <row r="1685" spans="2:4" x14ac:dyDescent="0.35">
      <c r="B1685" s="314">
        <v>43139</v>
      </c>
      <c r="C1685" s="315">
        <v>43679.87</v>
      </c>
      <c r="D1685" s="317">
        <f t="shared" si="26"/>
        <v>-9.4479175099876356E-3</v>
      </c>
    </row>
    <row r="1686" spans="2:4" x14ac:dyDescent="0.35">
      <c r="B1686" s="314">
        <v>43138</v>
      </c>
      <c r="C1686" s="315">
        <v>44096.49</v>
      </c>
      <c r="D1686" s="317">
        <f t="shared" si="26"/>
        <v>4.8075093578723305E-3</v>
      </c>
    </row>
    <row r="1687" spans="2:4" x14ac:dyDescent="0.35">
      <c r="B1687" s="314">
        <v>43137</v>
      </c>
      <c r="C1687" s="315">
        <v>43885.51</v>
      </c>
      <c r="D1687" s="317">
        <f t="shared" si="26"/>
        <v>-9.3832672704123876E-3</v>
      </c>
    </row>
    <row r="1688" spans="2:4" x14ac:dyDescent="0.35">
      <c r="B1688" s="314">
        <v>43133</v>
      </c>
      <c r="C1688" s="315">
        <v>44301.2</v>
      </c>
      <c r="D1688" s="317">
        <f t="shared" si="26"/>
        <v>1.0330923989525509E-3</v>
      </c>
    </row>
    <row r="1689" spans="2:4" x14ac:dyDescent="0.35">
      <c r="B1689" s="314">
        <v>43132</v>
      </c>
      <c r="C1689" s="315">
        <v>44255.48</v>
      </c>
      <c r="D1689" s="317">
        <f t="shared" si="26"/>
        <v>4.6863666753311772E-3</v>
      </c>
    </row>
    <row r="1690" spans="2:4" x14ac:dyDescent="0.35">
      <c r="B1690" s="314">
        <v>43131</v>
      </c>
      <c r="C1690" s="315">
        <v>44049.05</v>
      </c>
      <c r="D1690" s="317">
        <f t="shared" si="26"/>
        <v>-4.1611363071689667E-3</v>
      </c>
    </row>
    <row r="1691" spans="2:4" x14ac:dyDescent="0.35">
      <c r="B1691" s="314">
        <v>43130</v>
      </c>
      <c r="C1691" s="315">
        <v>44233.11</v>
      </c>
      <c r="D1691" s="317">
        <f t="shared" si="26"/>
        <v>-5.0428163653664093E-3</v>
      </c>
    </row>
    <row r="1692" spans="2:4" x14ac:dyDescent="0.35">
      <c r="B1692" s="314">
        <v>43129</v>
      </c>
      <c r="C1692" s="315">
        <v>44457.3</v>
      </c>
      <c r="D1692" s="317">
        <f t="shared" si="26"/>
        <v>-2.1061194182951937E-3</v>
      </c>
    </row>
    <row r="1693" spans="2:4" x14ac:dyDescent="0.35">
      <c r="B1693" s="314">
        <v>43126</v>
      </c>
      <c r="C1693" s="315">
        <v>44551.13</v>
      </c>
      <c r="D1693" s="317">
        <f t="shared" si="26"/>
        <v>-5.9259146867318702E-3</v>
      </c>
    </row>
    <row r="1694" spans="2:4" x14ac:dyDescent="0.35">
      <c r="B1694" s="314">
        <v>43125</v>
      </c>
      <c r="C1694" s="315">
        <v>44816.71</v>
      </c>
      <c r="D1694" s="317">
        <f t="shared" si="26"/>
        <v>-5.470094118905422E-3</v>
      </c>
    </row>
    <row r="1695" spans="2:4" x14ac:dyDescent="0.35">
      <c r="B1695" s="314">
        <v>43124</v>
      </c>
      <c r="C1695" s="315">
        <v>45063.21</v>
      </c>
      <c r="D1695" s="317">
        <f t="shared" si="26"/>
        <v>3.4740531585135681E-3</v>
      </c>
    </row>
    <row r="1696" spans="2:4" x14ac:dyDescent="0.35">
      <c r="B1696" s="314">
        <v>43123</v>
      </c>
      <c r="C1696" s="315">
        <v>44907.199999999997</v>
      </c>
      <c r="D1696" s="317">
        <f t="shared" si="26"/>
        <v>2.118149062901864E-4</v>
      </c>
    </row>
    <row r="1697" spans="2:4" x14ac:dyDescent="0.35">
      <c r="B1697" s="314">
        <v>43122</v>
      </c>
      <c r="C1697" s="315">
        <v>44897.69</v>
      </c>
      <c r="D1697" s="317">
        <f t="shared" si="26"/>
        <v>1.6271594336020323E-2</v>
      </c>
    </row>
    <row r="1698" spans="2:4" x14ac:dyDescent="0.35">
      <c r="B1698" s="314">
        <v>43119</v>
      </c>
      <c r="C1698" s="315">
        <v>44178.83</v>
      </c>
      <c r="D1698" s="317">
        <f t="shared" si="26"/>
        <v>1.3720466406369036E-2</v>
      </c>
    </row>
    <row r="1699" spans="2:4" x14ac:dyDescent="0.35">
      <c r="B1699" s="314">
        <v>43118</v>
      </c>
      <c r="C1699" s="315">
        <v>43580.88</v>
      </c>
      <c r="D1699" s="317">
        <f t="shared" si="26"/>
        <v>5.1179721289504876E-3</v>
      </c>
    </row>
    <row r="1700" spans="2:4" x14ac:dyDescent="0.35">
      <c r="B1700" s="314">
        <v>43117</v>
      </c>
      <c r="C1700" s="315">
        <v>43358.97</v>
      </c>
      <c r="D1700" s="317">
        <f t="shared" si="26"/>
        <v>9.7646279618293086E-3</v>
      </c>
    </row>
    <row r="1701" spans="2:4" x14ac:dyDescent="0.35">
      <c r="B1701" s="314">
        <v>43116</v>
      </c>
      <c r="C1701" s="315">
        <v>42939.68</v>
      </c>
      <c r="D1701" s="317">
        <f t="shared" si="26"/>
        <v>1.3984063754427956E-2</v>
      </c>
    </row>
    <row r="1702" spans="2:4" x14ac:dyDescent="0.35">
      <c r="B1702" s="314">
        <v>43115</v>
      </c>
      <c r="C1702" s="315">
        <v>42347.49</v>
      </c>
      <c r="D1702" s="317">
        <f t="shared" si="26"/>
        <v>-1.3654302492306813E-2</v>
      </c>
    </row>
    <row r="1703" spans="2:4" x14ac:dyDescent="0.35">
      <c r="B1703" s="314">
        <v>43112</v>
      </c>
      <c r="C1703" s="315">
        <v>42933.72</v>
      </c>
      <c r="D1703" s="317">
        <f t="shared" si="26"/>
        <v>-1.0636179787294808E-2</v>
      </c>
    </row>
    <row r="1704" spans="2:4" x14ac:dyDescent="0.35">
      <c r="B1704" s="314">
        <v>43111</v>
      </c>
      <c r="C1704" s="315">
        <v>43395.28</v>
      </c>
      <c r="D1704" s="317">
        <f t="shared" si="26"/>
        <v>-5.3966538270953102E-3</v>
      </c>
    </row>
    <row r="1705" spans="2:4" x14ac:dyDescent="0.35">
      <c r="B1705" s="314">
        <v>43110</v>
      </c>
      <c r="C1705" s="315">
        <v>43630.74</v>
      </c>
      <c r="D1705" s="317">
        <f t="shared" si="26"/>
        <v>1.9068377557612814E-2</v>
      </c>
    </row>
    <row r="1706" spans="2:4" x14ac:dyDescent="0.35">
      <c r="B1706" s="314">
        <v>43109</v>
      </c>
      <c r="C1706" s="315">
        <v>42814.34</v>
      </c>
      <c r="D1706" s="317">
        <f t="shared" si="26"/>
        <v>-6.9071064007060201E-3</v>
      </c>
    </row>
    <row r="1707" spans="2:4" x14ac:dyDescent="0.35">
      <c r="B1707" s="314">
        <v>43108</v>
      </c>
      <c r="C1707" s="315">
        <v>43112.12</v>
      </c>
      <c r="D1707" s="317">
        <f t="shared" si="26"/>
        <v>1.3830546004737654E-2</v>
      </c>
    </row>
    <row r="1708" spans="2:4" x14ac:dyDescent="0.35">
      <c r="B1708" s="314">
        <v>43105</v>
      </c>
      <c r="C1708" s="315">
        <v>42523.99</v>
      </c>
      <c r="D1708" s="317">
        <f t="shared" si="26"/>
        <v>1.4681434957076966E-2</v>
      </c>
    </row>
    <row r="1709" spans="2:4" x14ac:dyDescent="0.35">
      <c r="B1709" s="314">
        <v>43104</v>
      </c>
      <c r="C1709" s="315">
        <v>41908.71</v>
      </c>
      <c r="D1709" s="317">
        <f t="shared" si="26"/>
        <v>8.7723288915655395E-3</v>
      </c>
    </row>
    <row r="1710" spans="2:4" x14ac:dyDescent="0.35">
      <c r="B1710" s="314">
        <v>43103</v>
      </c>
      <c r="C1710" s="315">
        <v>41544.269999999997</v>
      </c>
      <c r="D1710" s="317">
        <f t="shared" si="26"/>
        <v>1.3835702717508447E-3</v>
      </c>
    </row>
    <row r="1711" spans="2:4" x14ac:dyDescent="0.35">
      <c r="B1711" s="314">
        <v>43102</v>
      </c>
      <c r="C1711" s="315">
        <v>41486.870000000003</v>
      </c>
      <c r="D1711" s="317">
        <f t="shared" si="26"/>
        <v>1.9056992894310731E-2</v>
      </c>
    </row>
    <row r="1712" spans="2:4" x14ac:dyDescent="0.35">
      <c r="B1712" s="314">
        <v>43101</v>
      </c>
      <c r="C1712" s="315">
        <v>40711.040000000001</v>
      </c>
      <c r="D1712" s="317">
        <f t="shared" si="26"/>
        <v>5.9192300355705996E-3</v>
      </c>
    </row>
    <row r="1713" spans="2:4" x14ac:dyDescent="0.35">
      <c r="B1713" s="314">
        <v>43098</v>
      </c>
      <c r="C1713" s="315">
        <v>40471.480000000003</v>
      </c>
      <c r="D1713" s="317">
        <f t="shared" si="26"/>
        <v>2.4812174784520913E-3</v>
      </c>
    </row>
    <row r="1714" spans="2:4" x14ac:dyDescent="0.35">
      <c r="B1714" s="314">
        <v>43097</v>
      </c>
      <c r="C1714" s="315">
        <v>40371.31</v>
      </c>
      <c r="D1714" s="317">
        <f t="shared" si="26"/>
        <v>5.59397988329291E-3</v>
      </c>
    </row>
    <row r="1715" spans="2:4" x14ac:dyDescent="0.35">
      <c r="B1715" s="314">
        <v>43096</v>
      </c>
      <c r="C1715" s="315">
        <v>40146.730000000003</v>
      </c>
      <c r="D1715" s="317">
        <f t="shared" si="26"/>
        <v>1.5710770826613096E-2</v>
      </c>
    </row>
    <row r="1716" spans="2:4" x14ac:dyDescent="0.35">
      <c r="B1716" s="314">
        <v>43095</v>
      </c>
      <c r="C1716" s="315">
        <v>39525.75</v>
      </c>
      <c r="D1716" s="317">
        <f t="shared" si="26"/>
        <v>2.4738632567899987E-3</v>
      </c>
    </row>
    <row r="1717" spans="2:4" x14ac:dyDescent="0.35">
      <c r="B1717" s="314">
        <v>43091</v>
      </c>
      <c r="C1717" s="315">
        <v>39428.21</v>
      </c>
      <c r="D1717" s="317">
        <f t="shared" si="26"/>
        <v>1.8401803709444664E-2</v>
      </c>
    </row>
    <row r="1718" spans="2:4" x14ac:dyDescent="0.35">
      <c r="B1718" s="314">
        <v>43090</v>
      </c>
      <c r="C1718" s="315">
        <v>38715.769999999997</v>
      </c>
      <c r="D1718" s="317">
        <f t="shared" si="26"/>
        <v>1.3288033990733972E-2</v>
      </c>
    </row>
    <row r="1719" spans="2:4" x14ac:dyDescent="0.35">
      <c r="B1719" s="314">
        <v>43089</v>
      </c>
      <c r="C1719" s="315">
        <v>38208.06</v>
      </c>
      <c r="D1719" s="317">
        <f t="shared" si="26"/>
        <v>7.6119307732027686E-3</v>
      </c>
    </row>
    <row r="1720" spans="2:4" x14ac:dyDescent="0.35">
      <c r="B1720" s="314">
        <v>43088</v>
      </c>
      <c r="C1720" s="315">
        <v>37919.42</v>
      </c>
      <c r="D1720" s="317">
        <f t="shared" si="26"/>
        <v>-1.2102708500449588E-2</v>
      </c>
    </row>
    <row r="1721" spans="2:4" x14ac:dyDescent="0.35">
      <c r="B1721" s="314">
        <v>43087</v>
      </c>
      <c r="C1721" s="315">
        <v>38383.97</v>
      </c>
      <c r="D1721" s="317">
        <f t="shared" si="26"/>
        <v>-6.7776918120679985E-3</v>
      </c>
    </row>
    <row r="1722" spans="2:4" x14ac:dyDescent="0.35">
      <c r="B1722" s="314">
        <v>43084</v>
      </c>
      <c r="C1722" s="315">
        <v>38645.9</v>
      </c>
      <c r="D1722" s="317">
        <f t="shared" si="26"/>
        <v>1.1049470810534201E-2</v>
      </c>
    </row>
    <row r="1723" spans="2:4" x14ac:dyDescent="0.35">
      <c r="B1723" s="314">
        <v>43083</v>
      </c>
      <c r="C1723" s="315">
        <v>38223.550000000003</v>
      </c>
      <c r="D1723" s="317">
        <f t="shared" si="26"/>
        <v>-1.53556253083168E-2</v>
      </c>
    </row>
    <row r="1724" spans="2:4" x14ac:dyDescent="0.35">
      <c r="B1724" s="314">
        <v>43082</v>
      </c>
      <c r="C1724" s="315">
        <v>38819.65</v>
      </c>
      <c r="D1724" s="317">
        <f t="shared" si="26"/>
        <v>7.6454032188357779E-3</v>
      </c>
    </row>
    <row r="1725" spans="2:4" x14ac:dyDescent="0.35">
      <c r="B1725" s="314">
        <v>43081</v>
      </c>
      <c r="C1725" s="315">
        <v>38525.11</v>
      </c>
      <c r="D1725" s="317">
        <f t="shared" si="26"/>
        <v>1.1280686664052464E-3</v>
      </c>
    </row>
    <row r="1726" spans="2:4" x14ac:dyDescent="0.35">
      <c r="B1726" s="314">
        <v>43080</v>
      </c>
      <c r="C1726" s="315">
        <v>38481.699999999997</v>
      </c>
      <c r="D1726" s="317">
        <f t="shared" si="26"/>
        <v>-1.530962128966229E-2</v>
      </c>
    </row>
    <row r="1727" spans="2:4" x14ac:dyDescent="0.35">
      <c r="B1727" s="314">
        <v>43077</v>
      </c>
      <c r="C1727" s="315">
        <v>39080</v>
      </c>
      <c r="D1727" s="317">
        <f t="shared" si="26"/>
        <v>7.6148662899195863E-3</v>
      </c>
    </row>
    <row r="1728" spans="2:4" x14ac:dyDescent="0.35">
      <c r="B1728" s="314">
        <v>43076</v>
      </c>
      <c r="C1728" s="315">
        <v>38784.660000000003</v>
      </c>
      <c r="D1728" s="317">
        <f t="shared" si="26"/>
        <v>-2.8131681105120432E-2</v>
      </c>
    </row>
    <row r="1729" spans="2:4" x14ac:dyDescent="0.35">
      <c r="B1729" s="314">
        <v>43075</v>
      </c>
      <c r="C1729" s="315">
        <v>39907.32</v>
      </c>
      <c r="D1729" s="317">
        <f t="shared" si="26"/>
        <v>-9.5355135921759704E-4</v>
      </c>
    </row>
    <row r="1730" spans="2:4" x14ac:dyDescent="0.35">
      <c r="B1730" s="314">
        <v>43074</v>
      </c>
      <c r="C1730" s="315">
        <v>39945.410000000003</v>
      </c>
      <c r="D1730" s="317">
        <f t="shared" si="26"/>
        <v>-2.6065049013977992E-3</v>
      </c>
    </row>
    <row r="1731" spans="2:4" x14ac:dyDescent="0.35">
      <c r="B1731" s="314">
        <v>43073</v>
      </c>
      <c r="C1731" s="315">
        <v>40049.800000000003</v>
      </c>
      <c r="D1731" s="317">
        <f t="shared" si="26"/>
        <v>9.8574469212486804E-4</v>
      </c>
    </row>
    <row r="1732" spans="2:4" x14ac:dyDescent="0.35">
      <c r="B1732" s="314">
        <v>43069</v>
      </c>
      <c r="C1732" s="315">
        <v>40010.36</v>
      </c>
      <c r="D1732" s="317">
        <f t="shared" ref="D1732:D1795" si="27">(C1732/C1733)-1</f>
        <v>8.5063124970226056E-3</v>
      </c>
    </row>
    <row r="1733" spans="2:4" x14ac:dyDescent="0.35">
      <c r="B1733" s="316">
        <v>43068</v>
      </c>
      <c r="C1733" s="315">
        <v>39672.89</v>
      </c>
      <c r="D1733" s="317">
        <f t="shared" si="27"/>
        <v>9.7794501859893579E-4</v>
      </c>
    </row>
    <row r="1734" spans="2:4" x14ac:dyDescent="0.35">
      <c r="B1734" s="314">
        <v>43067</v>
      </c>
      <c r="C1734" s="315">
        <v>39634.129999999997</v>
      </c>
      <c r="D1734" s="317">
        <f t="shared" si="27"/>
        <v>-9.9430033395642159E-3</v>
      </c>
    </row>
    <row r="1735" spans="2:4" x14ac:dyDescent="0.35">
      <c r="B1735" s="314">
        <v>43066</v>
      </c>
      <c r="C1735" s="315">
        <v>40032.17</v>
      </c>
      <c r="D1735" s="317">
        <f t="shared" si="27"/>
        <v>-5.3726345960003474E-3</v>
      </c>
    </row>
    <row r="1736" spans="2:4" x14ac:dyDescent="0.35">
      <c r="B1736" s="314">
        <v>43063</v>
      </c>
      <c r="C1736" s="315">
        <v>40248.410000000003</v>
      </c>
      <c r="D1736" s="317">
        <f t="shared" si="27"/>
        <v>-4.420579935383584E-4</v>
      </c>
    </row>
    <row r="1737" spans="2:4" x14ac:dyDescent="0.35">
      <c r="B1737" s="314">
        <v>43062</v>
      </c>
      <c r="C1737" s="315">
        <v>40266.21</v>
      </c>
      <c r="D1737" s="317">
        <f t="shared" si="27"/>
        <v>-8.0227887998262082E-3</v>
      </c>
    </row>
    <row r="1738" spans="2:4" x14ac:dyDescent="0.35">
      <c r="B1738" s="314">
        <v>43061</v>
      </c>
      <c r="C1738" s="315">
        <v>40591.870000000003</v>
      </c>
      <c r="D1738" s="317">
        <f t="shared" si="27"/>
        <v>1.0614362979153302E-3</v>
      </c>
    </row>
    <row r="1739" spans="2:4" x14ac:dyDescent="0.35">
      <c r="B1739" s="314">
        <v>43060</v>
      </c>
      <c r="C1739" s="315">
        <v>40548.83</v>
      </c>
      <c r="D1739" s="317">
        <f t="shared" si="27"/>
        <v>5.7519260519092175E-3</v>
      </c>
    </row>
    <row r="1740" spans="2:4" x14ac:dyDescent="0.35">
      <c r="B1740" s="314">
        <v>43059</v>
      </c>
      <c r="C1740" s="315">
        <v>40316.93</v>
      </c>
      <c r="D1740" s="317">
        <f t="shared" si="27"/>
        <v>-1.2914132659556765E-2</v>
      </c>
    </row>
    <row r="1741" spans="2:4" x14ac:dyDescent="0.35">
      <c r="B1741" s="314">
        <v>43056</v>
      </c>
      <c r="C1741" s="315">
        <v>40844.400000000001</v>
      </c>
      <c r="D1741" s="317">
        <f t="shared" si="27"/>
        <v>7.6176129796889924E-4</v>
      </c>
    </row>
    <row r="1742" spans="2:4" x14ac:dyDescent="0.35">
      <c r="B1742" s="314">
        <v>43055</v>
      </c>
      <c r="C1742" s="315">
        <v>40813.31</v>
      </c>
      <c r="D1742" s="317">
        <f t="shared" si="27"/>
        <v>3.70166434718322E-3</v>
      </c>
    </row>
    <row r="1743" spans="2:4" x14ac:dyDescent="0.35">
      <c r="B1743" s="314">
        <v>43054</v>
      </c>
      <c r="C1743" s="315">
        <v>40662.79</v>
      </c>
      <c r="D1743" s="317">
        <f t="shared" si="27"/>
        <v>-6.8628250737962082E-3</v>
      </c>
    </row>
    <row r="1744" spans="2:4" x14ac:dyDescent="0.35">
      <c r="B1744" s="314">
        <v>43053</v>
      </c>
      <c r="C1744" s="315">
        <v>40943.78</v>
      </c>
      <c r="D1744" s="317">
        <f t="shared" si="27"/>
        <v>-7.1801840402581085E-3</v>
      </c>
    </row>
    <row r="1745" spans="2:4" x14ac:dyDescent="0.35">
      <c r="B1745" s="314">
        <v>43052</v>
      </c>
      <c r="C1745" s="315">
        <v>41239.89</v>
      </c>
      <c r="D1745" s="317">
        <f t="shared" si="27"/>
        <v>-4.7256351407118924E-3</v>
      </c>
    </row>
    <row r="1746" spans="2:4" x14ac:dyDescent="0.35">
      <c r="B1746" s="314">
        <v>43049</v>
      </c>
      <c r="C1746" s="315">
        <v>41435.699999999997</v>
      </c>
      <c r="D1746" s="317">
        <f t="shared" si="27"/>
        <v>-8.4819010025327657E-3</v>
      </c>
    </row>
    <row r="1747" spans="2:4" x14ac:dyDescent="0.35">
      <c r="B1747" s="314">
        <v>43048</v>
      </c>
      <c r="C1747" s="315">
        <v>41790.160000000003</v>
      </c>
      <c r="D1747" s="317">
        <f t="shared" si="27"/>
        <v>1.2869869381732402E-2</v>
      </c>
    </row>
    <row r="1748" spans="2:4" x14ac:dyDescent="0.35">
      <c r="B1748" s="314">
        <v>43047</v>
      </c>
      <c r="C1748" s="315">
        <v>41259.160000000003</v>
      </c>
      <c r="D1748" s="317">
        <f t="shared" si="27"/>
        <v>5.114348092363219E-3</v>
      </c>
    </row>
    <row r="1749" spans="2:4" x14ac:dyDescent="0.35">
      <c r="B1749" s="314">
        <v>43046</v>
      </c>
      <c r="C1749" s="315">
        <v>41049.22</v>
      </c>
      <c r="D1749" s="317">
        <f t="shared" si="27"/>
        <v>4.4966253375222642E-4</v>
      </c>
    </row>
    <row r="1750" spans="2:4" x14ac:dyDescent="0.35">
      <c r="B1750" s="314">
        <v>43045</v>
      </c>
      <c r="C1750" s="315">
        <v>41030.769999999997</v>
      </c>
      <c r="D1750" s="317">
        <f t="shared" si="27"/>
        <v>-8.092246249756796E-4</v>
      </c>
    </row>
    <row r="1751" spans="2:4" x14ac:dyDescent="0.35">
      <c r="B1751" s="314">
        <v>43042</v>
      </c>
      <c r="C1751" s="315">
        <v>41064</v>
      </c>
      <c r="D1751" s="317">
        <f t="shared" si="27"/>
        <v>1.395421650036166E-2</v>
      </c>
    </row>
    <row r="1752" spans="2:4" x14ac:dyDescent="0.35">
      <c r="B1752" s="314">
        <v>43041</v>
      </c>
      <c r="C1752" s="315">
        <v>40498.870000000003</v>
      </c>
      <c r="D1752" s="317">
        <f t="shared" si="27"/>
        <v>1.1180699684874007E-3</v>
      </c>
    </row>
    <row r="1753" spans="2:4" x14ac:dyDescent="0.35">
      <c r="B1753" s="314">
        <v>43040</v>
      </c>
      <c r="C1753" s="315">
        <v>40453.64</v>
      </c>
      <c r="D1753" s="317">
        <f t="shared" si="27"/>
        <v>2.1113309651694001E-2</v>
      </c>
    </row>
    <row r="1754" spans="2:4" x14ac:dyDescent="0.35">
      <c r="B1754" s="314">
        <v>43039</v>
      </c>
      <c r="C1754" s="315">
        <v>39617.19</v>
      </c>
      <c r="D1754" s="317">
        <f t="shared" si="27"/>
        <v>-1.7536067564189461E-2</v>
      </c>
    </row>
    <row r="1755" spans="2:4" x14ac:dyDescent="0.35">
      <c r="B1755" s="314">
        <v>43038</v>
      </c>
      <c r="C1755" s="315">
        <v>40324.32</v>
      </c>
      <c r="D1755" s="317">
        <f t="shared" si="27"/>
        <v>-1.9001882964282069E-2</v>
      </c>
    </row>
    <row r="1756" spans="2:4" x14ac:dyDescent="0.35">
      <c r="B1756" s="314">
        <v>43035</v>
      </c>
      <c r="C1756" s="315">
        <v>41105.4</v>
      </c>
      <c r="D1756" s="317">
        <f t="shared" si="27"/>
        <v>-7.3434857565257694E-3</v>
      </c>
    </row>
    <row r="1757" spans="2:4" x14ac:dyDescent="0.35">
      <c r="B1757" s="314">
        <v>43034</v>
      </c>
      <c r="C1757" s="315">
        <v>41409.49</v>
      </c>
      <c r="D1757" s="317">
        <f t="shared" si="27"/>
        <v>-4.4675699093071897E-3</v>
      </c>
    </row>
    <row r="1758" spans="2:4" x14ac:dyDescent="0.35">
      <c r="B1758" s="314">
        <v>43033</v>
      </c>
      <c r="C1758" s="315">
        <v>41595.32</v>
      </c>
      <c r="D1758" s="317">
        <f t="shared" si="27"/>
        <v>7.3535395023889283E-3</v>
      </c>
    </row>
    <row r="1759" spans="2:4" x14ac:dyDescent="0.35">
      <c r="B1759" s="314">
        <v>43032</v>
      </c>
      <c r="C1759" s="315">
        <v>41291.68</v>
      </c>
      <c r="D1759" s="317">
        <f t="shared" si="27"/>
        <v>-4.6249669145883576E-3</v>
      </c>
    </row>
    <row r="1760" spans="2:4" x14ac:dyDescent="0.35">
      <c r="B1760" s="314">
        <v>43031</v>
      </c>
      <c r="C1760" s="315">
        <v>41483.54</v>
      </c>
      <c r="D1760" s="317">
        <f t="shared" si="27"/>
        <v>-1.4359237300800687E-2</v>
      </c>
    </row>
    <row r="1761" spans="2:4" x14ac:dyDescent="0.35">
      <c r="B1761" s="314">
        <v>43028</v>
      </c>
      <c r="C1761" s="315">
        <v>42087.89</v>
      </c>
      <c r="D1761" s="317">
        <f t="shared" si="27"/>
        <v>1.2748907733203252E-2</v>
      </c>
    </row>
    <row r="1762" spans="2:4" x14ac:dyDescent="0.35">
      <c r="B1762" s="314">
        <v>43027</v>
      </c>
      <c r="C1762" s="315">
        <v>41558.07</v>
      </c>
      <c r="D1762" s="317">
        <f t="shared" si="27"/>
        <v>2.0244295535978507E-2</v>
      </c>
    </row>
    <row r="1763" spans="2:4" x14ac:dyDescent="0.35">
      <c r="B1763" s="314">
        <v>43026</v>
      </c>
      <c r="C1763" s="315">
        <v>40733.449999999997</v>
      </c>
      <c r="D1763" s="317">
        <f t="shared" si="27"/>
        <v>2.0847165964066328E-4</v>
      </c>
    </row>
    <row r="1764" spans="2:4" x14ac:dyDescent="0.35">
      <c r="B1764" s="314">
        <v>43025</v>
      </c>
      <c r="C1764" s="315">
        <v>40724.959999999999</v>
      </c>
      <c r="D1764" s="317">
        <f t="shared" si="27"/>
        <v>-1.6285299422255095E-3</v>
      </c>
    </row>
    <row r="1765" spans="2:4" x14ac:dyDescent="0.35">
      <c r="B1765" s="314">
        <v>43024</v>
      </c>
      <c r="C1765" s="315">
        <v>40791.39</v>
      </c>
      <c r="D1765" s="317">
        <f t="shared" si="27"/>
        <v>2.3706056047690716E-2</v>
      </c>
    </row>
    <row r="1766" spans="2:4" x14ac:dyDescent="0.35">
      <c r="B1766" s="314">
        <v>43021</v>
      </c>
      <c r="C1766" s="315">
        <v>39846.78</v>
      </c>
      <c r="D1766" s="317">
        <f t="shared" si="27"/>
        <v>-9.7110831604225734E-3</v>
      </c>
    </row>
    <row r="1767" spans="2:4" x14ac:dyDescent="0.35">
      <c r="B1767" s="314">
        <v>43020</v>
      </c>
      <c r="C1767" s="315">
        <v>40237.53</v>
      </c>
      <c r="D1767" s="317">
        <f t="shared" si="27"/>
        <v>-6.5710078689146245E-3</v>
      </c>
    </row>
    <row r="1768" spans="2:4" x14ac:dyDescent="0.35">
      <c r="B1768" s="314">
        <v>43019</v>
      </c>
      <c r="C1768" s="315">
        <v>40503.68</v>
      </c>
      <c r="D1768" s="317">
        <f t="shared" si="27"/>
        <v>-2.6357572581821032E-3</v>
      </c>
    </row>
    <row r="1769" spans="2:4" x14ac:dyDescent="0.35">
      <c r="B1769" s="314">
        <v>43018</v>
      </c>
      <c r="C1769" s="315">
        <v>40610.720000000001</v>
      </c>
      <c r="D1769" s="317">
        <f t="shared" si="27"/>
        <v>-1.1904382458487128E-2</v>
      </c>
    </row>
    <row r="1770" spans="2:4" x14ac:dyDescent="0.35">
      <c r="B1770" s="314">
        <v>43017</v>
      </c>
      <c r="C1770" s="315">
        <v>41099.99</v>
      </c>
      <c r="D1770" s="317">
        <f t="shared" si="27"/>
        <v>-5.1461309978386716E-3</v>
      </c>
    </row>
    <row r="1771" spans="2:4" x14ac:dyDescent="0.35">
      <c r="B1771" s="314">
        <v>43014</v>
      </c>
      <c r="C1771" s="315">
        <v>41312.589999999997</v>
      </c>
      <c r="D1771" s="317">
        <f t="shared" si="27"/>
        <v>2.0858203505986994E-2</v>
      </c>
    </row>
    <row r="1772" spans="2:4" x14ac:dyDescent="0.35">
      <c r="B1772" s="314">
        <v>43013</v>
      </c>
      <c r="C1772" s="315">
        <v>40468.49</v>
      </c>
      <c r="D1772" s="317">
        <f t="shared" si="27"/>
        <v>1.8511653196906508E-4</v>
      </c>
    </row>
    <row r="1773" spans="2:4" x14ac:dyDescent="0.35">
      <c r="B1773" s="314">
        <v>43012</v>
      </c>
      <c r="C1773" s="315">
        <v>40461</v>
      </c>
      <c r="D1773" s="317">
        <f t="shared" si="27"/>
        <v>-1.59252724866219E-2</v>
      </c>
    </row>
    <row r="1774" spans="2:4" x14ac:dyDescent="0.35">
      <c r="B1774" s="314">
        <v>43011</v>
      </c>
      <c r="C1774" s="315">
        <v>41115.78</v>
      </c>
      <c r="D1774" s="317">
        <f t="shared" si="27"/>
        <v>-2.1493185209512933E-2</v>
      </c>
    </row>
    <row r="1775" spans="2:4" x14ac:dyDescent="0.35">
      <c r="B1775" s="314">
        <v>43010</v>
      </c>
      <c r="C1775" s="315">
        <v>42018.9</v>
      </c>
      <c r="D1775" s="317">
        <f t="shared" si="27"/>
        <v>-9.2048271521767422E-3</v>
      </c>
    </row>
    <row r="1776" spans="2:4" x14ac:dyDescent="0.35">
      <c r="B1776" s="314">
        <v>43007</v>
      </c>
      <c r="C1776" s="315">
        <v>42409.27</v>
      </c>
      <c r="D1776" s="317">
        <f t="shared" si="27"/>
        <v>1.0952987840529005E-3</v>
      </c>
    </row>
    <row r="1777" spans="2:4" x14ac:dyDescent="0.35">
      <c r="B1777" s="314">
        <v>43006</v>
      </c>
      <c r="C1777" s="315">
        <v>42362.87</v>
      </c>
      <c r="D1777" s="317">
        <f t="shared" si="27"/>
        <v>1.7195493513264548E-3</v>
      </c>
    </row>
    <row r="1778" spans="2:4" x14ac:dyDescent="0.35">
      <c r="B1778" s="314">
        <v>43005</v>
      </c>
      <c r="C1778" s="315">
        <v>42290.15</v>
      </c>
      <c r="D1778" s="317">
        <f t="shared" si="27"/>
        <v>-8.8144652105424104E-3</v>
      </c>
    </row>
    <row r="1779" spans="2:4" x14ac:dyDescent="0.35">
      <c r="B1779" s="314">
        <v>43004</v>
      </c>
      <c r="C1779" s="315">
        <v>42666.23</v>
      </c>
      <c r="D1779" s="317">
        <f t="shared" si="27"/>
        <v>-1.8112631934801282E-3</v>
      </c>
    </row>
    <row r="1780" spans="2:4" x14ac:dyDescent="0.35">
      <c r="B1780" s="314">
        <v>43003</v>
      </c>
      <c r="C1780" s="315">
        <v>42743.65</v>
      </c>
      <c r="D1780" s="317">
        <f t="shared" si="27"/>
        <v>-1.5298177622136144E-4</v>
      </c>
    </row>
    <row r="1781" spans="2:4" x14ac:dyDescent="0.35">
      <c r="B1781" s="314">
        <v>43000</v>
      </c>
      <c r="C1781" s="315">
        <v>42750.19</v>
      </c>
      <c r="D1781" s="317">
        <f t="shared" si="27"/>
        <v>-5.8094627147042832E-4</v>
      </c>
    </row>
    <row r="1782" spans="2:4" x14ac:dyDescent="0.35">
      <c r="B1782" s="314">
        <v>42999</v>
      </c>
      <c r="C1782" s="315">
        <v>42775.040000000001</v>
      </c>
      <c r="D1782" s="317">
        <f t="shared" si="27"/>
        <v>-1.3195598406626652E-2</v>
      </c>
    </row>
    <row r="1783" spans="2:4" x14ac:dyDescent="0.35">
      <c r="B1783" s="314">
        <v>42998</v>
      </c>
      <c r="C1783" s="315">
        <v>43347.03</v>
      </c>
      <c r="D1783" s="317">
        <f t="shared" si="27"/>
        <v>2.1679290763285675E-3</v>
      </c>
    </row>
    <row r="1784" spans="2:4" x14ac:dyDescent="0.35">
      <c r="B1784" s="314">
        <v>42997</v>
      </c>
      <c r="C1784" s="315">
        <v>43253.26</v>
      </c>
      <c r="D1784" s="317">
        <f t="shared" si="27"/>
        <v>9.6133623986698336E-3</v>
      </c>
    </row>
    <row r="1785" spans="2:4" x14ac:dyDescent="0.35">
      <c r="B1785" s="314">
        <v>42996</v>
      </c>
      <c r="C1785" s="315">
        <v>42841.41</v>
      </c>
      <c r="D1785" s="317">
        <f t="shared" si="27"/>
        <v>1.2672017021917448E-3</v>
      </c>
    </row>
    <row r="1786" spans="2:4" x14ac:dyDescent="0.35">
      <c r="B1786" s="314">
        <v>42993</v>
      </c>
      <c r="C1786" s="315">
        <v>42787.19</v>
      </c>
      <c r="D1786" s="317">
        <f t="shared" si="27"/>
        <v>2.4276319904825705E-3</v>
      </c>
    </row>
    <row r="1787" spans="2:4" x14ac:dyDescent="0.35">
      <c r="B1787" s="314">
        <v>42992</v>
      </c>
      <c r="C1787" s="315">
        <v>42683.57</v>
      </c>
      <c r="D1787" s="317">
        <f t="shared" si="27"/>
        <v>8.8264935197535088E-3</v>
      </c>
    </row>
    <row r="1788" spans="2:4" x14ac:dyDescent="0.35">
      <c r="B1788" s="314">
        <v>42991</v>
      </c>
      <c r="C1788" s="315">
        <v>42310.12</v>
      </c>
      <c r="D1788" s="317">
        <f t="shared" si="27"/>
        <v>2.4971838185240625E-2</v>
      </c>
    </row>
    <row r="1789" spans="2:4" x14ac:dyDescent="0.35">
      <c r="B1789" s="314">
        <v>42990</v>
      </c>
      <c r="C1789" s="315">
        <v>41279.300000000003</v>
      </c>
      <c r="D1789" s="317">
        <f t="shared" si="27"/>
        <v>3.7073122338873166E-3</v>
      </c>
    </row>
    <row r="1790" spans="2:4" x14ac:dyDescent="0.35">
      <c r="B1790" s="314">
        <v>42989</v>
      </c>
      <c r="C1790" s="315">
        <v>41126.83</v>
      </c>
      <c r="D1790" s="317">
        <f t="shared" si="27"/>
        <v>-6.6227836898703485E-3</v>
      </c>
    </row>
    <row r="1791" spans="2:4" x14ac:dyDescent="0.35">
      <c r="B1791" s="314">
        <v>42986</v>
      </c>
      <c r="C1791" s="315">
        <v>41401.019999999997</v>
      </c>
      <c r="D1791" s="317">
        <f t="shared" si="27"/>
        <v>1.0800404798497976E-2</v>
      </c>
    </row>
    <row r="1792" spans="2:4" x14ac:dyDescent="0.35">
      <c r="B1792" s="314">
        <v>42985</v>
      </c>
      <c r="C1792" s="315">
        <v>40958.65</v>
      </c>
      <c r="D1792" s="317">
        <f t="shared" si="27"/>
        <v>-1.0421360333742413E-2</v>
      </c>
    </row>
    <row r="1793" spans="2:4" x14ac:dyDescent="0.35">
      <c r="B1793" s="314">
        <v>42984</v>
      </c>
      <c r="C1793" s="315">
        <v>41389.99</v>
      </c>
      <c r="D1793" s="317">
        <f t="shared" si="27"/>
        <v>-9.315879672181393E-3</v>
      </c>
    </row>
    <row r="1794" spans="2:4" x14ac:dyDescent="0.35">
      <c r="B1794" s="314">
        <v>42983</v>
      </c>
      <c r="C1794" s="315">
        <v>41779.199999999997</v>
      </c>
      <c r="D1794" s="317">
        <f t="shared" si="27"/>
        <v>1.3886236291464016E-2</v>
      </c>
    </row>
    <row r="1795" spans="2:4" x14ac:dyDescent="0.35">
      <c r="B1795" s="314">
        <v>42978</v>
      </c>
      <c r="C1795" s="315">
        <v>41206.99</v>
      </c>
      <c r="D1795" s="317">
        <f t="shared" si="27"/>
        <v>-2.8230807298000871E-3</v>
      </c>
    </row>
    <row r="1796" spans="2:4" x14ac:dyDescent="0.35">
      <c r="B1796" s="314">
        <v>42977</v>
      </c>
      <c r="C1796" s="315">
        <v>41323.65</v>
      </c>
      <c r="D1796" s="317">
        <f t="shared" ref="D1796:D1859" si="28">(C1796/C1797)-1</f>
        <v>2.196537343317484E-3</v>
      </c>
    </row>
    <row r="1797" spans="2:4" x14ac:dyDescent="0.35">
      <c r="B1797" s="314">
        <v>42976</v>
      </c>
      <c r="C1797" s="315">
        <v>41233.08</v>
      </c>
      <c r="D1797" s="317">
        <f t="shared" si="28"/>
        <v>-1.7657028528463403E-2</v>
      </c>
    </row>
    <row r="1798" spans="2:4" x14ac:dyDescent="0.35">
      <c r="B1798" s="314">
        <v>42975</v>
      </c>
      <c r="C1798" s="315">
        <v>41974.22</v>
      </c>
      <c r="D1798" s="317">
        <f t="shared" si="28"/>
        <v>-1.5654376286151406E-2</v>
      </c>
    </row>
    <row r="1799" spans="2:4" x14ac:dyDescent="0.35">
      <c r="B1799" s="314">
        <v>42972</v>
      </c>
      <c r="C1799" s="315">
        <v>42641.75</v>
      </c>
      <c r="D1799" s="317">
        <f t="shared" si="28"/>
        <v>8.8275888827218374E-3</v>
      </c>
    </row>
    <row r="1800" spans="2:4" x14ac:dyDescent="0.35">
      <c r="B1800" s="314">
        <v>42971</v>
      </c>
      <c r="C1800" s="315">
        <v>42268.62</v>
      </c>
      <c r="D1800" s="317">
        <f t="shared" si="28"/>
        <v>-1.4965233685979684E-2</v>
      </c>
    </row>
    <row r="1801" spans="2:4" x14ac:dyDescent="0.35">
      <c r="B1801" s="314">
        <v>42970</v>
      </c>
      <c r="C1801" s="315">
        <v>42910.79</v>
      </c>
      <c r="D1801" s="317">
        <f t="shared" si="28"/>
        <v>2.2095287729651636E-2</v>
      </c>
    </row>
    <row r="1802" spans="2:4" x14ac:dyDescent="0.35">
      <c r="B1802" s="314">
        <v>42969</v>
      </c>
      <c r="C1802" s="315">
        <v>41983.16</v>
      </c>
      <c r="D1802" s="317">
        <f t="shared" si="28"/>
        <v>-4.0381103484463665E-3</v>
      </c>
    </row>
    <row r="1803" spans="2:4" x14ac:dyDescent="0.35">
      <c r="B1803" s="314">
        <v>42968</v>
      </c>
      <c r="C1803" s="315">
        <v>42153.38</v>
      </c>
      <c r="D1803" s="317">
        <f t="shared" si="28"/>
        <v>-2.1472488055493288E-2</v>
      </c>
    </row>
    <row r="1804" spans="2:4" x14ac:dyDescent="0.35">
      <c r="B1804" s="314">
        <v>42965</v>
      </c>
      <c r="C1804" s="315">
        <v>43078.38</v>
      </c>
      <c r="D1804" s="317">
        <f t="shared" si="28"/>
        <v>-1.3371643121786736E-3</v>
      </c>
    </row>
    <row r="1805" spans="2:4" x14ac:dyDescent="0.35">
      <c r="B1805" s="314">
        <v>42964</v>
      </c>
      <c r="C1805" s="315">
        <v>43136.06</v>
      </c>
      <c r="D1805" s="317">
        <f t="shared" si="28"/>
        <v>-2.3783034632841926E-2</v>
      </c>
    </row>
    <row r="1806" spans="2:4" x14ac:dyDescent="0.35">
      <c r="B1806" s="314">
        <v>42963</v>
      </c>
      <c r="C1806" s="315">
        <v>44186.96</v>
      </c>
      <c r="D1806" s="317">
        <f t="shared" si="28"/>
        <v>6.549284786028009E-3</v>
      </c>
    </row>
    <row r="1807" spans="2:4" x14ac:dyDescent="0.35">
      <c r="B1807" s="314">
        <v>42962</v>
      </c>
      <c r="C1807" s="315">
        <v>43899.45</v>
      </c>
      <c r="D1807" s="317">
        <f t="shared" si="28"/>
        <v>-3.0670927646295976E-2</v>
      </c>
    </row>
    <row r="1808" spans="2:4" x14ac:dyDescent="0.35">
      <c r="B1808" s="314">
        <v>42958</v>
      </c>
      <c r="C1808" s="315">
        <v>45288.49</v>
      </c>
      <c r="D1808" s="317">
        <f t="shared" si="28"/>
        <v>-7.5717633467311529E-3</v>
      </c>
    </row>
    <row r="1809" spans="2:4" x14ac:dyDescent="0.35">
      <c r="B1809" s="314">
        <v>42957</v>
      </c>
      <c r="C1809" s="315">
        <v>45634.02</v>
      </c>
      <c r="D1809" s="317">
        <f t="shared" si="28"/>
        <v>-7.9304225478876722E-3</v>
      </c>
    </row>
    <row r="1810" spans="2:4" x14ac:dyDescent="0.35">
      <c r="B1810" s="314">
        <v>42956</v>
      </c>
      <c r="C1810" s="315">
        <v>45998.81</v>
      </c>
      <c r="D1810" s="317">
        <f t="shared" si="28"/>
        <v>4.1561819672586431E-4</v>
      </c>
    </row>
    <row r="1811" spans="2:4" x14ac:dyDescent="0.35">
      <c r="B1811" s="314">
        <v>42955</v>
      </c>
      <c r="C1811" s="315">
        <v>45979.7</v>
      </c>
      <c r="D1811" s="317">
        <f t="shared" si="28"/>
        <v>-1.0458476216629764E-2</v>
      </c>
    </row>
    <row r="1812" spans="2:4" x14ac:dyDescent="0.35">
      <c r="B1812" s="314">
        <v>42954</v>
      </c>
      <c r="C1812" s="315">
        <v>46465.66</v>
      </c>
      <c r="D1812" s="317">
        <f t="shared" si="28"/>
        <v>-8.7827026132225594E-3</v>
      </c>
    </row>
    <row r="1813" spans="2:4" x14ac:dyDescent="0.35">
      <c r="B1813" s="314">
        <v>42951</v>
      </c>
      <c r="C1813" s="315">
        <v>46877.37</v>
      </c>
      <c r="D1813" s="317">
        <f t="shared" si="28"/>
        <v>-4.3957290258288539E-3</v>
      </c>
    </row>
    <row r="1814" spans="2:4" x14ac:dyDescent="0.35">
      <c r="B1814" s="314">
        <v>42950</v>
      </c>
      <c r="C1814" s="315">
        <v>47084.34</v>
      </c>
      <c r="D1814" s="317">
        <f t="shared" si="28"/>
        <v>2.8818480633467924E-3</v>
      </c>
    </row>
    <row r="1815" spans="2:4" x14ac:dyDescent="0.35">
      <c r="B1815" s="314">
        <v>42949</v>
      </c>
      <c r="C1815" s="315">
        <v>46949.04</v>
      </c>
      <c r="D1815" s="317">
        <f t="shared" si="28"/>
        <v>8.9314284375769937E-3</v>
      </c>
    </row>
    <row r="1816" spans="2:4" x14ac:dyDescent="0.35">
      <c r="B1816" s="314">
        <v>42948</v>
      </c>
      <c r="C1816" s="315">
        <v>46533.43</v>
      </c>
      <c r="D1816" s="317">
        <f t="shared" si="28"/>
        <v>1.13665482515386E-2</v>
      </c>
    </row>
    <row r="1817" spans="2:4" x14ac:dyDescent="0.35">
      <c r="B1817" s="314">
        <v>42947</v>
      </c>
      <c r="C1817" s="315">
        <v>46010.45</v>
      </c>
      <c r="D1817" s="317">
        <f t="shared" si="28"/>
        <v>2.1436647432055977E-3</v>
      </c>
    </row>
    <row r="1818" spans="2:4" x14ac:dyDescent="0.35">
      <c r="B1818" s="314">
        <v>42944</v>
      </c>
      <c r="C1818" s="315">
        <v>45912.03</v>
      </c>
      <c r="D1818" s="317">
        <f t="shared" si="28"/>
        <v>1.3658416721562538E-4</v>
      </c>
    </row>
    <row r="1819" spans="2:4" x14ac:dyDescent="0.35">
      <c r="B1819" s="314">
        <v>42943</v>
      </c>
      <c r="C1819" s="315">
        <v>45905.760000000002</v>
      </c>
      <c r="D1819" s="317">
        <f t="shared" si="28"/>
        <v>-5.7288003347477634E-5</v>
      </c>
    </row>
    <row r="1820" spans="2:4" x14ac:dyDescent="0.35">
      <c r="B1820" s="314">
        <v>42942</v>
      </c>
      <c r="C1820" s="315">
        <v>45908.39</v>
      </c>
      <c r="D1820" s="317">
        <f t="shared" si="28"/>
        <v>-2.0710877457374988E-4</v>
      </c>
    </row>
    <row r="1821" spans="2:4" x14ac:dyDescent="0.35">
      <c r="B1821" s="314">
        <v>42941</v>
      </c>
      <c r="C1821" s="315">
        <v>45917.9</v>
      </c>
      <c r="D1821" s="317">
        <f t="shared" si="28"/>
        <v>8.5373782100279794E-3</v>
      </c>
    </row>
    <row r="1822" spans="2:4" x14ac:dyDescent="0.35">
      <c r="B1822" s="314">
        <v>42940</v>
      </c>
      <c r="C1822" s="315">
        <v>45529.2</v>
      </c>
      <c r="D1822" s="317">
        <f t="shared" si="28"/>
        <v>5.1840857112768202E-3</v>
      </c>
    </row>
    <row r="1823" spans="2:4" x14ac:dyDescent="0.35">
      <c r="B1823" s="314">
        <v>42937</v>
      </c>
      <c r="C1823" s="315">
        <v>45294.39</v>
      </c>
      <c r="D1823" s="317">
        <f t="shared" si="28"/>
        <v>5.2032925927758544E-3</v>
      </c>
    </row>
    <row r="1824" spans="2:4" x14ac:dyDescent="0.35">
      <c r="B1824" s="314">
        <v>42936</v>
      </c>
      <c r="C1824" s="315">
        <v>45059.93</v>
      </c>
      <c r="D1824" s="317">
        <f t="shared" si="28"/>
        <v>-7.8991692848979778E-3</v>
      </c>
    </row>
    <row r="1825" spans="2:4" x14ac:dyDescent="0.35">
      <c r="B1825" s="314">
        <v>42935</v>
      </c>
      <c r="C1825" s="315">
        <v>45418.7</v>
      </c>
      <c r="D1825" s="317">
        <f t="shared" si="28"/>
        <v>-4.7694426111110078E-3</v>
      </c>
    </row>
    <row r="1826" spans="2:4" x14ac:dyDescent="0.35">
      <c r="B1826" s="314">
        <v>42934</v>
      </c>
      <c r="C1826" s="315">
        <v>45636.36</v>
      </c>
      <c r="D1826" s="317">
        <f t="shared" si="28"/>
        <v>2.5001566598634728E-2</v>
      </c>
    </row>
    <row r="1827" spans="2:4" x14ac:dyDescent="0.35">
      <c r="B1827" s="314">
        <v>42933</v>
      </c>
      <c r="C1827" s="315">
        <v>44523.21</v>
      </c>
      <c r="D1827" s="317">
        <f t="shared" si="28"/>
        <v>4.189912633656645E-3</v>
      </c>
    </row>
    <row r="1828" spans="2:4" x14ac:dyDescent="0.35">
      <c r="B1828" s="314">
        <v>42930</v>
      </c>
      <c r="C1828" s="315">
        <v>44337.440000000002</v>
      </c>
      <c r="D1828" s="317">
        <f t="shared" si="28"/>
        <v>1.2650641622253156E-2</v>
      </c>
    </row>
    <row r="1829" spans="2:4" x14ac:dyDescent="0.35">
      <c r="B1829" s="314">
        <v>42929</v>
      </c>
      <c r="C1829" s="315">
        <v>43783.55</v>
      </c>
      <c r="D1829" s="317">
        <f t="shared" si="28"/>
        <v>-1.9729545382407565E-4</v>
      </c>
    </row>
    <row r="1830" spans="2:4" x14ac:dyDescent="0.35">
      <c r="B1830" s="314">
        <v>42928</v>
      </c>
      <c r="C1830" s="315">
        <v>43792.19</v>
      </c>
      <c r="D1830" s="317">
        <f t="shared" si="28"/>
        <v>-7.443011855238546E-3</v>
      </c>
    </row>
    <row r="1831" spans="2:4" x14ac:dyDescent="0.35">
      <c r="B1831" s="314">
        <v>42927</v>
      </c>
      <c r="C1831" s="315">
        <v>44120.58</v>
      </c>
      <c r="D1831" s="317">
        <f t="shared" si="28"/>
        <v>-4.6532368957732162E-2</v>
      </c>
    </row>
    <row r="1832" spans="2:4" x14ac:dyDescent="0.35">
      <c r="B1832" s="314">
        <v>42926</v>
      </c>
      <c r="C1832" s="315">
        <v>46273.81</v>
      </c>
      <c r="D1832" s="317">
        <f t="shared" si="28"/>
        <v>2.3255417975483139E-2</v>
      </c>
    </row>
    <row r="1833" spans="2:4" x14ac:dyDescent="0.35">
      <c r="B1833" s="314">
        <v>42923</v>
      </c>
      <c r="C1833" s="315">
        <v>45222.15</v>
      </c>
      <c r="D1833" s="317">
        <f t="shared" si="28"/>
        <v>8.9025504923687659E-3</v>
      </c>
    </row>
    <row r="1834" spans="2:4" x14ac:dyDescent="0.35">
      <c r="B1834" s="314">
        <v>42922</v>
      </c>
      <c r="C1834" s="315">
        <v>44823.11</v>
      </c>
      <c r="D1834" s="317">
        <f t="shared" si="28"/>
        <v>-1.2998580595779741E-2</v>
      </c>
    </row>
    <row r="1835" spans="2:4" x14ac:dyDescent="0.35">
      <c r="B1835" s="314">
        <v>42921</v>
      </c>
      <c r="C1835" s="315">
        <v>45413.42</v>
      </c>
      <c r="D1835" s="317">
        <f t="shared" si="28"/>
        <v>4.2648751841101173E-4</v>
      </c>
    </row>
    <row r="1836" spans="2:4" x14ac:dyDescent="0.35">
      <c r="B1836" s="314">
        <v>42920</v>
      </c>
      <c r="C1836" s="315">
        <v>45394.06</v>
      </c>
      <c r="D1836" s="317">
        <f t="shared" si="28"/>
        <v>1.631351867138342E-2</v>
      </c>
    </row>
    <row r="1837" spans="2:4" x14ac:dyDescent="0.35">
      <c r="B1837" s="314">
        <v>42919</v>
      </c>
      <c r="C1837" s="315">
        <v>44665.41</v>
      </c>
      <c r="D1837" s="317">
        <f t="shared" si="28"/>
        <v>-4.0800347211410015E-2</v>
      </c>
    </row>
    <row r="1838" spans="2:4" x14ac:dyDescent="0.35">
      <c r="B1838" s="314">
        <v>42916</v>
      </c>
      <c r="C1838" s="315">
        <v>46565.29</v>
      </c>
      <c r="D1838" s="317">
        <f t="shared" si="28"/>
        <v>-3.1375336236949547E-3</v>
      </c>
    </row>
    <row r="1839" spans="2:4" x14ac:dyDescent="0.35">
      <c r="B1839" s="314">
        <v>42915</v>
      </c>
      <c r="C1839" s="315">
        <v>46711.85</v>
      </c>
      <c r="D1839" s="317">
        <f t="shared" si="28"/>
        <v>8.1916917157811575E-3</v>
      </c>
    </row>
    <row r="1840" spans="2:4" x14ac:dyDescent="0.35">
      <c r="B1840" s="314">
        <v>42908</v>
      </c>
      <c r="C1840" s="315">
        <v>46332.31</v>
      </c>
      <c r="D1840" s="317">
        <f t="shared" si="28"/>
        <v>1.8864435113687961E-2</v>
      </c>
    </row>
    <row r="1841" spans="2:4" x14ac:dyDescent="0.35">
      <c r="B1841" s="314">
        <v>42907</v>
      </c>
      <c r="C1841" s="315">
        <v>45474.46</v>
      </c>
      <c r="D1841" s="317">
        <f t="shared" si="28"/>
        <v>1.2468595845790187E-2</v>
      </c>
    </row>
    <row r="1842" spans="2:4" x14ac:dyDescent="0.35">
      <c r="B1842" s="314">
        <v>42906</v>
      </c>
      <c r="C1842" s="315">
        <v>44914.44</v>
      </c>
      <c r="D1842" s="317">
        <f t="shared" si="28"/>
        <v>-3.6033046783080946E-2</v>
      </c>
    </row>
    <row r="1843" spans="2:4" x14ac:dyDescent="0.35">
      <c r="B1843" s="314">
        <v>42905</v>
      </c>
      <c r="C1843" s="315">
        <v>46593.34</v>
      </c>
      <c r="D1843" s="317">
        <f t="shared" si="28"/>
        <v>-5.6600117459862931E-3</v>
      </c>
    </row>
    <row r="1844" spans="2:4" x14ac:dyDescent="0.35">
      <c r="B1844" s="314">
        <v>42902</v>
      </c>
      <c r="C1844" s="315">
        <v>46858.559999999998</v>
      </c>
      <c r="D1844" s="317">
        <f t="shared" si="28"/>
        <v>-1.2313161573965226E-2</v>
      </c>
    </row>
    <row r="1845" spans="2:4" x14ac:dyDescent="0.35">
      <c r="B1845" s="314">
        <v>42901</v>
      </c>
      <c r="C1845" s="315">
        <v>47442.73</v>
      </c>
      <c r="D1845" s="317">
        <f t="shared" si="28"/>
        <v>-3.4848716535484936E-3</v>
      </c>
    </row>
    <row r="1846" spans="2:4" x14ac:dyDescent="0.35">
      <c r="B1846" s="314">
        <v>42900</v>
      </c>
      <c r="C1846" s="315">
        <v>47608.639999999999</v>
      </c>
      <c r="D1846" s="317">
        <f t="shared" si="28"/>
        <v>-9.6190970696702349E-3</v>
      </c>
    </row>
    <row r="1847" spans="2:4" x14ac:dyDescent="0.35">
      <c r="B1847" s="314">
        <v>42899</v>
      </c>
      <c r="C1847" s="315">
        <v>48071.040000000001</v>
      </c>
      <c r="D1847" s="317">
        <f t="shared" si="28"/>
        <v>8.374762438170924E-3</v>
      </c>
    </row>
    <row r="1848" spans="2:4" x14ac:dyDescent="0.35">
      <c r="B1848" s="314">
        <v>42898</v>
      </c>
      <c r="C1848" s="315">
        <v>47671.8</v>
      </c>
      <c r="D1848" s="317">
        <f t="shared" si="28"/>
        <v>-3.7456801270904672E-2</v>
      </c>
    </row>
    <row r="1849" spans="2:4" x14ac:dyDescent="0.35">
      <c r="B1849" s="314">
        <v>42895</v>
      </c>
      <c r="C1849" s="315">
        <v>49526.92</v>
      </c>
      <c r="D1849" s="317">
        <f t="shared" si="28"/>
        <v>-8.6353967396428644E-3</v>
      </c>
    </row>
    <row r="1850" spans="2:4" x14ac:dyDescent="0.35">
      <c r="B1850" s="314">
        <v>42894</v>
      </c>
      <c r="C1850" s="315">
        <v>49958.33</v>
      </c>
      <c r="D1850" s="317">
        <f t="shared" si="28"/>
        <v>-4.0763266651129282E-3</v>
      </c>
    </row>
    <row r="1851" spans="2:4" x14ac:dyDescent="0.35">
      <c r="B1851" s="314">
        <v>42893</v>
      </c>
      <c r="C1851" s="315">
        <v>50162.81</v>
      </c>
      <c r="D1851" s="317">
        <f t="shared" si="28"/>
        <v>3.6255128415541016E-4</v>
      </c>
    </row>
    <row r="1852" spans="2:4" x14ac:dyDescent="0.35">
      <c r="B1852" s="314">
        <v>42892</v>
      </c>
      <c r="C1852" s="315">
        <v>50144.63</v>
      </c>
      <c r="D1852" s="317">
        <f t="shared" si="28"/>
        <v>4.7285634963278866E-4</v>
      </c>
    </row>
    <row r="1853" spans="2:4" x14ac:dyDescent="0.35">
      <c r="B1853" s="314">
        <v>42891</v>
      </c>
      <c r="C1853" s="315">
        <v>50120.93</v>
      </c>
      <c r="D1853" s="317">
        <f t="shared" si="28"/>
        <v>3.224426581650186E-2</v>
      </c>
    </row>
    <row r="1854" spans="2:4" x14ac:dyDescent="0.35">
      <c r="B1854" s="314">
        <v>42888</v>
      </c>
      <c r="C1854" s="315">
        <v>48555.3</v>
      </c>
      <c r="D1854" s="317">
        <f t="shared" si="28"/>
        <v>-4.6229244655837665E-3</v>
      </c>
    </row>
    <row r="1855" spans="2:4" x14ac:dyDescent="0.35">
      <c r="B1855" s="314">
        <v>42887</v>
      </c>
      <c r="C1855" s="315">
        <v>48780.81</v>
      </c>
      <c r="D1855" s="317">
        <f t="shared" si="28"/>
        <v>-3.5791733682113525E-2</v>
      </c>
    </row>
    <row r="1856" spans="2:4" x14ac:dyDescent="0.35">
      <c r="B1856" s="314">
        <v>42886</v>
      </c>
      <c r="C1856" s="315">
        <v>50591.57</v>
      </c>
      <c r="D1856" s="317">
        <f t="shared" si="28"/>
        <v>-1.6745132854814049E-2</v>
      </c>
    </row>
    <row r="1857" spans="2:4" x14ac:dyDescent="0.35">
      <c r="B1857" s="314">
        <v>42885</v>
      </c>
      <c r="C1857" s="315">
        <v>51453.16</v>
      </c>
      <c r="D1857" s="317">
        <f t="shared" si="28"/>
        <v>-1.3152176206249089E-2</v>
      </c>
    </row>
    <row r="1858" spans="2:4" x14ac:dyDescent="0.35">
      <c r="B1858" s="314">
        <v>42884</v>
      </c>
      <c r="C1858" s="315">
        <v>52138.9</v>
      </c>
      <c r="D1858" s="317">
        <f t="shared" si="28"/>
        <v>-9.4604789380523524E-3</v>
      </c>
    </row>
    <row r="1859" spans="2:4" x14ac:dyDescent="0.35">
      <c r="B1859" s="314">
        <v>42881</v>
      </c>
      <c r="C1859" s="315">
        <v>52636.87</v>
      </c>
      <c r="D1859" s="317">
        <f t="shared" si="28"/>
        <v>-4.3908520322207822E-3</v>
      </c>
    </row>
    <row r="1860" spans="2:4" x14ac:dyDescent="0.35">
      <c r="B1860" s="314">
        <v>42880</v>
      </c>
      <c r="C1860" s="315">
        <v>52869.01</v>
      </c>
      <c r="D1860" s="317">
        <f t="shared" ref="D1860:D1923" si="29">(C1860/C1861)-1</f>
        <v>-1.4089445473464135E-4</v>
      </c>
    </row>
    <row r="1861" spans="2:4" x14ac:dyDescent="0.35">
      <c r="B1861" s="314">
        <v>42879</v>
      </c>
      <c r="C1861" s="315">
        <v>52876.46</v>
      </c>
      <c r="D1861" s="317">
        <f t="shared" si="29"/>
        <v>1.3989115762622406E-2</v>
      </c>
    </row>
    <row r="1862" spans="2:4" x14ac:dyDescent="0.35">
      <c r="B1862" s="314">
        <v>42878</v>
      </c>
      <c r="C1862" s="315">
        <v>52146.97</v>
      </c>
      <c r="D1862" s="317">
        <f t="shared" si="29"/>
        <v>1.5055619131338238E-2</v>
      </c>
    </row>
    <row r="1863" spans="2:4" x14ac:dyDescent="0.35">
      <c r="B1863" s="314">
        <v>42877</v>
      </c>
      <c r="C1863" s="315">
        <v>51373.51</v>
      </c>
      <c r="D1863" s="317">
        <f t="shared" si="29"/>
        <v>1.2444910067650028E-2</v>
      </c>
    </row>
    <row r="1864" spans="2:4" x14ac:dyDescent="0.35">
      <c r="B1864" s="314">
        <v>42874</v>
      </c>
      <c r="C1864" s="315">
        <v>50742.03</v>
      </c>
      <c r="D1864" s="317">
        <f t="shared" si="29"/>
        <v>-4.2108382427399338E-3</v>
      </c>
    </row>
    <row r="1865" spans="2:4" x14ac:dyDescent="0.35">
      <c r="B1865" s="314">
        <v>42873</v>
      </c>
      <c r="C1865" s="315">
        <v>50956.6</v>
      </c>
      <c r="D1865" s="317">
        <f t="shared" si="29"/>
        <v>-1.0770623440515492E-2</v>
      </c>
    </row>
    <row r="1866" spans="2:4" x14ac:dyDescent="0.35">
      <c r="B1866" s="314">
        <v>42872</v>
      </c>
      <c r="C1866" s="315">
        <v>51511.41</v>
      </c>
      <c r="D1866" s="317">
        <f t="shared" si="29"/>
        <v>-5.8243856438872088E-3</v>
      </c>
    </row>
    <row r="1867" spans="2:4" x14ac:dyDescent="0.35">
      <c r="B1867" s="314">
        <v>42871</v>
      </c>
      <c r="C1867" s="315">
        <v>51813.19</v>
      </c>
      <c r="D1867" s="317">
        <f t="shared" si="29"/>
        <v>-1.0969714935919361E-2</v>
      </c>
    </row>
    <row r="1868" spans="2:4" x14ac:dyDescent="0.35">
      <c r="B1868" s="314">
        <v>42870</v>
      </c>
      <c r="C1868" s="315">
        <v>52387.87</v>
      </c>
      <c r="D1868" s="317">
        <f t="shared" si="29"/>
        <v>1.2308189363240185E-2</v>
      </c>
    </row>
    <row r="1869" spans="2:4" x14ac:dyDescent="0.35">
      <c r="B1869" s="314">
        <v>42867</v>
      </c>
      <c r="C1869" s="315">
        <v>51750.91</v>
      </c>
      <c r="D1869" s="317">
        <f t="shared" si="29"/>
        <v>6.3178146622691056E-3</v>
      </c>
    </row>
    <row r="1870" spans="2:4" x14ac:dyDescent="0.35">
      <c r="B1870" s="314">
        <v>42866</v>
      </c>
      <c r="C1870" s="315">
        <v>51426.01</v>
      </c>
      <c r="D1870" s="317">
        <f t="shared" si="29"/>
        <v>6.3103272905022934E-3</v>
      </c>
    </row>
    <row r="1871" spans="2:4" x14ac:dyDescent="0.35">
      <c r="B1871" s="314">
        <v>42865</v>
      </c>
      <c r="C1871" s="315">
        <v>51103.53</v>
      </c>
      <c r="D1871" s="317">
        <f t="shared" si="29"/>
        <v>5.9502901133545727E-4</v>
      </c>
    </row>
    <row r="1872" spans="2:4" x14ac:dyDescent="0.35">
      <c r="B1872" s="314">
        <v>42864</v>
      </c>
      <c r="C1872" s="315">
        <v>51073.14</v>
      </c>
      <c r="D1872" s="317">
        <f t="shared" si="29"/>
        <v>2.6941699873428426E-3</v>
      </c>
    </row>
    <row r="1873" spans="2:4" x14ac:dyDescent="0.35">
      <c r="B1873" s="314">
        <v>42863</v>
      </c>
      <c r="C1873" s="315">
        <v>50935.91</v>
      </c>
      <c r="D1873" s="317">
        <f t="shared" si="29"/>
        <v>2.1760389383350009E-2</v>
      </c>
    </row>
    <row r="1874" spans="2:4" x14ac:dyDescent="0.35">
      <c r="B1874" s="314">
        <v>42860</v>
      </c>
      <c r="C1874" s="315">
        <v>49851.13</v>
      </c>
      <c r="D1874" s="317">
        <f t="shared" si="29"/>
        <v>1.1514774476885092E-2</v>
      </c>
    </row>
    <row r="1875" spans="2:4" x14ac:dyDescent="0.35">
      <c r="B1875" s="314">
        <v>42859</v>
      </c>
      <c r="C1875" s="315">
        <v>49283.64</v>
      </c>
      <c r="D1875" s="317">
        <f t="shared" si="29"/>
        <v>1.395942898220226E-2</v>
      </c>
    </row>
    <row r="1876" spans="2:4" x14ac:dyDescent="0.35">
      <c r="B1876" s="314">
        <v>42858</v>
      </c>
      <c r="C1876" s="315">
        <v>48605.14</v>
      </c>
      <c r="D1876" s="317">
        <f t="shared" si="29"/>
        <v>-1.7309715334460352E-3</v>
      </c>
    </row>
    <row r="1877" spans="2:4" x14ac:dyDescent="0.35">
      <c r="B1877" s="314">
        <v>42857</v>
      </c>
      <c r="C1877" s="315">
        <v>48689.42</v>
      </c>
      <c r="D1877" s="317">
        <f t="shared" si="29"/>
        <v>-1.2403019011823391E-2</v>
      </c>
    </row>
    <row r="1878" spans="2:4" x14ac:dyDescent="0.35">
      <c r="B1878" s="314">
        <v>42853</v>
      </c>
      <c r="C1878" s="315">
        <v>49300.9</v>
      </c>
      <c r="D1878" s="317">
        <f t="shared" si="29"/>
        <v>-3.6538760794393443E-3</v>
      </c>
    </row>
    <row r="1879" spans="2:4" x14ac:dyDescent="0.35">
      <c r="B1879" s="314">
        <v>42852</v>
      </c>
      <c r="C1879" s="315">
        <v>49481.7</v>
      </c>
      <c r="D1879" s="317">
        <f t="shared" si="29"/>
        <v>-6.9401421022243781E-3</v>
      </c>
    </row>
    <row r="1880" spans="2:4" x14ac:dyDescent="0.35">
      <c r="B1880" s="314">
        <v>42851</v>
      </c>
      <c r="C1880" s="315">
        <v>49827.51</v>
      </c>
      <c r="D1880" s="317">
        <f t="shared" si="29"/>
        <v>8.504540609182154E-4</v>
      </c>
    </row>
    <row r="1881" spans="2:4" x14ac:dyDescent="0.35">
      <c r="B1881" s="314">
        <v>42850</v>
      </c>
      <c r="C1881" s="315">
        <v>49785.17</v>
      </c>
      <c r="D1881" s="317">
        <f t="shared" si="29"/>
        <v>-6.5154483975489175E-3</v>
      </c>
    </row>
    <row r="1882" spans="2:4" x14ac:dyDescent="0.35">
      <c r="B1882" s="314">
        <v>42849</v>
      </c>
      <c r="C1882" s="315">
        <v>50111.67</v>
      </c>
      <c r="D1882" s="317">
        <f t="shared" si="29"/>
        <v>8.1076432371427476E-3</v>
      </c>
    </row>
    <row r="1883" spans="2:4" x14ac:dyDescent="0.35">
      <c r="B1883" s="314">
        <v>42846</v>
      </c>
      <c r="C1883" s="315">
        <v>49708.65</v>
      </c>
      <c r="D1883" s="317">
        <f t="shared" si="29"/>
        <v>1.9799333491439697E-2</v>
      </c>
    </row>
    <row r="1884" spans="2:4" x14ac:dyDescent="0.35">
      <c r="B1884" s="314">
        <v>42845</v>
      </c>
      <c r="C1884" s="315">
        <v>48743.56</v>
      </c>
      <c r="D1884" s="317">
        <f t="shared" si="29"/>
        <v>2.3949509573669703E-2</v>
      </c>
    </row>
    <row r="1885" spans="2:4" x14ac:dyDescent="0.35">
      <c r="B1885" s="314">
        <v>42844</v>
      </c>
      <c r="C1885" s="315">
        <v>47603.48</v>
      </c>
      <c r="D1885" s="317">
        <f t="shared" si="29"/>
        <v>1.5554555719895502E-2</v>
      </c>
    </row>
    <row r="1886" spans="2:4" x14ac:dyDescent="0.35">
      <c r="B1886" s="314">
        <v>42843</v>
      </c>
      <c r="C1886" s="315">
        <v>46874.37</v>
      </c>
      <c r="D1886" s="317">
        <f t="shared" si="29"/>
        <v>-5.3209413578151343E-3</v>
      </c>
    </row>
    <row r="1887" spans="2:4" x14ac:dyDescent="0.35">
      <c r="B1887" s="314">
        <v>42842</v>
      </c>
      <c r="C1887" s="315">
        <v>47125.120000000003</v>
      </c>
      <c r="D1887" s="317">
        <f t="shared" si="29"/>
        <v>-9.4991157503215851E-3</v>
      </c>
    </row>
    <row r="1888" spans="2:4" x14ac:dyDescent="0.35">
      <c r="B1888" s="314">
        <v>42839</v>
      </c>
      <c r="C1888" s="315">
        <v>47577.06</v>
      </c>
      <c r="D1888" s="317">
        <f t="shared" si="29"/>
        <v>-7.7896867983662244E-3</v>
      </c>
    </row>
    <row r="1889" spans="2:4" x14ac:dyDescent="0.35">
      <c r="B1889" s="314">
        <v>42838</v>
      </c>
      <c r="C1889" s="315">
        <v>47950.58</v>
      </c>
      <c r="D1889" s="317">
        <f t="shared" si="29"/>
        <v>-1.0456224722569907E-2</v>
      </c>
    </row>
    <row r="1890" spans="2:4" x14ac:dyDescent="0.35">
      <c r="B1890" s="314">
        <v>42837</v>
      </c>
      <c r="C1890" s="315">
        <v>48457.26</v>
      </c>
      <c r="D1890" s="317">
        <f t="shared" si="29"/>
        <v>4.2940870344851945E-3</v>
      </c>
    </row>
    <row r="1891" spans="2:4" x14ac:dyDescent="0.35">
      <c r="B1891" s="314">
        <v>42836</v>
      </c>
      <c r="C1891" s="315">
        <v>48250.07</v>
      </c>
      <c r="D1891" s="317">
        <f t="shared" si="29"/>
        <v>6.4059470683386355E-3</v>
      </c>
    </row>
    <row r="1892" spans="2:4" x14ac:dyDescent="0.35">
      <c r="B1892" s="314">
        <v>42835</v>
      </c>
      <c r="C1892" s="315">
        <v>47942.95</v>
      </c>
      <c r="D1892" s="317">
        <f t="shared" si="29"/>
        <v>1.118828666988092E-3</v>
      </c>
    </row>
    <row r="1893" spans="2:4" x14ac:dyDescent="0.35">
      <c r="B1893" s="314">
        <v>42832</v>
      </c>
      <c r="C1893" s="315">
        <v>47889.37</v>
      </c>
      <c r="D1893" s="317">
        <f t="shared" si="29"/>
        <v>1.125017421014185E-2</v>
      </c>
    </row>
    <row r="1894" spans="2:4" x14ac:dyDescent="0.35">
      <c r="B1894" s="314">
        <v>42831</v>
      </c>
      <c r="C1894" s="315">
        <v>47356.6</v>
      </c>
      <c r="D1894" s="317">
        <f t="shared" si="29"/>
        <v>-4.6389760160883142E-3</v>
      </c>
    </row>
    <row r="1895" spans="2:4" x14ac:dyDescent="0.35">
      <c r="B1895" s="314">
        <v>42830</v>
      </c>
      <c r="C1895" s="315">
        <v>47577.31</v>
      </c>
      <c r="D1895" s="317">
        <f t="shared" si="29"/>
        <v>-1.0627517630562355E-2</v>
      </c>
    </row>
    <row r="1896" spans="2:4" x14ac:dyDescent="0.35">
      <c r="B1896" s="314">
        <v>42829</v>
      </c>
      <c r="C1896" s="315">
        <v>48088.37</v>
      </c>
      <c r="D1896" s="317">
        <f t="shared" si="29"/>
        <v>-2.8900373747479113E-3</v>
      </c>
    </row>
    <row r="1897" spans="2:4" x14ac:dyDescent="0.35">
      <c r="B1897" s="314">
        <v>42828</v>
      </c>
      <c r="C1897" s="315">
        <v>48227.75</v>
      </c>
      <c r="D1897" s="317">
        <f t="shared" si="29"/>
        <v>1.4914051083636526E-3</v>
      </c>
    </row>
    <row r="1898" spans="2:4" x14ac:dyDescent="0.35">
      <c r="B1898" s="314">
        <v>42825</v>
      </c>
      <c r="C1898" s="315">
        <v>48155.93</v>
      </c>
      <c r="D1898" s="317">
        <f t="shared" si="29"/>
        <v>4.3087150539955488E-3</v>
      </c>
    </row>
    <row r="1899" spans="2:4" x14ac:dyDescent="0.35">
      <c r="B1899" s="314">
        <v>42824</v>
      </c>
      <c r="C1899" s="315">
        <v>47949.33</v>
      </c>
      <c r="D1899" s="317">
        <f t="shared" si="29"/>
        <v>-8.8122883360898241E-3</v>
      </c>
    </row>
    <row r="1900" spans="2:4" x14ac:dyDescent="0.35">
      <c r="B1900" s="314">
        <v>42823</v>
      </c>
      <c r="C1900" s="315">
        <v>48375.63</v>
      </c>
      <c r="D1900" s="317">
        <f t="shared" si="29"/>
        <v>-3.0455402866370607E-3</v>
      </c>
    </row>
    <row r="1901" spans="2:4" x14ac:dyDescent="0.35">
      <c r="B1901" s="314">
        <v>42822</v>
      </c>
      <c r="C1901" s="315">
        <v>48523.41</v>
      </c>
      <c r="D1901" s="317">
        <f t="shared" si="29"/>
        <v>-3.2199976335328673E-3</v>
      </c>
    </row>
    <row r="1902" spans="2:4" x14ac:dyDescent="0.35">
      <c r="B1902" s="314">
        <v>42821</v>
      </c>
      <c r="C1902" s="315">
        <v>48680.160000000003</v>
      </c>
      <c r="D1902" s="317">
        <f t="shared" si="29"/>
        <v>-5.9400400849073387E-3</v>
      </c>
    </row>
    <row r="1903" spans="2:4" x14ac:dyDescent="0.35">
      <c r="B1903" s="314">
        <v>42818</v>
      </c>
      <c r="C1903" s="315">
        <v>48971.05</v>
      </c>
      <c r="D1903" s="317">
        <f t="shared" si="29"/>
        <v>-9.3314964117396926E-4</v>
      </c>
    </row>
    <row r="1904" spans="2:4" x14ac:dyDescent="0.35">
      <c r="B1904" s="314">
        <v>42816</v>
      </c>
      <c r="C1904" s="315">
        <v>49016.79</v>
      </c>
      <c r="D1904" s="317">
        <f t="shared" si="29"/>
        <v>-6.976714298034814E-5</v>
      </c>
    </row>
    <row r="1905" spans="2:4" x14ac:dyDescent="0.35">
      <c r="B1905" s="314">
        <v>42815</v>
      </c>
      <c r="C1905" s="315">
        <v>49020.21</v>
      </c>
      <c r="D1905" s="317">
        <f t="shared" si="29"/>
        <v>6.6237282497203509E-3</v>
      </c>
    </row>
    <row r="1906" spans="2:4" x14ac:dyDescent="0.35">
      <c r="B1906" s="314">
        <v>42814</v>
      </c>
      <c r="C1906" s="315">
        <v>48697.65</v>
      </c>
      <c r="D1906" s="317">
        <f t="shared" si="29"/>
        <v>5.9554610834477995E-3</v>
      </c>
    </row>
    <row r="1907" spans="2:4" x14ac:dyDescent="0.35">
      <c r="B1907" s="314">
        <v>42811</v>
      </c>
      <c r="C1907" s="315">
        <v>48409.35</v>
      </c>
      <c r="D1907" s="317">
        <f t="shared" si="29"/>
        <v>2.4785844423007575E-3</v>
      </c>
    </row>
    <row r="1908" spans="2:4" x14ac:dyDescent="0.35">
      <c r="B1908" s="314">
        <v>42810</v>
      </c>
      <c r="C1908" s="315">
        <v>48289.66</v>
      </c>
      <c r="D1908" s="317">
        <f t="shared" si="29"/>
        <v>-3.3474220399476451E-4</v>
      </c>
    </row>
    <row r="1909" spans="2:4" x14ac:dyDescent="0.35">
      <c r="B1909" s="314">
        <v>42809</v>
      </c>
      <c r="C1909" s="315">
        <v>48305.83</v>
      </c>
      <c r="D1909" s="317">
        <f t="shared" si="29"/>
        <v>-4.8049962236598187E-3</v>
      </c>
    </row>
    <row r="1910" spans="2:4" x14ac:dyDescent="0.35">
      <c r="B1910" s="314">
        <v>42808</v>
      </c>
      <c r="C1910" s="315">
        <v>48539.06</v>
      </c>
      <c r="D1910" s="317">
        <f t="shared" si="29"/>
        <v>-2.3976625975322685E-3</v>
      </c>
    </row>
    <row r="1911" spans="2:4" x14ac:dyDescent="0.35">
      <c r="B1911" s="314">
        <v>42807</v>
      </c>
      <c r="C1911" s="315">
        <v>48655.72</v>
      </c>
      <c r="D1911" s="317">
        <f t="shared" si="29"/>
        <v>-1.0896745897431948E-2</v>
      </c>
    </row>
    <row r="1912" spans="2:4" x14ac:dyDescent="0.35">
      <c r="B1912" s="314">
        <v>42804</v>
      </c>
      <c r="C1912" s="315">
        <v>49191.75</v>
      </c>
      <c r="D1912" s="317">
        <f t="shared" si="29"/>
        <v>-4.0631724207186304E-3</v>
      </c>
    </row>
    <row r="1913" spans="2:4" x14ac:dyDescent="0.35">
      <c r="B1913" s="314">
        <v>42803</v>
      </c>
      <c r="C1913" s="315">
        <v>49392.44</v>
      </c>
      <c r="D1913" s="317">
        <f t="shared" si="29"/>
        <v>-7.2813192396620208E-3</v>
      </c>
    </row>
    <row r="1914" spans="2:4" x14ac:dyDescent="0.35">
      <c r="B1914" s="314">
        <v>42802</v>
      </c>
      <c r="C1914" s="315">
        <v>49754.720000000001</v>
      </c>
      <c r="D1914" s="317">
        <f t="shared" si="29"/>
        <v>6.1070465096857429E-3</v>
      </c>
    </row>
    <row r="1915" spans="2:4" x14ac:dyDescent="0.35">
      <c r="B1915" s="314">
        <v>42801</v>
      </c>
      <c r="C1915" s="315">
        <v>49452.71</v>
      </c>
      <c r="D1915" s="317">
        <f t="shared" si="29"/>
        <v>3.6047415094886404E-4</v>
      </c>
    </row>
    <row r="1916" spans="2:4" x14ac:dyDescent="0.35">
      <c r="B1916" s="314">
        <v>42800</v>
      </c>
      <c r="C1916" s="315">
        <v>49434.89</v>
      </c>
      <c r="D1916" s="317">
        <f t="shared" si="29"/>
        <v>-3.8070434333840053E-3</v>
      </c>
    </row>
    <row r="1917" spans="2:4" x14ac:dyDescent="0.35">
      <c r="B1917" s="314">
        <v>42797</v>
      </c>
      <c r="C1917" s="315">
        <v>49623.81</v>
      </c>
      <c r="D1917" s="317">
        <f t="shared" si="29"/>
        <v>-1.4542394490673072E-3</v>
      </c>
    </row>
    <row r="1918" spans="2:4" x14ac:dyDescent="0.35">
      <c r="B1918" s="314">
        <v>42796</v>
      </c>
      <c r="C1918" s="315">
        <v>49696.08</v>
      </c>
      <c r="D1918" s="317">
        <f t="shared" si="29"/>
        <v>1.4368013167820992E-2</v>
      </c>
    </row>
    <row r="1919" spans="2:4" x14ac:dyDescent="0.35">
      <c r="B1919" s="314">
        <v>42795</v>
      </c>
      <c r="C1919" s="315">
        <v>48992.160000000003</v>
      </c>
      <c r="D1919" s="317">
        <f t="shared" si="29"/>
        <v>9.4351965612722299E-3</v>
      </c>
    </row>
    <row r="1920" spans="2:4" x14ac:dyDescent="0.35">
      <c r="B1920" s="314">
        <v>42794</v>
      </c>
      <c r="C1920" s="315">
        <v>48534.23</v>
      </c>
      <c r="D1920" s="317">
        <f t="shared" si="29"/>
        <v>2.7781928350245622E-4</v>
      </c>
    </row>
    <row r="1921" spans="2:4" x14ac:dyDescent="0.35">
      <c r="B1921" s="314">
        <v>42793</v>
      </c>
      <c r="C1921" s="315">
        <v>48520.75</v>
      </c>
      <c r="D1921" s="317">
        <f t="shared" si="29"/>
        <v>-9.9420523061647392E-3</v>
      </c>
    </row>
    <row r="1922" spans="2:4" x14ac:dyDescent="0.35">
      <c r="B1922" s="314">
        <v>42790</v>
      </c>
      <c r="C1922" s="315">
        <v>49007.99</v>
      </c>
      <c r="D1922" s="317">
        <f t="shared" si="29"/>
        <v>-1.10614553834254E-3</v>
      </c>
    </row>
    <row r="1923" spans="2:4" x14ac:dyDescent="0.35">
      <c r="B1923" s="314">
        <v>42789</v>
      </c>
      <c r="C1923" s="315">
        <v>49062.26</v>
      </c>
      <c r="D1923" s="317">
        <f t="shared" si="29"/>
        <v>1.645718345543612E-3</v>
      </c>
    </row>
    <row r="1924" spans="2:4" x14ac:dyDescent="0.35">
      <c r="B1924" s="314">
        <v>42788</v>
      </c>
      <c r="C1924" s="315">
        <v>48981.65</v>
      </c>
      <c r="D1924" s="317">
        <f t="shared" ref="D1924:D1987" si="30">(C1924/C1925)-1</f>
        <v>-6.8223887786378334E-4</v>
      </c>
    </row>
    <row r="1925" spans="2:4" x14ac:dyDescent="0.35">
      <c r="B1925" s="314">
        <v>42787</v>
      </c>
      <c r="C1925" s="315">
        <v>49015.09</v>
      </c>
      <c r="D1925" s="317">
        <f t="shared" si="30"/>
        <v>1.75703139561878E-3</v>
      </c>
    </row>
    <row r="1926" spans="2:4" x14ac:dyDescent="0.35">
      <c r="B1926" s="314">
        <v>42786</v>
      </c>
      <c r="C1926" s="315">
        <v>48929.120000000003</v>
      </c>
      <c r="D1926" s="317">
        <f t="shared" si="30"/>
        <v>-9.0447306985559361E-3</v>
      </c>
    </row>
    <row r="1927" spans="2:4" x14ac:dyDescent="0.35">
      <c r="B1927" s="314">
        <v>42783</v>
      </c>
      <c r="C1927" s="315">
        <v>49375.71</v>
      </c>
      <c r="D1927" s="317">
        <f t="shared" si="30"/>
        <v>-4.2870999812456567E-3</v>
      </c>
    </row>
    <row r="1928" spans="2:4" x14ac:dyDescent="0.35">
      <c r="B1928" s="314">
        <v>42782</v>
      </c>
      <c r="C1928" s="315">
        <v>49588.3</v>
      </c>
      <c r="D1928" s="317">
        <f t="shared" si="30"/>
        <v>7.6024883087486561E-3</v>
      </c>
    </row>
    <row r="1929" spans="2:4" x14ac:dyDescent="0.35">
      <c r="B1929" s="314">
        <v>42781</v>
      </c>
      <c r="C1929" s="315">
        <v>49214.15</v>
      </c>
      <c r="D1929" s="317">
        <f t="shared" si="30"/>
        <v>-1.1126848605858664E-2</v>
      </c>
    </row>
    <row r="1930" spans="2:4" x14ac:dyDescent="0.35">
      <c r="B1930" s="314">
        <v>42780</v>
      </c>
      <c r="C1930" s="315">
        <v>49767.91</v>
      </c>
      <c r="D1930" s="317">
        <f t="shared" si="30"/>
        <v>-3.9571201243733256E-3</v>
      </c>
    </row>
    <row r="1931" spans="2:4" x14ac:dyDescent="0.35">
      <c r="B1931" s="314">
        <v>42779</v>
      </c>
      <c r="C1931" s="315">
        <v>49965.63</v>
      </c>
      <c r="D1931" s="317">
        <f t="shared" si="30"/>
        <v>8.1221702599165724E-4</v>
      </c>
    </row>
    <row r="1932" spans="2:4" x14ac:dyDescent="0.35">
      <c r="B1932" s="314">
        <v>42776</v>
      </c>
      <c r="C1932" s="315">
        <v>49925.08</v>
      </c>
      <c r="D1932" s="317">
        <f t="shared" si="30"/>
        <v>3.39223152932E-4</v>
      </c>
    </row>
    <row r="1933" spans="2:4" x14ac:dyDescent="0.35">
      <c r="B1933" s="314">
        <v>42775</v>
      </c>
      <c r="C1933" s="315">
        <v>49908.15</v>
      </c>
      <c r="D1933" s="317">
        <f t="shared" si="30"/>
        <v>6.6546419285362646E-4</v>
      </c>
    </row>
    <row r="1934" spans="2:4" x14ac:dyDescent="0.35">
      <c r="B1934" s="314">
        <v>42774</v>
      </c>
      <c r="C1934" s="315">
        <v>49874.96</v>
      </c>
      <c r="D1934" s="317">
        <f t="shared" si="30"/>
        <v>3.1227818872237023E-4</v>
      </c>
    </row>
    <row r="1935" spans="2:4" x14ac:dyDescent="0.35">
      <c r="B1935" s="314">
        <v>42773</v>
      </c>
      <c r="C1935" s="315">
        <v>49859.39</v>
      </c>
      <c r="D1935" s="317">
        <f t="shared" si="30"/>
        <v>4.6211931322239774E-3</v>
      </c>
    </row>
    <row r="1936" spans="2:4" x14ac:dyDescent="0.35">
      <c r="B1936" s="314">
        <v>42772</v>
      </c>
      <c r="C1936" s="315">
        <v>49630.04</v>
      </c>
      <c r="D1936" s="317">
        <f t="shared" si="30"/>
        <v>1.49750291741646E-3</v>
      </c>
    </row>
    <row r="1937" spans="2:4" x14ac:dyDescent="0.35">
      <c r="B1937" s="314">
        <v>42769</v>
      </c>
      <c r="C1937" s="315">
        <v>49555.83</v>
      </c>
      <c r="D1937" s="317">
        <f t="shared" si="30"/>
        <v>-2.2176149987607197E-3</v>
      </c>
    </row>
    <row r="1938" spans="2:4" x14ac:dyDescent="0.35">
      <c r="B1938" s="314">
        <v>42768</v>
      </c>
      <c r="C1938" s="315">
        <v>49665.97</v>
      </c>
      <c r="D1938" s="317">
        <f t="shared" si="30"/>
        <v>4.248434866970241E-3</v>
      </c>
    </row>
    <row r="1939" spans="2:4" x14ac:dyDescent="0.35">
      <c r="B1939" s="314">
        <v>42767</v>
      </c>
      <c r="C1939" s="315">
        <v>49455.86</v>
      </c>
      <c r="D1939" s="317">
        <f t="shared" si="30"/>
        <v>1.4319593204515257E-2</v>
      </c>
    </row>
    <row r="1940" spans="2:4" x14ac:dyDescent="0.35">
      <c r="B1940" s="314">
        <v>42766</v>
      </c>
      <c r="C1940" s="315">
        <v>48757.67</v>
      </c>
      <c r="D1940" s="317">
        <f t="shared" si="30"/>
        <v>-4.3814618240864966E-3</v>
      </c>
    </row>
    <row r="1941" spans="2:4" x14ac:dyDescent="0.35">
      <c r="B1941" s="314">
        <v>42765</v>
      </c>
      <c r="C1941" s="315">
        <v>48972.24</v>
      </c>
      <c r="D1941" s="317">
        <f t="shared" si="30"/>
        <v>-1.9844979672270502E-2</v>
      </c>
    </row>
    <row r="1942" spans="2:4" x14ac:dyDescent="0.35">
      <c r="B1942" s="314">
        <v>42762</v>
      </c>
      <c r="C1942" s="315">
        <v>49963.77</v>
      </c>
      <c r="D1942" s="317">
        <f t="shared" si="30"/>
        <v>-4.5542787786827521E-3</v>
      </c>
    </row>
    <row r="1943" spans="2:4" x14ac:dyDescent="0.35">
      <c r="B1943" s="314">
        <v>42761</v>
      </c>
      <c r="C1943" s="315">
        <v>50192.36</v>
      </c>
      <c r="D1943" s="317">
        <f t="shared" si="30"/>
        <v>8.754386589000962E-3</v>
      </c>
    </row>
    <row r="1944" spans="2:4" x14ac:dyDescent="0.35">
      <c r="B1944" s="314">
        <v>42760</v>
      </c>
      <c r="C1944" s="315">
        <v>49756.77</v>
      </c>
      <c r="D1944" s="317">
        <f t="shared" si="30"/>
        <v>-4.2456390892579021E-3</v>
      </c>
    </row>
    <row r="1945" spans="2:4" x14ac:dyDescent="0.35">
      <c r="B1945" s="314">
        <v>42759</v>
      </c>
      <c r="C1945" s="315">
        <v>49968.92</v>
      </c>
      <c r="D1945" s="317">
        <f t="shared" si="30"/>
        <v>1.8594046296247502E-3</v>
      </c>
    </row>
    <row r="1946" spans="2:4" x14ac:dyDescent="0.35">
      <c r="B1946" s="314">
        <v>42758</v>
      </c>
      <c r="C1946" s="315">
        <v>49876.18</v>
      </c>
      <c r="D1946" s="317">
        <f t="shared" si="30"/>
        <v>1.0358589303356203E-2</v>
      </c>
    </row>
    <row r="1947" spans="2:4" x14ac:dyDescent="0.35">
      <c r="B1947" s="314">
        <v>42755</v>
      </c>
      <c r="C1947" s="315">
        <v>49364.83</v>
      </c>
      <c r="D1947" s="317">
        <f t="shared" si="30"/>
        <v>7.1614495666731948E-3</v>
      </c>
    </row>
    <row r="1948" spans="2:4" x14ac:dyDescent="0.35">
      <c r="B1948" s="314">
        <v>42754</v>
      </c>
      <c r="C1948" s="315">
        <v>49013.82</v>
      </c>
      <c r="D1948" s="317">
        <f t="shared" si="30"/>
        <v>7.6396611091478217E-3</v>
      </c>
    </row>
    <row r="1949" spans="2:4" x14ac:dyDescent="0.35">
      <c r="B1949" s="314">
        <v>42753</v>
      </c>
      <c r="C1949" s="315">
        <v>48642.21</v>
      </c>
      <c r="D1949" s="317">
        <f t="shared" si="30"/>
        <v>-7.485827975920456E-4</v>
      </c>
    </row>
    <row r="1950" spans="2:4" x14ac:dyDescent="0.35">
      <c r="B1950" s="314">
        <v>42752</v>
      </c>
      <c r="C1950" s="315">
        <v>48678.65</v>
      </c>
      <c r="D1950" s="317">
        <f t="shared" si="30"/>
        <v>-4.2932351835419658E-3</v>
      </c>
    </row>
    <row r="1951" spans="2:4" x14ac:dyDescent="0.35">
      <c r="B1951" s="314">
        <v>42751</v>
      </c>
      <c r="C1951" s="315">
        <v>48888.54</v>
      </c>
      <c r="D1951" s="317">
        <f t="shared" si="30"/>
        <v>-6.5425061724632139E-3</v>
      </c>
    </row>
    <row r="1952" spans="2:4" x14ac:dyDescent="0.35">
      <c r="B1952" s="314">
        <v>42748</v>
      </c>
      <c r="C1952" s="315">
        <v>49210.5</v>
      </c>
      <c r="D1952" s="317">
        <f t="shared" si="30"/>
        <v>-6.1901948057455636E-3</v>
      </c>
    </row>
    <row r="1953" spans="2:4" x14ac:dyDescent="0.35">
      <c r="B1953" s="314">
        <v>42747</v>
      </c>
      <c r="C1953" s="315">
        <v>49517.02</v>
      </c>
      <c r="D1953" s="317">
        <f t="shared" si="30"/>
        <v>2.9454180135948249E-3</v>
      </c>
    </row>
    <row r="1954" spans="2:4" x14ac:dyDescent="0.35">
      <c r="B1954" s="314">
        <v>42746</v>
      </c>
      <c r="C1954" s="315">
        <v>49371.6</v>
      </c>
      <c r="D1954" s="317">
        <f t="shared" si="30"/>
        <v>1.0351004250621854E-2</v>
      </c>
    </row>
    <row r="1955" spans="2:4" x14ac:dyDescent="0.35">
      <c r="B1955" s="314">
        <v>42745</v>
      </c>
      <c r="C1955" s="315">
        <v>48865.79</v>
      </c>
      <c r="D1955" s="317">
        <f t="shared" si="30"/>
        <v>-3.5404177986644303E-3</v>
      </c>
    </row>
    <row r="1956" spans="2:4" x14ac:dyDescent="0.35">
      <c r="B1956" s="314">
        <v>42744</v>
      </c>
      <c r="C1956" s="315">
        <v>49039.41</v>
      </c>
      <c r="D1956" s="317">
        <f t="shared" si="30"/>
        <v>2.4062858712481372E-5</v>
      </c>
    </row>
    <row r="1957" spans="2:4" x14ac:dyDescent="0.35">
      <c r="B1957" s="314">
        <v>42741</v>
      </c>
      <c r="C1957" s="315">
        <v>49038.23</v>
      </c>
      <c r="D1957" s="317">
        <f t="shared" si="30"/>
        <v>6.6634328010457544E-3</v>
      </c>
    </row>
    <row r="1958" spans="2:4" x14ac:dyDescent="0.35">
      <c r="B1958" s="314">
        <v>42740</v>
      </c>
      <c r="C1958" s="315">
        <v>48713.63</v>
      </c>
      <c r="D1958" s="317">
        <f t="shared" si="30"/>
        <v>1.7739455443877006E-4</v>
      </c>
    </row>
    <row r="1959" spans="2:4" x14ac:dyDescent="0.35">
      <c r="B1959" s="314">
        <v>42739</v>
      </c>
      <c r="C1959" s="315">
        <v>48704.99</v>
      </c>
      <c r="D1959" s="317">
        <f t="shared" si="30"/>
        <v>-2.5100583584473091E-3</v>
      </c>
    </row>
    <row r="1960" spans="2:4" x14ac:dyDescent="0.35">
      <c r="B1960" s="314">
        <v>42738</v>
      </c>
      <c r="C1960" s="315">
        <v>48827.55</v>
      </c>
      <c r="D1960" s="317">
        <f t="shared" si="30"/>
        <v>1.2173851395555824E-2</v>
      </c>
    </row>
    <row r="1961" spans="2:4" x14ac:dyDescent="0.35">
      <c r="B1961" s="314">
        <v>42737</v>
      </c>
      <c r="C1961" s="315">
        <v>48240.28</v>
      </c>
      <c r="D1961" s="317">
        <f t="shared" si="30"/>
        <v>9.0637411239407051E-3</v>
      </c>
    </row>
    <row r="1962" spans="2:4" x14ac:dyDescent="0.35">
      <c r="B1962" s="314">
        <v>42734</v>
      </c>
      <c r="C1962" s="315">
        <v>47806.97</v>
      </c>
      <c r="D1962" s="317">
        <f t="shared" si="30"/>
        <v>2.9435668452539865E-3</v>
      </c>
    </row>
    <row r="1963" spans="2:4" x14ac:dyDescent="0.35">
      <c r="B1963" s="314">
        <v>42733</v>
      </c>
      <c r="C1963" s="315">
        <v>47666.66</v>
      </c>
      <c r="D1963" s="317">
        <f t="shared" si="30"/>
        <v>5.1034662790201413E-3</v>
      </c>
    </row>
    <row r="1964" spans="2:4" x14ac:dyDescent="0.35">
      <c r="B1964" s="314">
        <v>42732</v>
      </c>
      <c r="C1964" s="315">
        <v>47424.63</v>
      </c>
      <c r="D1964" s="317">
        <f t="shared" si="30"/>
        <v>1.0744990406106325E-2</v>
      </c>
    </row>
    <row r="1965" spans="2:4" x14ac:dyDescent="0.35">
      <c r="B1965" s="314">
        <v>42731</v>
      </c>
      <c r="C1965" s="315">
        <v>46920.47</v>
      </c>
      <c r="D1965" s="317">
        <f t="shared" si="30"/>
        <v>4.9419861712629576E-3</v>
      </c>
    </row>
    <row r="1966" spans="2:4" x14ac:dyDescent="0.35">
      <c r="B1966" s="314">
        <v>42730</v>
      </c>
      <c r="C1966" s="315">
        <v>46689.73</v>
      </c>
      <c r="D1966" s="317">
        <f t="shared" si="30"/>
        <v>1.1952655134164214E-3</v>
      </c>
    </row>
    <row r="1967" spans="2:4" x14ac:dyDescent="0.35">
      <c r="B1967" s="314">
        <v>42727</v>
      </c>
      <c r="C1967" s="315">
        <v>46633.99</v>
      </c>
      <c r="D1967" s="317">
        <f t="shared" si="30"/>
        <v>-1.4087860799344432E-3</v>
      </c>
    </row>
    <row r="1968" spans="2:4" x14ac:dyDescent="0.35">
      <c r="B1968" s="314">
        <v>42726</v>
      </c>
      <c r="C1968" s="315">
        <v>46699.78</v>
      </c>
      <c r="D1968" s="317">
        <f t="shared" si="30"/>
        <v>-6.2462082368744953E-3</v>
      </c>
    </row>
    <row r="1969" spans="2:4" x14ac:dyDescent="0.35">
      <c r="B1969" s="314">
        <v>42725</v>
      </c>
      <c r="C1969" s="315">
        <v>46993.31</v>
      </c>
      <c r="D1969" s="317">
        <f t="shared" si="30"/>
        <v>-4.5911824725493044E-3</v>
      </c>
    </row>
    <row r="1970" spans="2:4" x14ac:dyDescent="0.35">
      <c r="B1970" s="314">
        <v>42724</v>
      </c>
      <c r="C1970" s="315">
        <v>47210.06</v>
      </c>
      <c r="D1970" s="317">
        <f t="shared" si="30"/>
        <v>5.7835141618016728E-3</v>
      </c>
    </row>
    <row r="1971" spans="2:4" x14ac:dyDescent="0.35">
      <c r="B1971" s="314">
        <v>42723</v>
      </c>
      <c r="C1971" s="315">
        <v>46938.59</v>
      </c>
      <c r="D1971" s="317">
        <f t="shared" si="30"/>
        <v>7.6003772067678721E-3</v>
      </c>
    </row>
    <row r="1972" spans="2:4" x14ac:dyDescent="0.35">
      <c r="B1972" s="314">
        <v>42720</v>
      </c>
      <c r="C1972" s="315">
        <v>46584.53</v>
      </c>
      <c r="D1972" s="317">
        <f t="shared" si="30"/>
        <v>4.87894845265191E-3</v>
      </c>
    </row>
    <row r="1973" spans="2:4" x14ac:dyDescent="0.35">
      <c r="B1973" s="314">
        <v>42719</v>
      </c>
      <c r="C1973" s="315">
        <v>46358.35</v>
      </c>
      <c r="D1973" s="317">
        <f t="shared" si="30"/>
        <v>3.747515170962501E-3</v>
      </c>
    </row>
    <row r="1974" spans="2:4" x14ac:dyDescent="0.35">
      <c r="B1974" s="314">
        <v>42718</v>
      </c>
      <c r="C1974" s="315">
        <v>46185.27</v>
      </c>
      <c r="D1974" s="317">
        <f t="shared" si="30"/>
        <v>7.1390114111224978E-3</v>
      </c>
    </row>
    <row r="1975" spans="2:4" x14ac:dyDescent="0.35">
      <c r="B1975" s="314">
        <v>42717</v>
      </c>
      <c r="C1975" s="315">
        <v>45857.89</v>
      </c>
      <c r="D1975" s="317">
        <f t="shared" si="30"/>
        <v>1.0369877165889996E-2</v>
      </c>
    </row>
    <row r="1976" spans="2:4" x14ac:dyDescent="0.35">
      <c r="B1976" s="314">
        <v>42713</v>
      </c>
      <c r="C1976" s="315">
        <v>45387.23</v>
      </c>
      <c r="D1976" s="317">
        <f t="shared" si="30"/>
        <v>1.4421579018183861E-2</v>
      </c>
    </row>
    <row r="1977" spans="2:4" x14ac:dyDescent="0.35">
      <c r="B1977" s="314">
        <v>42712</v>
      </c>
      <c r="C1977" s="315">
        <v>44741.98</v>
      </c>
      <c r="D1977" s="317">
        <f t="shared" si="30"/>
        <v>5.5509620296578799E-3</v>
      </c>
    </row>
    <row r="1978" spans="2:4" x14ac:dyDescent="0.35">
      <c r="B1978" s="314">
        <v>42711</v>
      </c>
      <c r="C1978" s="315">
        <v>44494.99</v>
      </c>
      <c r="D1978" s="317">
        <f t="shared" si="30"/>
        <v>6.6876473436290329E-3</v>
      </c>
    </row>
    <row r="1979" spans="2:4" x14ac:dyDescent="0.35">
      <c r="B1979" s="314">
        <v>42710</v>
      </c>
      <c r="C1979" s="315">
        <v>44199.4</v>
      </c>
      <c r="D1979" s="317">
        <f t="shared" si="30"/>
        <v>1.0503665183126509E-2</v>
      </c>
    </row>
    <row r="1980" spans="2:4" x14ac:dyDescent="0.35">
      <c r="B1980" s="314">
        <v>42709</v>
      </c>
      <c r="C1980" s="315">
        <v>43739.97</v>
      </c>
      <c r="D1980" s="317">
        <f t="shared" si="30"/>
        <v>1.0840310693791988E-2</v>
      </c>
    </row>
    <row r="1981" spans="2:4" x14ac:dyDescent="0.35">
      <c r="B1981" s="314">
        <v>42706</v>
      </c>
      <c r="C1981" s="315">
        <v>43270.9</v>
      </c>
      <c r="D1981" s="317">
        <f t="shared" si="30"/>
        <v>8.4726722874584048E-3</v>
      </c>
    </row>
    <row r="1982" spans="2:4" x14ac:dyDescent="0.35">
      <c r="B1982" s="314">
        <v>42705</v>
      </c>
      <c r="C1982" s="315">
        <v>42907.360000000001</v>
      </c>
      <c r="D1982" s="317">
        <f t="shared" si="30"/>
        <v>6.686394961143538E-3</v>
      </c>
    </row>
    <row r="1983" spans="2:4" x14ac:dyDescent="0.35">
      <c r="B1983" s="314">
        <v>42704</v>
      </c>
      <c r="C1983" s="315">
        <v>42622.37</v>
      </c>
      <c r="D1983" s="317">
        <f t="shared" si="30"/>
        <v>-4.4123895413519243E-3</v>
      </c>
    </row>
    <row r="1984" spans="2:4" x14ac:dyDescent="0.35">
      <c r="B1984" s="316">
        <v>42703</v>
      </c>
      <c r="C1984" s="315">
        <v>42811.27</v>
      </c>
      <c r="D1984" s="317">
        <f t="shared" si="30"/>
        <v>-5.7927516754833208E-3</v>
      </c>
    </row>
    <row r="1985" spans="2:4" x14ac:dyDescent="0.35">
      <c r="B1985" s="314">
        <v>42702</v>
      </c>
      <c r="C1985" s="315">
        <v>43060.71</v>
      </c>
      <c r="D1985" s="317">
        <f t="shared" si="30"/>
        <v>1.4197786680172353E-3</v>
      </c>
    </row>
    <row r="1986" spans="2:4" x14ac:dyDescent="0.35">
      <c r="B1986" s="314">
        <v>42699</v>
      </c>
      <c r="C1986" s="315">
        <v>42999.66</v>
      </c>
      <c r="D1986" s="317">
        <f t="shared" si="30"/>
        <v>1.1625218598581011E-3</v>
      </c>
    </row>
    <row r="1987" spans="2:4" x14ac:dyDescent="0.35">
      <c r="B1987" s="314">
        <v>42698</v>
      </c>
      <c r="C1987" s="315">
        <v>42949.73</v>
      </c>
      <c r="D1987" s="317">
        <f t="shared" si="30"/>
        <v>1.1354042398061814E-3</v>
      </c>
    </row>
    <row r="1988" spans="2:4" x14ac:dyDescent="0.35">
      <c r="B1988" s="314">
        <v>42697</v>
      </c>
      <c r="C1988" s="315">
        <v>42901.02</v>
      </c>
      <c r="D1988" s="317">
        <f t="shared" ref="D1988:D2003" si="31">(C1988/C1989)-1</f>
        <v>6.3201973748099327E-3</v>
      </c>
    </row>
    <row r="1989" spans="2:4" x14ac:dyDescent="0.35">
      <c r="B1989" s="314">
        <v>42696</v>
      </c>
      <c r="C1989" s="315">
        <v>42631.58</v>
      </c>
      <c r="D1989" s="317">
        <f t="shared" si="31"/>
        <v>4.5368604002353763E-3</v>
      </c>
    </row>
    <row r="1990" spans="2:4" x14ac:dyDescent="0.35">
      <c r="B1990" s="314">
        <v>42695</v>
      </c>
      <c r="C1990" s="315">
        <v>42439.040000000001</v>
      </c>
      <c r="D1990" s="317">
        <f t="shared" si="31"/>
        <v>2.6958100826603992E-3</v>
      </c>
    </row>
    <row r="1991" spans="2:4" x14ac:dyDescent="0.35">
      <c r="B1991" s="314">
        <v>42692</v>
      </c>
      <c r="C1991" s="315">
        <v>42324.94</v>
      </c>
      <c r="D1991" s="317">
        <f t="shared" si="31"/>
        <v>-2.0480149392386737E-3</v>
      </c>
    </row>
    <row r="1992" spans="2:4" x14ac:dyDescent="0.35">
      <c r="B1992" s="314">
        <v>42691</v>
      </c>
      <c r="C1992" s="315">
        <v>42411.8</v>
      </c>
      <c r="D1992" s="317">
        <f t="shared" si="31"/>
        <v>1.7285913489795135E-4</v>
      </c>
    </row>
    <row r="1993" spans="2:4" x14ac:dyDescent="0.35">
      <c r="B1993" s="314">
        <v>42690</v>
      </c>
      <c r="C1993" s="315">
        <v>42404.47</v>
      </c>
      <c r="D1993" s="317">
        <f t="shared" si="31"/>
        <v>2.6434840836486728E-3</v>
      </c>
    </row>
    <row r="1994" spans="2:4" x14ac:dyDescent="0.35">
      <c r="B1994" s="314">
        <v>42689</v>
      </c>
      <c r="C1994" s="315">
        <v>42292.67</v>
      </c>
      <c r="D1994" s="317">
        <f t="shared" si="31"/>
        <v>-5.4851240172760773E-3</v>
      </c>
    </row>
    <row r="1995" spans="2:4" x14ac:dyDescent="0.35">
      <c r="B1995" s="314">
        <v>42688</v>
      </c>
      <c r="C1995" s="315">
        <v>42525.93</v>
      </c>
      <c r="D1995" s="317">
        <f t="shared" si="31"/>
        <v>-7.5425119582386291E-3</v>
      </c>
    </row>
    <row r="1996" spans="2:4" x14ac:dyDescent="0.35">
      <c r="B1996" s="314">
        <v>42685</v>
      </c>
      <c r="C1996" s="315">
        <v>42849.120000000003</v>
      </c>
      <c r="D1996" s="317">
        <f t="shared" si="31"/>
        <v>3.3985114739865097E-3</v>
      </c>
    </row>
    <row r="1997" spans="2:4" x14ac:dyDescent="0.35">
      <c r="B1997" s="314">
        <v>42684</v>
      </c>
      <c r="C1997" s="315">
        <v>42703.99</v>
      </c>
      <c r="D1997" s="317">
        <f t="shared" si="31"/>
        <v>1.1855852209869067E-2</v>
      </c>
    </row>
    <row r="1998" spans="2:4" x14ac:dyDescent="0.35">
      <c r="B1998" s="314">
        <v>42683</v>
      </c>
      <c r="C1998" s="315">
        <v>42203.63</v>
      </c>
      <c r="D1998" s="317">
        <f t="shared" si="31"/>
        <v>2.1304124931642576E-3</v>
      </c>
    </row>
    <row r="1999" spans="2:4" x14ac:dyDescent="0.35">
      <c r="B1999" s="314">
        <v>42682</v>
      </c>
      <c r="C1999" s="315">
        <v>42113.91</v>
      </c>
      <c r="D1999" s="317">
        <f t="shared" si="31"/>
        <v>-4.6589961346699127E-4</v>
      </c>
    </row>
    <row r="2000" spans="2:4" x14ac:dyDescent="0.35">
      <c r="B2000" s="314">
        <v>42681</v>
      </c>
      <c r="C2000" s="315">
        <v>42133.54</v>
      </c>
      <c r="D2000" s="317">
        <f t="shared" si="31"/>
        <v>6.9782293012019547E-3</v>
      </c>
    </row>
    <row r="2001" spans="2:4" x14ac:dyDescent="0.35">
      <c r="B2001" s="314">
        <v>42678</v>
      </c>
      <c r="C2001" s="315">
        <v>41841.56</v>
      </c>
      <c r="D2001" s="317">
        <f t="shared" si="31"/>
        <v>-3.1662110721615289E-3</v>
      </c>
    </row>
    <row r="2002" spans="2:4" x14ac:dyDescent="0.35">
      <c r="B2002" s="314">
        <v>42677</v>
      </c>
      <c r="C2002" s="315">
        <v>41974.46</v>
      </c>
      <c r="D2002" s="317">
        <f t="shared" si="31"/>
        <v>5.5509040492061068E-3</v>
      </c>
    </row>
    <row r="2003" spans="2:4" x14ac:dyDescent="0.35">
      <c r="B2003" s="314">
        <v>42676</v>
      </c>
      <c r="C2003" s="315">
        <v>41742.75</v>
      </c>
      <c r="D2003" s="317">
        <f t="shared" si="31"/>
        <v>1.0723520437231349E-2</v>
      </c>
    </row>
    <row r="2004" spans="2:4" x14ac:dyDescent="0.35">
      <c r="B2004" s="314">
        <v>42675</v>
      </c>
      <c r="C2004" s="315">
        <v>41299.870000000003</v>
      </c>
      <c r="D2004" s="3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82B554-2C3F-411A-B386-9F063EB0D3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DETAILS</vt:lpstr>
      <vt:lpstr>Assumptions</vt:lpstr>
      <vt:lpstr>Valuation</vt:lpstr>
      <vt:lpstr>Balance Sheet</vt:lpstr>
      <vt:lpstr>Income Statement</vt:lpstr>
      <vt:lpstr>CashFlow</vt:lpstr>
      <vt:lpstr>Regression</vt:lpstr>
      <vt:lpstr>Loan Schedule</vt:lpstr>
      <vt:lpstr>Depreciation schedule</vt:lpstr>
      <vt:lpstr>IS Assumptions</vt:lpstr>
      <vt:lpstr>KSE-100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RAHIM SHAIKH - 26570</dc:creator>
  <cp:lastModifiedBy>ABDUL RAHIM SHAIKH - 26570</cp:lastModifiedBy>
  <dcterms:created xsi:type="dcterms:W3CDTF">2024-11-03T03:38:29Z</dcterms:created>
  <dcterms:modified xsi:type="dcterms:W3CDTF">2024-12-30T16:04:02Z</dcterms:modified>
</cp:coreProperties>
</file>